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NF_12042024\Downloads\"/>
    </mc:Choice>
  </mc:AlternateContent>
  <xr:revisionPtr revIDLastSave="0" documentId="13_ncr:1_{5EF717B9-A04E-4328-BA26-D94BC0B04B66}" xr6:coauthVersionLast="36" xr6:coauthVersionMax="36" xr10:uidLastSave="{00000000-0000-0000-0000-000000000000}"/>
  <bookViews>
    <workbookView xWindow="0" yWindow="0" windowWidth="28800" windowHeight="12225" activeTab="3" xr2:uid="{00000000-000D-0000-FFFF-FFFF00000000}"/>
  </bookViews>
  <sheets>
    <sheet name="Worksheet" sheetId="1" r:id="rId1"/>
    <sheet name="INGRESANTES" sheetId="2" r:id="rId2"/>
    <sheet name="datos_cargar" sheetId="4" r:id="rId3"/>
    <sheet name="DATA_SISTEMA" sheetId="5" r:id="rId4"/>
  </sheets>
  <definedNames>
    <definedName name="_xlnm._FilterDatabase" localSheetId="0" hidden="1">Worksheet!$A$1:$I$64</definedName>
  </definedNames>
  <calcPr calcId="191029" forceFullCalc="1"/>
</workbook>
</file>

<file path=xl/calcChain.xml><?xml version="1.0" encoding="utf-8"?>
<calcChain xmlns="http://schemas.openxmlformats.org/spreadsheetml/2006/main">
  <c r="H3" i="4" l="1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2" i="4"/>
  <c r="AV2" i="4"/>
  <c r="AV3" i="4"/>
  <c r="AV4" i="4"/>
  <c r="AV5" i="4"/>
  <c r="AV6" i="4"/>
  <c r="AV7" i="4"/>
  <c r="AV8" i="4"/>
  <c r="AV9" i="4"/>
  <c r="AV10" i="4"/>
  <c r="AV11" i="4"/>
  <c r="AV12" i="4"/>
  <c r="AV13" i="4"/>
  <c r="AV14" i="4"/>
  <c r="AV15" i="4"/>
  <c r="AV16" i="4"/>
  <c r="AV17" i="4"/>
  <c r="AV18" i="4"/>
  <c r="AV19" i="4"/>
  <c r="AV20" i="4"/>
  <c r="AV21" i="4"/>
  <c r="AV22" i="4"/>
  <c r="AV23" i="4"/>
  <c r="AV24" i="4"/>
  <c r="AV25" i="4"/>
  <c r="AV26" i="4"/>
  <c r="AV27" i="4"/>
  <c r="AV28" i="4"/>
  <c r="AV29" i="4"/>
  <c r="AV30" i="4"/>
  <c r="AV31" i="4"/>
  <c r="AV32" i="4"/>
  <c r="AV33" i="4"/>
  <c r="AV34" i="4"/>
  <c r="AV35" i="4"/>
  <c r="AV36" i="4"/>
  <c r="AV37" i="4"/>
  <c r="AV38" i="4"/>
  <c r="AV39" i="4"/>
  <c r="AV40" i="4"/>
  <c r="AV41" i="4"/>
  <c r="AV42" i="4"/>
  <c r="AV43" i="4"/>
  <c r="AV44" i="4"/>
  <c r="AV45" i="4"/>
  <c r="AV46" i="4"/>
  <c r="AV47" i="4"/>
  <c r="AV48" i="4"/>
  <c r="AV49" i="4"/>
  <c r="AV50" i="4"/>
  <c r="AV51" i="4"/>
  <c r="AV52" i="4"/>
  <c r="AV53" i="4"/>
  <c r="AV54" i="4"/>
  <c r="AV55" i="4"/>
  <c r="AV56" i="4"/>
  <c r="AV57" i="4"/>
  <c r="AV58" i="4"/>
  <c r="AV59" i="4"/>
  <c r="AV60" i="4"/>
  <c r="AV61" i="4"/>
  <c r="AV62" i="4"/>
  <c r="AV63" i="4"/>
  <c r="AV64" i="4"/>
  <c r="AV65" i="4"/>
  <c r="AV66" i="4"/>
  <c r="AV67" i="4"/>
  <c r="AV68" i="4"/>
  <c r="AV69" i="4"/>
  <c r="AV70" i="4"/>
  <c r="AV71" i="4"/>
  <c r="AV72" i="4"/>
  <c r="AV73" i="4"/>
  <c r="AV74" i="4"/>
  <c r="AV75" i="4"/>
  <c r="AV76" i="4"/>
  <c r="AV77" i="4"/>
  <c r="AV78" i="4"/>
  <c r="AV79" i="4"/>
  <c r="AV80" i="4"/>
  <c r="AV81" i="4"/>
  <c r="AV82" i="4"/>
  <c r="AV83" i="4"/>
  <c r="AV84" i="4"/>
  <c r="AV85" i="4"/>
  <c r="AV86" i="4"/>
  <c r="AV87" i="4"/>
  <c r="AV88" i="4"/>
  <c r="AV89" i="4"/>
  <c r="AV90" i="4"/>
  <c r="AV91" i="4"/>
  <c r="AV92" i="4"/>
  <c r="AV93" i="4"/>
  <c r="AV94" i="4"/>
  <c r="AV95" i="4"/>
  <c r="AV96" i="4"/>
  <c r="AV97" i="4"/>
  <c r="AV98" i="4"/>
  <c r="AV99" i="4"/>
  <c r="AV100" i="4"/>
  <c r="AV101" i="4"/>
  <c r="AV102" i="4"/>
  <c r="AV103" i="4"/>
  <c r="AV104" i="4"/>
  <c r="AV105" i="4"/>
  <c r="AV106" i="4"/>
  <c r="AV107" i="4"/>
  <c r="AV108" i="4"/>
  <c r="AV109" i="4"/>
  <c r="AV110" i="4"/>
  <c r="AV111" i="4"/>
  <c r="AV112" i="4"/>
  <c r="AV113" i="4"/>
  <c r="AV114" i="4"/>
  <c r="AV115" i="4"/>
  <c r="AV116" i="4"/>
  <c r="AV117" i="4"/>
  <c r="AV118" i="4"/>
  <c r="AV119" i="4"/>
  <c r="AV120" i="4"/>
  <c r="AV121" i="4"/>
  <c r="AV122" i="4"/>
  <c r="AV123" i="4"/>
  <c r="AV124" i="4"/>
  <c r="AV125" i="4"/>
  <c r="AV126" i="4"/>
  <c r="AV127" i="4"/>
  <c r="AV128" i="4"/>
  <c r="AV129" i="4"/>
  <c r="AV130" i="4"/>
  <c r="AV131" i="4"/>
  <c r="AV132" i="4"/>
  <c r="AV133" i="4"/>
  <c r="AV134" i="4"/>
  <c r="AV135" i="4"/>
  <c r="AV136" i="4"/>
  <c r="AV137" i="4"/>
  <c r="AV138" i="4"/>
  <c r="AV139" i="4"/>
  <c r="AV140" i="4"/>
  <c r="AV141" i="4"/>
  <c r="AV142" i="4"/>
  <c r="AV143" i="4"/>
  <c r="AV144" i="4"/>
  <c r="AV145" i="4"/>
  <c r="AV146" i="4"/>
  <c r="AV147" i="4"/>
  <c r="AV148" i="4"/>
  <c r="AV149" i="4"/>
  <c r="AV150" i="4"/>
  <c r="AV151" i="4"/>
  <c r="AV152" i="4"/>
  <c r="AV153" i="4"/>
  <c r="AV154" i="4"/>
  <c r="AV155" i="4"/>
  <c r="AV156" i="4"/>
  <c r="AV157" i="4"/>
  <c r="AV158" i="4"/>
  <c r="AV159" i="4"/>
  <c r="AV160" i="4"/>
  <c r="AV161" i="4"/>
  <c r="AV162" i="4"/>
  <c r="AV163" i="4"/>
  <c r="AV164" i="4"/>
  <c r="AV165" i="4"/>
  <c r="AV166" i="4"/>
  <c r="AV167" i="4"/>
  <c r="AV168" i="4"/>
  <c r="AV169" i="4"/>
  <c r="AV170" i="4"/>
  <c r="AV171" i="4"/>
  <c r="AV172" i="4"/>
  <c r="AV173" i="4"/>
  <c r="AV174" i="4"/>
  <c r="AV175" i="4"/>
  <c r="AV176" i="4"/>
  <c r="AV177" i="4"/>
  <c r="AV178" i="4"/>
  <c r="AV179" i="4"/>
  <c r="AV180" i="4"/>
  <c r="AV181" i="4"/>
  <c r="AV182" i="4"/>
  <c r="AV183" i="4"/>
  <c r="AV184" i="4"/>
  <c r="AV185" i="4"/>
  <c r="AV186" i="4"/>
  <c r="AV187" i="4"/>
  <c r="AV188" i="4"/>
  <c r="AV189" i="4"/>
  <c r="AV190" i="4"/>
  <c r="AV191" i="4"/>
  <c r="AV192" i="4"/>
  <c r="AV193" i="4"/>
  <c r="AV194" i="4"/>
  <c r="AV195" i="4"/>
  <c r="AV196" i="4"/>
  <c r="AV197" i="4"/>
  <c r="AV198" i="4"/>
  <c r="AV199" i="4"/>
  <c r="AV200" i="4"/>
  <c r="AV201" i="4"/>
  <c r="AV202" i="4"/>
  <c r="AV203" i="4"/>
  <c r="AV204" i="4"/>
  <c r="AV205" i="4"/>
  <c r="AV206" i="4"/>
  <c r="AV207" i="4"/>
  <c r="AV208" i="4"/>
  <c r="AV209" i="4"/>
  <c r="AV210" i="4"/>
  <c r="AV211" i="4"/>
  <c r="AV212" i="4"/>
  <c r="AV213" i="4"/>
  <c r="AV214" i="4"/>
  <c r="AV215" i="4"/>
  <c r="AV216" i="4"/>
  <c r="AV217" i="4"/>
  <c r="AV218" i="4"/>
  <c r="AV219" i="4"/>
  <c r="AV220" i="4"/>
  <c r="AV221" i="4"/>
  <c r="AV222" i="4"/>
  <c r="AV223" i="4"/>
  <c r="AV224" i="4"/>
  <c r="AV225" i="4"/>
  <c r="AV226" i="4"/>
  <c r="AV227" i="4"/>
  <c r="AV228" i="4"/>
  <c r="AV229" i="4"/>
  <c r="AV230" i="4"/>
  <c r="AV231" i="4"/>
  <c r="AV232" i="4"/>
  <c r="AV233" i="4"/>
  <c r="AV234" i="4"/>
  <c r="AV235" i="4"/>
  <c r="AV236" i="4"/>
  <c r="AV237" i="4"/>
  <c r="AV238" i="4"/>
  <c r="AV239" i="4"/>
  <c r="AV240" i="4"/>
  <c r="AV241" i="4"/>
  <c r="AV242" i="4"/>
  <c r="AV243" i="4"/>
  <c r="AV244" i="4"/>
  <c r="AV245" i="4"/>
  <c r="AV246" i="4"/>
  <c r="AV247" i="4"/>
  <c r="AV248" i="4"/>
  <c r="AV249" i="4"/>
  <c r="AV250" i="4"/>
  <c r="AV251" i="4"/>
  <c r="AV252" i="4"/>
  <c r="AV253" i="4"/>
  <c r="AV254" i="4"/>
  <c r="AV255" i="4"/>
  <c r="AV256" i="4"/>
  <c r="AV257" i="4"/>
  <c r="AV258" i="4"/>
  <c r="AV259" i="4"/>
  <c r="AV260" i="4"/>
  <c r="AV261" i="4"/>
  <c r="AV262" i="4"/>
  <c r="AV263" i="4"/>
  <c r="AV264" i="4"/>
  <c r="AV265" i="4"/>
  <c r="AV266" i="4"/>
  <c r="AV267" i="4"/>
  <c r="AV268" i="4"/>
  <c r="AV269" i="4"/>
  <c r="AV270" i="4"/>
  <c r="AV271" i="4"/>
  <c r="AV272" i="4"/>
  <c r="AV273" i="4"/>
  <c r="AV274" i="4"/>
  <c r="AV275" i="4"/>
  <c r="AV276" i="4"/>
  <c r="AV277" i="4"/>
  <c r="AV278" i="4"/>
  <c r="AV279" i="4"/>
  <c r="AV280" i="4"/>
  <c r="AV281" i="4"/>
  <c r="AV282" i="4"/>
  <c r="AV283" i="4"/>
  <c r="AV284" i="4"/>
  <c r="AV285" i="4"/>
  <c r="AV286" i="4"/>
  <c r="AV287" i="4"/>
  <c r="AV288" i="4"/>
  <c r="AV289" i="4"/>
  <c r="AV290" i="4"/>
  <c r="AV291" i="4"/>
  <c r="AV292" i="4"/>
  <c r="AV293" i="4"/>
  <c r="AV294" i="4"/>
  <c r="AV295" i="4"/>
  <c r="AV296" i="4"/>
  <c r="AV297" i="4"/>
  <c r="AV298" i="4"/>
  <c r="AV299" i="4"/>
  <c r="AV300" i="4"/>
  <c r="AV301" i="4"/>
  <c r="AV302" i="4"/>
  <c r="AV303" i="4"/>
  <c r="AV304" i="4"/>
  <c r="AV305" i="4"/>
  <c r="AV306" i="4"/>
  <c r="AV307" i="4"/>
  <c r="AV308" i="4"/>
  <c r="AV309" i="4"/>
  <c r="AV310" i="4"/>
  <c r="AV311" i="4"/>
  <c r="AV312" i="4"/>
  <c r="AV313" i="4"/>
  <c r="AV314" i="4"/>
  <c r="AV315" i="4"/>
  <c r="AV316" i="4"/>
  <c r="AV317" i="4"/>
  <c r="AV318" i="4"/>
  <c r="AV319" i="4"/>
  <c r="AV320" i="4"/>
  <c r="AV321" i="4"/>
  <c r="AV322" i="4"/>
  <c r="AV323" i="4"/>
  <c r="AV324" i="4"/>
  <c r="AV325" i="4"/>
  <c r="AV326" i="4"/>
  <c r="AV327" i="4"/>
  <c r="AV328" i="4"/>
  <c r="AV329" i="4"/>
  <c r="AV330" i="4"/>
  <c r="AV331" i="4"/>
  <c r="AV332" i="4"/>
  <c r="AV333" i="4"/>
  <c r="AV334" i="4"/>
  <c r="AV335" i="4"/>
  <c r="AV336" i="4"/>
  <c r="AV337" i="4"/>
  <c r="AV338" i="4"/>
  <c r="AV339" i="4"/>
  <c r="AV340" i="4"/>
  <c r="AV341" i="4"/>
  <c r="AV342" i="4"/>
  <c r="AV343" i="4"/>
  <c r="AV344" i="4"/>
  <c r="AV345" i="4"/>
  <c r="AV346" i="4"/>
  <c r="AV347" i="4"/>
  <c r="AV348" i="4"/>
  <c r="AV349" i="4"/>
  <c r="AV350" i="4"/>
  <c r="AV351" i="4"/>
  <c r="AV352" i="4"/>
  <c r="AV353" i="4"/>
  <c r="AV354" i="4"/>
  <c r="AV355" i="4"/>
  <c r="AV356" i="4"/>
  <c r="AV357" i="4"/>
  <c r="AV358" i="4"/>
  <c r="AV359" i="4"/>
  <c r="AV360" i="4"/>
  <c r="AV361" i="4"/>
  <c r="AV362" i="4"/>
  <c r="AV363" i="4"/>
  <c r="AV364" i="4"/>
  <c r="AV365" i="4"/>
  <c r="AV366" i="4"/>
  <c r="AV367" i="4"/>
  <c r="AV368" i="4"/>
  <c r="AV369" i="4"/>
  <c r="AV370" i="4"/>
  <c r="AV371" i="4"/>
  <c r="AV372" i="4"/>
  <c r="AV373" i="4"/>
  <c r="AV374" i="4"/>
  <c r="AV375" i="4"/>
  <c r="AV376" i="4"/>
  <c r="AV377" i="4"/>
  <c r="AV378" i="4"/>
  <c r="AV379" i="4"/>
  <c r="AV380" i="4"/>
  <c r="AV381" i="4"/>
  <c r="AV382" i="4"/>
  <c r="AV383" i="4"/>
  <c r="AW2" i="4"/>
  <c r="AW3" i="4"/>
  <c r="AW4" i="4"/>
  <c r="AW5" i="4"/>
  <c r="AW6" i="4"/>
  <c r="AW7" i="4"/>
  <c r="AW8" i="4"/>
  <c r="AW9" i="4"/>
  <c r="AW10" i="4"/>
  <c r="AW11" i="4"/>
  <c r="AW12" i="4"/>
  <c r="AW13" i="4"/>
  <c r="AW14" i="4"/>
  <c r="AW15" i="4"/>
  <c r="AW16" i="4"/>
  <c r="AW17" i="4"/>
  <c r="AW18" i="4"/>
  <c r="AW19" i="4"/>
  <c r="AW20" i="4"/>
  <c r="AW21" i="4"/>
  <c r="AW22" i="4"/>
  <c r="AW23" i="4"/>
  <c r="AW24" i="4"/>
  <c r="AW25" i="4"/>
  <c r="AW26" i="4"/>
  <c r="AW27" i="4"/>
  <c r="AW28" i="4"/>
  <c r="AW29" i="4"/>
  <c r="AW30" i="4"/>
  <c r="AW31" i="4"/>
  <c r="AW32" i="4"/>
  <c r="AW33" i="4"/>
  <c r="AW34" i="4"/>
  <c r="AW35" i="4"/>
  <c r="AW36" i="4"/>
  <c r="AW37" i="4"/>
  <c r="AW38" i="4"/>
  <c r="AW39" i="4"/>
  <c r="AW40" i="4"/>
  <c r="AW41" i="4"/>
  <c r="AW42" i="4"/>
  <c r="AW43" i="4"/>
  <c r="AW44" i="4"/>
  <c r="AW45" i="4"/>
  <c r="AW46" i="4"/>
  <c r="AW47" i="4"/>
  <c r="AW48" i="4"/>
  <c r="AW49" i="4"/>
  <c r="AW50" i="4"/>
  <c r="AW51" i="4"/>
  <c r="AW52" i="4"/>
  <c r="AW53" i="4"/>
  <c r="AW54" i="4"/>
  <c r="AW55" i="4"/>
  <c r="AW56" i="4"/>
  <c r="AW57" i="4"/>
  <c r="AW58" i="4"/>
  <c r="AW59" i="4"/>
  <c r="AW60" i="4"/>
  <c r="AW61" i="4"/>
  <c r="AW62" i="4"/>
  <c r="AW63" i="4"/>
  <c r="AW64" i="4"/>
  <c r="AW65" i="4"/>
  <c r="AW66" i="4"/>
  <c r="AW67" i="4"/>
  <c r="AW68" i="4"/>
  <c r="AW69" i="4"/>
  <c r="AW70" i="4"/>
  <c r="AW71" i="4"/>
  <c r="AW72" i="4"/>
  <c r="AW73" i="4"/>
  <c r="AW74" i="4"/>
  <c r="AW75" i="4"/>
  <c r="AW76" i="4"/>
  <c r="AW77" i="4"/>
  <c r="AW78" i="4"/>
  <c r="AW79" i="4"/>
  <c r="AW80" i="4"/>
  <c r="AW81" i="4"/>
  <c r="AW82" i="4"/>
  <c r="AW83" i="4"/>
  <c r="AW84" i="4"/>
  <c r="AW85" i="4"/>
  <c r="AW86" i="4"/>
  <c r="AW87" i="4"/>
  <c r="AW88" i="4"/>
  <c r="AW89" i="4"/>
  <c r="AW90" i="4"/>
  <c r="AW91" i="4"/>
  <c r="AW92" i="4"/>
  <c r="AW93" i="4"/>
  <c r="AW94" i="4"/>
  <c r="AW95" i="4"/>
  <c r="AW96" i="4"/>
  <c r="AW97" i="4"/>
  <c r="AW98" i="4"/>
  <c r="AW99" i="4"/>
  <c r="AW100" i="4"/>
  <c r="AW101" i="4"/>
  <c r="AW102" i="4"/>
  <c r="AW103" i="4"/>
  <c r="AW104" i="4"/>
  <c r="AW105" i="4"/>
  <c r="AW106" i="4"/>
  <c r="AW107" i="4"/>
  <c r="AW108" i="4"/>
  <c r="AW109" i="4"/>
  <c r="AW110" i="4"/>
  <c r="AW111" i="4"/>
  <c r="AW112" i="4"/>
  <c r="AW113" i="4"/>
  <c r="AW114" i="4"/>
  <c r="AW115" i="4"/>
  <c r="AW116" i="4"/>
  <c r="AW117" i="4"/>
  <c r="AW118" i="4"/>
  <c r="AW119" i="4"/>
  <c r="AW120" i="4"/>
  <c r="AW121" i="4"/>
  <c r="AW122" i="4"/>
  <c r="AW123" i="4"/>
  <c r="AW124" i="4"/>
  <c r="AW125" i="4"/>
  <c r="AW126" i="4"/>
  <c r="AW127" i="4"/>
  <c r="AW128" i="4"/>
  <c r="AW129" i="4"/>
  <c r="AW130" i="4"/>
  <c r="AW131" i="4"/>
  <c r="AW132" i="4"/>
  <c r="AW133" i="4"/>
  <c r="AW134" i="4"/>
  <c r="AW135" i="4"/>
  <c r="AW136" i="4"/>
  <c r="AW137" i="4"/>
  <c r="AW138" i="4"/>
  <c r="AW139" i="4"/>
  <c r="AW140" i="4"/>
  <c r="AW141" i="4"/>
  <c r="AW142" i="4"/>
  <c r="AW143" i="4"/>
  <c r="AW144" i="4"/>
  <c r="AW145" i="4"/>
  <c r="AW146" i="4"/>
  <c r="AW147" i="4"/>
  <c r="AW148" i="4"/>
  <c r="AW149" i="4"/>
  <c r="AW150" i="4"/>
  <c r="AW151" i="4"/>
  <c r="AW152" i="4"/>
  <c r="AW153" i="4"/>
  <c r="AW154" i="4"/>
  <c r="AW155" i="4"/>
  <c r="AW156" i="4"/>
  <c r="AW157" i="4"/>
  <c r="AW158" i="4"/>
  <c r="AW159" i="4"/>
  <c r="AW160" i="4"/>
  <c r="AW161" i="4"/>
  <c r="AW162" i="4"/>
  <c r="AW163" i="4"/>
  <c r="AW164" i="4"/>
  <c r="AW165" i="4"/>
  <c r="AW166" i="4"/>
  <c r="AW167" i="4"/>
  <c r="AW168" i="4"/>
  <c r="AW169" i="4"/>
  <c r="AW170" i="4"/>
  <c r="AW171" i="4"/>
  <c r="AW172" i="4"/>
  <c r="AW173" i="4"/>
  <c r="AW174" i="4"/>
  <c r="AW175" i="4"/>
  <c r="AW176" i="4"/>
  <c r="AW177" i="4"/>
  <c r="AW178" i="4"/>
  <c r="AW179" i="4"/>
  <c r="AW180" i="4"/>
  <c r="AW181" i="4"/>
  <c r="AW182" i="4"/>
  <c r="AW183" i="4"/>
  <c r="AW184" i="4"/>
  <c r="AW185" i="4"/>
  <c r="AW186" i="4"/>
  <c r="AW187" i="4"/>
  <c r="AW188" i="4"/>
  <c r="AW189" i="4"/>
  <c r="AW190" i="4"/>
  <c r="AW191" i="4"/>
  <c r="AW192" i="4"/>
  <c r="AW193" i="4"/>
  <c r="AW194" i="4"/>
  <c r="AW195" i="4"/>
  <c r="AW196" i="4"/>
  <c r="AW197" i="4"/>
  <c r="AW198" i="4"/>
  <c r="AW199" i="4"/>
  <c r="AW200" i="4"/>
  <c r="AW201" i="4"/>
  <c r="AW202" i="4"/>
  <c r="AW203" i="4"/>
  <c r="AW204" i="4"/>
  <c r="AW205" i="4"/>
  <c r="AW206" i="4"/>
  <c r="AW207" i="4"/>
  <c r="AW208" i="4"/>
  <c r="AW209" i="4"/>
  <c r="AW210" i="4"/>
  <c r="AW211" i="4"/>
  <c r="AW212" i="4"/>
  <c r="AW213" i="4"/>
  <c r="AW214" i="4"/>
  <c r="AW215" i="4"/>
  <c r="AW216" i="4"/>
  <c r="AW217" i="4"/>
  <c r="AW218" i="4"/>
  <c r="AW219" i="4"/>
  <c r="AW220" i="4"/>
  <c r="AW221" i="4"/>
  <c r="AW222" i="4"/>
  <c r="AW223" i="4"/>
  <c r="AW224" i="4"/>
  <c r="AW225" i="4"/>
  <c r="AW226" i="4"/>
  <c r="AW227" i="4"/>
  <c r="AW228" i="4"/>
  <c r="AW229" i="4"/>
  <c r="AW230" i="4"/>
  <c r="AW231" i="4"/>
  <c r="AW232" i="4"/>
  <c r="AW233" i="4"/>
  <c r="AW234" i="4"/>
  <c r="AW235" i="4"/>
  <c r="AW236" i="4"/>
  <c r="AW237" i="4"/>
  <c r="AW238" i="4"/>
  <c r="AW239" i="4"/>
  <c r="AW240" i="4"/>
  <c r="AW241" i="4"/>
  <c r="AW242" i="4"/>
  <c r="AW243" i="4"/>
  <c r="AW244" i="4"/>
  <c r="AW245" i="4"/>
  <c r="AW246" i="4"/>
  <c r="AW247" i="4"/>
  <c r="AW248" i="4"/>
  <c r="AW249" i="4"/>
  <c r="AW250" i="4"/>
  <c r="AW251" i="4"/>
  <c r="AW252" i="4"/>
  <c r="AW253" i="4"/>
  <c r="AW254" i="4"/>
  <c r="AW255" i="4"/>
  <c r="AW256" i="4"/>
  <c r="AW257" i="4"/>
  <c r="AW258" i="4"/>
  <c r="AW259" i="4"/>
  <c r="AW260" i="4"/>
  <c r="AW261" i="4"/>
  <c r="AW262" i="4"/>
  <c r="AW263" i="4"/>
  <c r="AW264" i="4"/>
  <c r="AW265" i="4"/>
  <c r="AW266" i="4"/>
  <c r="AW267" i="4"/>
  <c r="AW268" i="4"/>
  <c r="AW269" i="4"/>
  <c r="AW270" i="4"/>
  <c r="AW271" i="4"/>
  <c r="AW272" i="4"/>
  <c r="AW273" i="4"/>
  <c r="AW274" i="4"/>
  <c r="AW275" i="4"/>
  <c r="AW276" i="4"/>
  <c r="AW277" i="4"/>
  <c r="AW278" i="4"/>
  <c r="AW279" i="4"/>
  <c r="AW280" i="4"/>
  <c r="AW281" i="4"/>
  <c r="AW282" i="4"/>
  <c r="AW283" i="4"/>
  <c r="AW284" i="4"/>
  <c r="AW285" i="4"/>
  <c r="AW286" i="4"/>
  <c r="AW287" i="4"/>
  <c r="AW288" i="4"/>
  <c r="AW289" i="4"/>
  <c r="AW290" i="4"/>
  <c r="AW291" i="4"/>
  <c r="AW292" i="4"/>
  <c r="AW293" i="4"/>
  <c r="AW294" i="4"/>
  <c r="AW295" i="4"/>
  <c r="AW296" i="4"/>
  <c r="AW297" i="4"/>
  <c r="AW298" i="4"/>
  <c r="AW299" i="4"/>
  <c r="AW300" i="4"/>
  <c r="AW301" i="4"/>
  <c r="AW302" i="4"/>
  <c r="AW303" i="4"/>
  <c r="AW304" i="4"/>
  <c r="AW305" i="4"/>
  <c r="AW306" i="4"/>
  <c r="AW307" i="4"/>
  <c r="AW308" i="4"/>
  <c r="AW309" i="4"/>
  <c r="AW310" i="4"/>
  <c r="AW311" i="4"/>
  <c r="AW312" i="4"/>
  <c r="AW313" i="4"/>
  <c r="AW314" i="4"/>
  <c r="AW315" i="4"/>
  <c r="AW316" i="4"/>
  <c r="AW317" i="4"/>
  <c r="AW318" i="4"/>
  <c r="AW319" i="4"/>
  <c r="AW320" i="4"/>
  <c r="AW321" i="4"/>
  <c r="AW322" i="4"/>
  <c r="AW323" i="4"/>
  <c r="AW324" i="4"/>
  <c r="AW325" i="4"/>
  <c r="AW326" i="4"/>
  <c r="AW327" i="4"/>
  <c r="AW328" i="4"/>
  <c r="AW329" i="4"/>
  <c r="AW330" i="4"/>
  <c r="AW331" i="4"/>
  <c r="AW332" i="4"/>
  <c r="AW333" i="4"/>
  <c r="AW334" i="4"/>
  <c r="AW335" i="4"/>
  <c r="AW336" i="4"/>
  <c r="AW337" i="4"/>
  <c r="AW338" i="4"/>
  <c r="AW339" i="4"/>
  <c r="AW340" i="4"/>
  <c r="AW341" i="4"/>
  <c r="AW342" i="4"/>
  <c r="AW343" i="4"/>
  <c r="AW344" i="4"/>
  <c r="AW345" i="4"/>
  <c r="AW346" i="4"/>
  <c r="AW347" i="4"/>
  <c r="AW348" i="4"/>
  <c r="AW349" i="4"/>
  <c r="AW350" i="4"/>
  <c r="AW351" i="4"/>
  <c r="AW352" i="4"/>
  <c r="AW353" i="4"/>
  <c r="AW354" i="4"/>
  <c r="AW355" i="4"/>
  <c r="AW356" i="4"/>
  <c r="AW357" i="4"/>
  <c r="AW358" i="4"/>
  <c r="AW359" i="4"/>
  <c r="AW360" i="4"/>
  <c r="AW361" i="4"/>
  <c r="AW362" i="4"/>
  <c r="AW363" i="4"/>
  <c r="AW364" i="4"/>
  <c r="AW365" i="4"/>
  <c r="AW366" i="4"/>
  <c r="AW367" i="4"/>
  <c r="AW368" i="4"/>
  <c r="AW369" i="4"/>
  <c r="AW370" i="4"/>
  <c r="AW371" i="4"/>
  <c r="AW372" i="4"/>
  <c r="AW373" i="4"/>
  <c r="AW374" i="4"/>
  <c r="AW375" i="4"/>
  <c r="AW376" i="4"/>
  <c r="AW377" i="4"/>
  <c r="AW378" i="4"/>
  <c r="AW379" i="4"/>
  <c r="AW380" i="4"/>
  <c r="AW381" i="4"/>
  <c r="AW382" i="4"/>
  <c r="AW383" i="4"/>
  <c r="AX2" i="4"/>
  <c r="AX3" i="4"/>
  <c r="AX4" i="4"/>
  <c r="AX5" i="4"/>
  <c r="AX6" i="4"/>
  <c r="AX7" i="4"/>
  <c r="AX8" i="4"/>
  <c r="AX9" i="4"/>
  <c r="AX10" i="4"/>
  <c r="AX11" i="4"/>
  <c r="AX12" i="4"/>
  <c r="AX13" i="4"/>
  <c r="AX14" i="4"/>
  <c r="AX15" i="4"/>
  <c r="AX16" i="4"/>
  <c r="AX17" i="4"/>
  <c r="AX18" i="4"/>
  <c r="AX19" i="4"/>
  <c r="AX20" i="4"/>
  <c r="AX21" i="4"/>
  <c r="AX22" i="4"/>
  <c r="AX23" i="4"/>
  <c r="AX24" i="4"/>
  <c r="AX25" i="4"/>
  <c r="AX26" i="4"/>
  <c r="AX27" i="4"/>
  <c r="AX28" i="4"/>
  <c r="AX29" i="4"/>
  <c r="AX30" i="4"/>
  <c r="AX31" i="4"/>
  <c r="AX32" i="4"/>
  <c r="AX33" i="4"/>
  <c r="AX34" i="4"/>
  <c r="AX35" i="4"/>
  <c r="AX36" i="4"/>
  <c r="AX37" i="4"/>
  <c r="AX38" i="4"/>
  <c r="AX39" i="4"/>
  <c r="AX40" i="4"/>
  <c r="AX41" i="4"/>
  <c r="AX42" i="4"/>
  <c r="AX43" i="4"/>
  <c r="AX44" i="4"/>
  <c r="AX45" i="4"/>
  <c r="AX46" i="4"/>
  <c r="AX47" i="4"/>
  <c r="AX48" i="4"/>
  <c r="AX49" i="4"/>
  <c r="AX50" i="4"/>
  <c r="AX51" i="4"/>
  <c r="AX52" i="4"/>
  <c r="AX53" i="4"/>
  <c r="AX54" i="4"/>
  <c r="AX55" i="4"/>
  <c r="AX56" i="4"/>
  <c r="AX57" i="4"/>
  <c r="AX58" i="4"/>
  <c r="AX59" i="4"/>
  <c r="AX60" i="4"/>
  <c r="AX61" i="4"/>
  <c r="AX62" i="4"/>
  <c r="AX63" i="4"/>
  <c r="AX64" i="4"/>
  <c r="AX65" i="4"/>
  <c r="AX66" i="4"/>
  <c r="AX67" i="4"/>
  <c r="AX68" i="4"/>
  <c r="AX69" i="4"/>
  <c r="AX70" i="4"/>
  <c r="AX71" i="4"/>
  <c r="AX72" i="4"/>
  <c r="AX73" i="4"/>
  <c r="AX74" i="4"/>
  <c r="AX75" i="4"/>
  <c r="AX76" i="4"/>
  <c r="AX77" i="4"/>
  <c r="AX78" i="4"/>
  <c r="AX79" i="4"/>
  <c r="AX80" i="4"/>
  <c r="AX81" i="4"/>
  <c r="AX82" i="4"/>
  <c r="AX83" i="4"/>
  <c r="AX84" i="4"/>
  <c r="AX85" i="4"/>
  <c r="AX86" i="4"/>
  <c r="AX87" i="4"/>
  <c r="AX88" i="4"/>
  <c r="AX89" i="4"/>
  <c r="AX90" i="4"/>
  <c r="AX91" i="4"/>
  <c r="AX92" i="4"/>
  <c r="AX93" i="4"/>
  <c r="AX94" i="4"/>
  <c r="AX95" i="4"/>
  <c r="AX96" i="4"/>
  <c r="AX97" i="4"/>
  <c r="AX98" i="4"/>
  <c r="AX99" i="4"/>
  <c r="AX100" i="4"/>
  <c r="AX101" i="4"/>
  <c r="AX102" i="4"/>
  <c r="AX103" i="4"/>
  <c r="AX104" i="4"/>
  <c r="AX105" i="4"/>
  <c r="AX106" i="4"/>
  <c r="AX107" i="4"/>
  <c r="AX108" i="4"/>
  <c r="AX109" i="4"/>
  <c r="AX110" i="4"/>
  <c r="AX111" i="4"/>
  <c r="AX112" i="4"/>
  <c r="AX113" i="4"/>
  <c r="AX114" i="4"/>
  <c r="AX115" i="4"/>
  <c r="AX116" i="4"/>
  <c r="AX117" i="4"/>
  <c r="AX118" i="4"/>
  <c r="AX119" i="4"/>
  <c r="AX120" i="4"/>
  <c r="AX121" i="4"/>
  <c r="AX122" i="4"/>
  <c r="AX123" i="4"/>
  <c r="AX124" i="4"/>
  <c r="AX125" i="4"/>
  <c r="AX126" i="4"/>
  <c r="AX127" i="4"/>
  <c r="AX128" i="4"/>
  <c r="AX129" i="4"/>
  <c r="AX130" i="4"/>
  <c r="AX131" i="4"/>
  <c r="AX132" i="4"/>
  <c r="AX133" i="4"/>
  <c r="AX134" i="4"/>
  <c r="AX135" i="4"/>
  <c r="AX136" i="4"/>
  <c r="AX137" i="4"/>
  <c r="AX138" i="4"/>
  <c r="AX139" i="4"/>
  <c r="AX140" i="4"/>
  <c r="AX141" i="4"/>
  <c r="AX142" i="4"/>
  <c r="AX143" i="4"/>
  <c r="AX144" i="4"/>
  <c r="AX145" i="4"/>
  <c r="AX146" i="4"/>
  <c r="AX147" i="4"/>
  <c r="AX148" i="4"/>
  <c r="AX149" i="4"/>
  <c r="AX150" i="4"/>
  <c r="AX151" i="4"/>
  <c r="AX152" i="4"/>
  <c r="AX153" i="4"/>
  <c r="AX154" i="4"/>
  <c r="AX155" i="4"/>
  <c r="AX156" i="4"/>
  <c r="AX157" i="4"/>
  <c r="AX158" i="4"/>
  <c r="AX159" i="4"/>
  <c r="AX160" i="4"/>
  <c r="AX161" i="4"/>
  <c r="AX162" i="4"/>
  <c r="AX163" i="4"/>
  <c r="AX164" i="4"/>
  <c r="AX165" i="4"/>
  <c r="AX166" i="4"/>
  <c r="AX167" i="4"/>
  <c r="AX168" i="4"/>
  <c r="AX169" i="4"/>
  <c r="AX170" i="4"/>
  <c r="AX171" i="4"/>
  <c r="AX172" i="4"/>
  <c r="AX173" i="4"/>
  <c r="AX174" i="4"/>
  <c r="AX175" i="4"/>
  <c r="AX176" i="4"/>
  <c r="AX177" i="4"/>
  <c r="AX178" i="4"/>
  <c r="AX179" i="4"/>
  <c r="AX180" i="4"/>
  <c r="AX181" i="4"/>
  <c r="AX182" i="4"/>
  <c r="AX183" i="4"/>
  <c r="AX184" i="4"/>
  <c r="AX185" i="4"/>
  <c r="AX186" i="4"/>
  <c r="AX187" i="4"/>
  <c r="AX188" i="4"/>
  <c r="AX189" i="4"/>
  <c r="AX190" i="4"/>
  <c r="AX191" i="4"/>
  <c r="AX192" i="4"/>
  <c r="AX193" i="4"/>
  <c r="AX194" i="4"/>
  <c r="AX195" i="4"/>
  <c r="AX196" i="4"/>
  <c r="AX197" i="4"/>
  <c r="AX198" i="4"/>
  <c r="AX199" i="4"/>
  <c r="AX200" i="4"/>
  <c r="AX201" i="4"/>
  <c r="AX202" i="4"/>
  <c r="AX203" i="4"/>
  <c r="AX204" i="4"/>
  <c r="AX205" i="4"/>
  <c r="AX206" i="4"/>
  <c r="AX207" i="4"/>
  <c r="AX208" i="4"/>
  <c r="AX209" i="4"/>
  <c r="AX210" i="4"/>
  <c r="AX211" i="4"/>
  <c r="AX212" i="4"/>
  <c r="AX213" i="4"/>
  <c r="AX214" i="4"/>
  <c r="AX215" i="4"/>
  <c r="AX216" i="4"/>
  <c r="AX217" i="4"/>
  <c r="AX218" i="4"/>
  <c r="AX219" i="4"/>
  <c r="AX220" i="4"/>
  <c r="AX221" i="4"/>
  <c r="AX222" i="4"/>
  <c r="AX223" i="4"/>
  <c r="AX224" i="4"/>
  <c r="AX225" i="4"/>
  <c r="AX226" i="4"/>
  <c r="AX227" i="4"/>
  <c r="AX228" i="4"/>
  <c r="AX229" i="4"/>
  <c r="AX230" i="4"/>
  <c r="AX231" i="4"/>
  <c r="AX232" i="4"/>
  <c r="AX233" i="4"/>
  <c r="AX234" i="4"/>
  <c r="AX235" i="4"/>
  <c r="AX236" i="4"/>
  <c r="AX237" i="4"/>
  <c r="AX238" i="4"/>
  <c r="AX239" i="4"/>
  <c r="AX240" i="4"/>
  <c r="AX241" i="4"/>
  <c r="AX242" i="4"/>
  <c r="AX243" i="4"/>
  <c r="AX244" i="4"/>
  <c r="AX245" i="4"/>
  <c r="AX246" i="4"/>
  <c r="AX247" i="4"/>
  <c r="AX248" i="4"/>
  <c r="AX249" i="4"/>
  <c r="AX250" i="4"/>
  <c r="AX251" i="4"/>
  <c r="AX252" i="4"/>
  <c r="AX253" i="4"/>
  <c r="AX254" i="4"/>
  <c r="AX255" i="4"/>
  <c r="AX256" i="4"/>
  <c r="AX257" i="4"/>
  <c r="AX258" i="4"/>
  <c r="AX259" i="4"/>
  <c r="AX260" i="4"/>
  <c r="AX261" i="4"/>
  <c r="AX262" i="4"/>
  <c r="AX263" i="4"/>
  <c r="AX264" i="4"/>
  <c r="AX265" i="4"/>
  <c r="AX266" i="4"/>
  <c r="AX267" i="4"/>
  <c r="AX268" i="4"/>
  <c r="AX269" i="4"/>
  <c r="AX270" i="4"/>
  <c r="AX271" i="4"/>
  <c r="AX272" i="4"/>
  <c r="AX273" i="4"/>
  <c r="AX274" i="4"/>
  <c r="AX275" i="4"/>
  <c r="AX276" i="4"/>
  <c r="AX277" i="4"/>
  <c r="AX278" i="4"/>
  <c r="AX279" i="4"/>
  <c r="AX280" i="4"/>
  <c r="AX281" i="4"/>
  <c r="AX282" i="4"/>
  <c r="AX283" i="4"/>
  <c r="AX284" i="4"/>
  <c r="AX285" i="4"/>
  <c r="AX286" i="4"/>
  <c r="AX287" i="4"/>
  <c r="AX288" i="4"/>
  <c r="AX289" i="4"/>
  <c r="AX290" i="4"/>
  <c r="AX291" i="4"/>
  <c r="AX292" i="4"/>
  <c r="AX293" i="4"/>
  <c r="AX294" i="4"/>
  <c r="AX295" i="4"/>
  <c r="AX296" i="4"/>
  <c r="AX297" i="4"/>
  <c r="AX298" i="4"/>
  <c r="AX299" i="4"/>
  <c r="AX300" i="4"/>
  <c r="AX301" i="4"/>
  <c r="AX302" i="4"/>
  <c r="AX303" i="4"/>
  <c r="AX304" i="4"/>
  <c r="AX305" i="4"/>
  <c r="AX306" i="4"/>
  <c r="AX307" i="4"/>
  <c r="AX308" i="4"/>
  <c r="AX309" i="4"/>
  <c r="AX310" i="4"/>
  <c r="AX311" i="4"/>
  <c r="AX312" i="4"/>
  <c r="AX313" i="4"/>
  <c r="AX314" i="4"/>
  <c r="AX315" i="4"/>
  <c r="AX316" i="4"/>
  <c r="AX317" i="4"/>
  <c r="AX318" i="4"/>
  <c r="AX319" i="4"/>
  <c r="AX320" i="4"/>
  <c r="AX321" i="4"/>
  <c r="AX322" i="4"/>
  <c r="AX323" i="4"/>
  <c r="AX324" i="4"/>
  <c r="AX325" i="4"/>
  <c r="AX326" i="4"/>
  <c r="AX327" i="4"/>
  <c r="AX328" i="4"/>
  <c r="AX329" i="4"/>
  <c r="AX330" i="4"/>
  <c r="AX331" i="4"/>
  <c r="AX332" i="4"/>
  <c r="AX333" i="4"/>
  <c r="AX334" i="4"/>
  <c r="AX335" i="4"/>
  <c r="AX336" i="4"/>
  <c r="AX337" i="4"/>
  <c r="AX338" i="4"/>
  <c r="AX339" i="4"/>
  <c r="AX340" i="4"/>
  <c r="AX341" i="4"/>
  <c r="AX342" i="4"/>
  <c r="AX343" i="4"/>
  <c r="AX344" i="4"/>
  <c r="AX345" i="4"/>
  <c r="AX346" i="4"/>
  <c r="AX347" i="4"/>
  <c r="AX348" i="4"/>
  <c r="AX349" i="4"/>
  <c r="AX350" i="4"/>
  <c r="AX351" i="4"/>
  <c r="AX352" i="4"/>
  <c r="AX353" i="4"/>
  <c r="AX354" i="4"/>
  <c r="AX355" i="4"/>
  <c r="AX356" i="4"/>
  <c r="AX357" i="4"/>
  <c r="AX358" i="4"/>
  <c r="AX359" i="4"/>
  <c r="AX360" i="4"/>
  <c r="AX361" i="4"/>
  <c r="AX362" i="4"/>
  <c r="AX363" i="4"/>
  <c r="AX364" i="4"/>
  <c r="AX365" i="4"/>
  <c r="AX366" i="4"/>
  <c r="AX367" i="4"/>
  <c r="AX368" i="4"/>
  <c r="AX369" i="4"/>
  <c r="AX370" i="4"/>
  <c r="AX371" i="4"/>
  <c r="AX372" i="4"/>
  <c r="AX373" i="4"/>
  <c r="AX374" i="4"/>
  <c r="AX375" i="4"/>
  <c r="AX376" i="4"/>
  <c r="AX377" i="4"/>
  <c r="AX378" i="4"/>
  <c r="AX379" i="4"/>
  <c r="AX380" i="4"/>
  <c r="AX381" i="4"/>
  <c r="AX382" i="4"/>
  <c r="AX383" i="4"/>
  <c r="I2" i="4"/>
  <c r="I3" i="5"/>
  <c r="T32" i="4" s="1"/>
  <c r="I4" i="5"/>
  <c r="T98" i="4" s="1"/>
  <c r="I5" i="5"/>
  <c r="T120" i="4" s="1"/>
  <c r="I6" i="5"/>
  <c r="I7" i="5"/>
  <c r="I8" i="5"/>
  <c r="T304" i="4" s="1"/>
  <c r="I9" i="5"/>
  <c r="T14" i="4" s="1"/>
  <c r="I10" i="5"/>
  <c r="I11" i="5"/>
  <c r="T325" i="4" s="1"/>
  <c r="I12" i="5"/>
  <c r="T272" i="4" s="1"/>
  <c r="I13" i="5"/>
  <c r="T82" i="4" s="1"/>
  <c r="I14" i="5"/>
  <c r="I15" i="5"/>
  <c r="I16" i="5"/>
  <c r="T108" i="4" s="1"/>
  <c r="I17" i="5"/>
  <c r="T290" i="4" s="1"/>
  <c r="I18" i="5"/>
  <c r="I19" i="5"/>
  <c r="T291" i="4" s="1"/>
  <c r="I20" i="5"/>
  <c r="T110" i="4" s="1"/>
  <c r="I21" i="5"/>
  <c r="T128" i="4" s="1"/>
  <c r="I22" i="5"/>
  <c r="T280" i="4" s="1"/>
  <c r="I23" i="5"/>
  <c r="T121" i="4" s="1"/>
  <c r="I24" i="5"/>
  <c r="T48" i="4" s="1"/>
  <c r="I25" i="5"/>
  <c r="T203" i="4" s="1"/>
  <c r="I26" i="5"/>
  <c r="T303" i="4" s="1"/>
  <c r="I27" i="5"/>
  <c r="T83" i="4" s="1"/>
  <c r="I28" i="5"/>
  <c r="I29" i="5"/>
  <c r="I30" i="5"/>
  <c r="T78" i="4" s="1"/>
  <c r="I31" i="5"/>
  <c r="T56" i="4" s="1"/>
  <c r="I32" i="5"/>
  <c r="T150" i="4" s="1"/>
  <c r="I33" i="5"/>
  <c r="T19" i="4" s="1"/>
  <c r="I34" i="5"/>
  <c r="T158" i="4" s="1"/>
  <c r="I35" i="5"/>
  <c r="I36" i="5"/>
  <c r="T263" i="4" s="1"/>
  <c r="I37" i="5"/>
  <c r="T187" i="4" s="1"/>
  <c r="I38" i="5"/>
  <c r="T309" i="4" s="1"/>
  <c r="I39" i="5"/>
  <c r="T286" i="4" s="1"/>
  <c r="I40" i="5"/>
  <c r="T271" i="4" s="1"/>
  <c r="I41" i="5"/>
  <c r="T189" i="4" s="1"/>
  <c r="I42" i="5"/>
  <c r="T118" i="4" s="1"/>
  <c r="I43" i="5"/>
  <c r="T285" i="4" s="1"/>
  <c r="I44" i="5"/>
  <c r="I45" i="5"/>
  <c r="T246" i="4" s="1"/>
  <c r="I46" i="5"/>
  <c r="T273" i="4" s="1"/>
  <c r="I47" i="5"/>
  <c r="I48" i="5"/>
  <c r="T255" i="4" s="1"/>
  <c r="I49" i="5"/>
  <c r="T135" i="4" s="1"/>
  <c r="I50" i="5"/>
  <c r="T270" i="4" s="1"/>
  <c r="I51" i="5"/>
  <c r="T96" i="4" s="1"/>
  <c r="I52" i="5"/>
  <c r="T302" i="4" s="1"/>
  <c r="I53" i="5"/>
  <c r="I54" i="5"/>
  <c r="I55" i="5"/>
  <c r="T312" i="4" s="1"/>
  <c r="I56" i="5"/>
  <c r="T75" i="4" s="1"/>
  <c r="I57" i="5"/>
  <c r="I58" i="5"/>
  <c r="T288" i="4" s="1"/>
  <c r="I59" i="5"/>
  <c r="I60" i="5"/>
  <c r="I61" i="5"/>
  <c r="I62" i="5"/>
  <c r="I63" i="5"/>
  <c r="T231" i="4" s="1"/>
  <c r="I64" i="5"/>
  <c r="I65" i="5"/>
  <c r="T88" i="4" s="1"/>
  <c r="I66" i="5"/>
  <c r="I67" i="5"/>
  <c r="T339" i="4" s="1"/>
  <c r="I68" i="5"/>
  <c r="T383" i="4" s="1"/>
  <c r="I69" i="5"/>
  <c r="I70" i="5"/>
  <c r="T167" i="4" s="1"/>
  <c r="I71" i="5"/>
  <c r="T89" i="4" s="1"/>
  <c r="I72" i="5"/>
  <c r="T241" i="4" s="1"/>
  <c r="I73" i="5"/>
  <c r="T251" i="4" s="1"/>
  <c r="I74" i="5"/>
  <c r="I75" i="5"/>
  <c r="T54" i="4" s="1"/>
  <c r="I76" i="5"/>
  <c r="T338" i="4" s="1"/>
  <c r="I77" i="5"/>
  <c r="T201" i="4" s="1"/>
  <c r="I78" i="5"/>
  <c r="T142" i="4" s="1"/>
  <c r="I79" i="5"/>
  <c r="T224" i="4" s="1"/>
  <c r="I80" i="5"/>
  <c r="I81" i="5"/>
  <c r="I82" i="5"/>
  <c r="T30" i="4" s="1"/>
  <c r="I83" i="5"/>
  <c r="T123" i="4" s="1"/>
  <c r="I84" i="5"/>
  <c r="I85" i="5"/>
  <c r="T211" i="4" s="1"/>
  <c r="I86" i="5"/>
  <c r="T155" i="4" s="1"/>
  <c r="I87" i="5"/>
  <c r="T133" i="4" s="1"/>
  <c r="I88" i="5"/>
  <c r="T64" i="4" s="1"/>
  <c r="I89" i="5"/>
  <c r="I90" i="5"/>
  <c r="T165" i="4" s="1"/>
  <c r="I91" i="5"/>
  <c r="T210" i="4" s="1"/>
  <c r="I92" i="5"/>
  <c r="T80" i="4" s="1"/>
  <c r="I93" i="5"/>
  <c r="T116" i="4" s="1"/>
  <c r="I94" i="5"/>
  <c r="T244" i="4" s="1"/>
  <c r="I95" i="5"/>
  <c r="T136" i="4" s="1"/>
  <c r="I96" i="5"/>
  <c r="I97" i="5"/>
  <c r="I98" i="5"/>
  <c r="T74" i="4" s="1"/>
  <c r="I99" i="5"/>
  <c r="T237" i="4" s="1"/>
  <c r="I100" i="5"/>
  <c r="I101" i="5"/>
  <c r="T20" i="4" s="1"/>
  <c r="I102" i="5"/>
  <c r="I103" i="5"/>
  <c r="I104" i="5"/>
  <c r="T292" i="4" s="1"/>
  <c r="I105" i="5"/>
  <c r="T55" i="4" s="1"/>
  <c r="I106" i="5"/>
  <c r="T175" i="4" s="1"/>
  <c r="I107" i="5"/>
  <c r="T299" i="4" s="1"/>
  <c r="I108" i="5"/>
  <c r="T301" i="4" s="1"/>
  <c r="I109" i="5"/>
  <c r="T168" i="4" s="1"/>
  <c r="I110" i="5"/>
  <c r="T276" i="4" s="1"/>
  <c r="I111" i="5"/>
  <c r="T298" i="4" s="1"/>
  <c r="I112" i="5"/>
  <c r="I113" i="5"/>
  <c r="T113" i="4" s="1"/>
  <c r="I114" i="5"/>
  <c r="I115" i="5"/>
  <c r="T60" i="4" s="1"/>
  <c r="I116" i="5"/>
  <c r="I117" i="5"/>
  <c r="T297" i="4" s="1"/>
  <c r="I118" i="5"/>
  <c r="I119" i="5"/>
  <c r="I120" i="5"/>
  <c r="I121" i="5"/>
  <c r="T209" i="4" s="1"/>
  <c r="I122" i="5"/>
  <c r="T37" i="4" s="1"/>
  <c r="I123" i="5"/>
  <c r="T315" i="4" s="1"/>
  <c r="I124" i="5"/>
  <c r="T252" i="4" s="1"/>
  <c r="I125" i="5"/>
  <c r="T240" i="4" s="1"/>
  <c r="I126" i="5"/>
  <c r="T151" i="4" s="1"/>
  <c r="I127" i="5"/>
  <c r="T213" i="4" s="1"/>
  <c r="I128" i="5"/>
  <c r="T12" i="4" s="1"/>
  <c r="I129" i="5"/>
  <c r="T62" i="4" s="1"/>
  <c r="I130" i="5"/>
  <c r="T49" i="4" s="1"/>
  <c r="I131" i="5"/>
  <c r="T59" i="4" s="1"/>
  <c r="I132" i="5"/>
  <c r="I133" i="5"/>
  <c r="T107" i="4" s="1"/>
  <c r="I134" i="5"/>
  <c r="I135" i="5"/>
  <c r="T320" i="4" s="1"/>
  <c r="I136" i="5"/>
  <c r="T67" i="4" s="1"/>
  <c r="I137" i="5"/>
  <c r="T248" i="4" s="1"/>
  <c r="I138" i="5"/>
  <c r="T117" i="4" s="1"/>
  <c r="I139" i="5"/>
  <c r="T214" i="4" s="1"/>
  <c r="I140" i="5"/>
  <c r="T111" i="4" s="1"/>
  <c r="I141" i="5"/>
  <c r="T191" i="4" s="1"/>
  <c r="I142" i="5"/>
  <c r="T119" i="4" s="1"/>
  <c r="I143" i="5"/>
  <c r="T368" i="4" s="1"/>
  <c r="I144" i="5"/>
  <c r="T46" i="4" s="1"/>
  <c r="I145" i="5"/>
  <c r="I146" i="5"/>
  <c r="T249" i="4" s="1"/>
  <c r="I147" i="5"/>
  <c r="T192" i="4" s="1"/>
  <c r="I148" i="5"/>
  <c r="I149" i="5"/>
  <c r="T258" i="4" s="1"/>
  <c r="I150" i="5"/>
  <c r="I151" i="5"/>
  <c r="T314" i="4" s="1"/>
  <c r="I152" i="5"/>
  <c r="I153" i="5"/>
  <c r="T176" i="4" s="1"/>
  <c r="I154" i="5"/>
  <c r="T364" i="4" s="1"/>
  <c r="I155" i="5"/>
  <c r="T332" i="4" s="1"/>
  <c r="I156" i="5"/>
  <c r="T330" i="4" s="1"/>
  <c r="I157" i="5"/>
  <c r="I158" i="5"/>
  <c r="T331" i="4" s="1"/>
  <c r="I159" i="5"/>
  <c r="T66" i="4" s="1"/>
  <c r="I160" i="5"/>
  <c r="I161" i="5"/>
  <c r="T196" i="4" s="1"/>
  <c r="I162" i="5"/>
  <c r="T4" i="4" s="1"/>
  <c r="I163" i="5"/>
  <c r="T25" i="4" s="1"/>
  <c r="I164" i="5"/>
  <c r="I165" i="5"/>
  <c r="I166" i="5"/>
  <c r="I167" i="5"/>
  <c r="T250" i="4" s="1"/>
  <c r="I168" i="5"/>
  <c r="T267" i="4" s="1"/>
  <c r="I169" i="5"/>
  <c r="T307" i="4" s="1"/>
  <c r="I170" i="5"/>
  <c r="I171" i="5"/>
  <c r="I172" i="5"/>
  <c r="I173" i="5"/>
  <c r="T63" i="4" s="1"/>
  <c r="I174" i="5"/>
  <c r="I175" i="5"/>
  <c r="T195" i="4" s="1"/>
  <c r="I176" i="5"/>
  <c r="T228" i="4" s="1"/>
  <c r="I177" i="5"/>
  <c r="T308" i="4" s="1"/>
  <c r="I178" i="5"/>
  <c r="T266" i="4" s="1"/>
  <c r="I179" i="5"/>
  <c r="T132" i="4" s="1"/>
  <c r="I180" i="5"/>
  <c r="T65" i="4" s="1"/>
  <c r="I181" i="5"/>
  <c r="T180" i="4" s="1"/>
  <c r="I182" i="5"/>
  <c r="T104" i="4" s="1"/>
  <c r="I183" i="5"/>
  <c r="T50" i="4" s="1"/>
  <c r="I184" i="5"/>
  <c r="T154" i="4" s="1"/>
  <c r="I185" i="5"/>
  <c r="T287" i="4" s="1"/>
  <c r="I186" i="5"/>
  <c r="T375" i="4" s="1"/>
  <c r="I187" i="5"/>
  <c r="T363" i="4" s="1"/>
  <c r="I188" i="5"/>
  <c r="T122" i="4" s="1"/>
  <c r="I189" i="5"/>
  <c r="T190" i="4" s="1"/>
  <c r="I190" i="5"/>
  <c r="T26" i="4" s="1"/>
  <c r="I191" i="5"/>
  <c r="I192" i="5"/>
  <c r="T18" i="4" s="1"/>
  <c r="I193" i="5"/>
  <c r="T264" i="4" s="1"/>
  <c r="I194" i="5"/>
  <c r="T218" i="4" s="1"/>
  <c r="I195" i="5"/>
  <c r="T182" i="4" s="1"/>
  <c r="I196" i="5"/>
  <c r="T188" i="4" s="1"/>
  <c r="I197" i="5"/>
  <c r="I198" i="5"/>
  <c r="T200" i="4" s="1"/>
  <c r="I199" i="5"/>
  <c r="T300" i="4" s="1"/>
  <c r="I200" i="5"/>
  <c r="I201" i="5"/>
  <c r="T134" i="4" s="1"/>
  <c r="I202" i="5"/>
  <c r="T221" i="4" s="1"/>
  <c r="I203" i="5"/>
  <c r="T225" i="4" s="1"/>
  <c r="I204" i="5"/>
  <c r="T254" i="4" s="1"/>
  <c r="I205" i="5"/>
  <c r="T260" i="4" s="1"/>
  <c r="I206" i="5"/>
  <c r="T178" i="4" s="1"/>
  <c r="I207" i="5"/>
  <c r="T359" i="4" s="1"/>
  <c r="I208" i="5"/>
  <c r="T141" i="4" s="1"/>
  <c r="I209" i="5"/>
  <c r="T39" i="4" s="1"/>
  <c r="I210" i="5"/>
  <c r="I211" i="5"/>
  <c r="T296" i="4" s="1"/>
  <c r="I212" i="5"/>
  <c r="I213" i="5"/>
  <c r="T177" i="4" s="1"/>
  <c r="I214" i="5"/>
  <c r="T377" i="4" s="1"/>
  <c r="I215" i="5"/>
  <c r="I216" i="5"/>
  <c r="I217" i="5"/>
  <c r="I218" i="5"/>
  <c r="I219" i="5"/>
  <c r="T140" i="4" s="1"/>
  <c r="I220" i="5"/>
  <c r="T93" i="4" s="1"/>
  <c r="I221" i="5"/>
  <c r="T102" i="4" s="1"/>
  <c r="I222" i="5"/>
  <c r="I223" i="5"/>
  <c r="T161" i="4" s="1"/>
  <c r="I224" i="5"/>
  <c r="I225" i="5"/>
  <c r="T139" i="4" s="1"/>
  <c r="I226" i="5"/>
  <c r="T247" i="4" s="1"/>
  <c r="I227" i="5"/>
  <c r="T347" i="4" s="1"/>
  <c r="I228" i="5"/>
  <c r="I229" i="5"/>
  <c r="I230" i="5"/>
  <c r="I231" i="5"/>
  <c r="T319" i="4" s="1"/>
  <c r="I232" i="5"/>
  <c r="T358" i="4" s="1"/>
  <c r="I233" i="5"/>
  <c r="T95" i="4" s="1"/>
  <c r="I234" i="5"/>
  <c r="T357" i="4" s="1"/>
  <c r="I235" i="5"/>
  <c r="T159" i="4" s="1"/>
  <c r="I236" i="5"/>
  <c r="T79" i="4" s="1"/>
  <c r="I237" i="5"/>
  <c r="T125" i="4" s="1"/>
  <c r="I238" i="5"/>
  <c r="T15" i="4" s="1"/>
  <c r="I239" i="5"/>
  <c r="T156" i="4" s="1"/>
  <c r="I240" i="5"/>
  <c r="T85" i="4" s="1"/>
  <c r="I241" i="5"/>
  <c r="T68" i="4" s="1"/>
  <c r="I242" i="5"/>
  <c r="T11" i="4" s="1"/>
  <c r="I243" i="5"/>
  <c r="I244" i="5"/>
  <c r="T166" i="4" s="1"/>
  <c r="I245" i="5"/>
  <c r="T183" i="4" s="1"/>
  <c r="I246" i="5"/>
  <c r="T69" i="4" s="1"/>
  <c r="I247" i="5"/>
  <c r="I248" i="5"/>
  <c r="T318" i="4" s="1"/>
  <c r="I249" i="5"/>
  <c r="T316" i="4" s="1"/>
  <c r="I250" i="5"/>
  <c r="T199" i="4" s="1"/>
  <c r="I251" i="5"/>
  <c r="T207" i="4" s="1"/>
  <c r="I252" i="5"/>
  <c r="T153" i="4" s="1"/>
  <c r="I253" i="5"/>
  <c r="T322" i="4" s="1"/>
  <c r="I254" i="5"/>
  <c r="T370" i="4" s="1"/>
  <c r="I255" i="5"/>
  <c r="T172" i="4" s="1"/>
  <c r="I256" i="5"/>
  <c r="I257" i="5"/>
  <c r="I258" i="5"/>
  <c r="T160" i="4" s="1"/>
  <c r="I259" i="5"/>
  <c r="I260" i="5"/>
  <c r="T179" i="4" s="1"/>
  <c r="I261" i="5"/>
  <c r="T84" i="4" s="1"/>
  <c r="I262" i="5"/>
  <c r="T353" i="4" s="1"/>
  <c r="I263" i="5"/>
  <c r="I264" i="5"/>
  <c r="T138" i="4" s="1"/>
  <c r="I265" i="5"/>
  <c r="T33" i="4" s="1"/>
  <c r="I266" i="5"/>
  <c r="T109" i="4" s="1"/>
  <c r="I267" i="5"/>
  <c r="T194" i="4" s="1"/>
  <c r="I268" i="5"/>
  <c r="T169" i="4" s="1"/>
  <c r="I269" i="5"/>
  <c r="I270" i="5"/>
  <c r="I271" i="5"/>
  <c r="T44" i="4" s="1"/>
  <c r="I272" i="5"/>
  <c r="T7" i="4" s="1"/>
  <c r="I273" i="5"/>
  <c r="T198" i="4" s="1"/>
  <c r="I274" i="5"/>
  <c r="T124" i="4" s="1"/>
  <c r="I275" i="5"/>
  <c r="T129" i="4" s="1"/>
  <c r="I276" i="5"/>
  <c r="T222" i="4" s="1"/>
  <c r="I277" i="5"/>
  <c r="T171" i="4" s="1"/>
  <c r="I278" i="5"/>
  <c r="T163" i="4" s="1"/>
  <c r="I279" i="5"/>
  <c r="I280" i="5"/>
  <c r="T306" i="4" s="1"/>
  <c r="I281" i="5"/>
  <c r="T282" i="4" s="1"/>
  <c r="I282" i="5"/>
  <c r="T73" i="4" s="1"/>
  <c r="I283" i="5"/>
  <c r="T216" i="4" s="1"/>
  <c r="I284" i="5"/>
  <c r="T215" i="4" s="1"/>
  <c r="I285" i="5"/>
  <c r="T275" i="4" s="1"/>
  <c r="I286" i="5"/>
  <c r="T72" i="4" s="1"/>
  <c r="I287" i="5"/>
  <c r="I288" i="5"/>
  <c r="T112" i="4" s="1"/>
  <c r="I289" i="5"/>
  <c r="T34" i="4" s="1"/>
  <c r="I290" i="5"/>
  <c r="T92" i="4" s="1"/>
  <c r="I291" i="5"/>
  <c r="I292" i="5"/>
  <c r="I293" i="5"/>
  <c r="I294" i="5"/>
  <c r="I295" i="5"/>
  <c r="T27" i="4" s="1"/>
  <c r="I296" i="5"/>
  <c r="I297" i="5"/>
  <c r="I298" i="5"/>
  <c r="T40" i="4" s="1"/>
  <c r="I299" i="5"/>
  <c r="T257" i="4" s="1"/>
  <c r="I300" i="5"/>
  <c r="T28" i="4" s="1"/>
  <c r="I301" i="5"/>
  <c r="I302" i="5"/>
  <c r="T47" i="4" s="1"/>
  <c r="I303" i="5"/>
  <c r="T105" i="4" s="1"/>
  <c r="I304" i="5"/>
  <c r="I305" i="5"/>
  <c r="T126" i="4" s="1"/>
  <c r="I306" i="5"/>
  <c r="T127" i="4" s="1"/>
  <c r="I307" i="5"/>
  <c r="T284" i="4" s="1"/>
  <c r="I308" i="5"/>
  <c r="T145" i="4" s="1"/>
  <c r="I309" i="5"/>
  <c r="T77" i="4" s="1"/>
  <c r="I310" i="5"/>
  <c r="T239" i="4" s="1"/>
  <c r="I311" i="5"/>
  <c r="I312" i="5"/>
  <c r="T31" i="4" s="1"/>
  <c r="I313" i="5"/>
  <c r="T17" i="4" s="1"/>
  <c r="I314" i="5"/>
  <c r="I315" i="5"/>
  <c r="T76" i="4" s="1"/>
  <c r="I316" i="5"/>
  <c r="I317" i="5"/>
  <c r="I318" i="5"/>
  <c r="I319" i="5"/>
  <c r="I320" i="5"/>
  <c r="I321" i="5"/>
  <c r="T8" i="4" s="1"/>
  <c r="I322" i="5"/>
  <c r="T365" i="4" s="1"/>
  <c r="I323" i="5"/>
  <c r="T9" i="4" s="1"/>
  <c r="I324" i="5"/>
  <c r="T143" i="4" s="1"/>
  <c r="I325" i="5"/>
  <c r="T52" i="4" s="1"/>
  <c r="I326" i="5"/>
  <c r="T317" i="4" s="1"/>
  <c r="I327" i="5"/>
  <c r="T208" i="4" s="1"/>
  <c r="I328" i="5"/>
  <c r="T371" i="4" s="1"/>
  <c r="I329" i="5"/>
  <c r="T321" i="4" s="1"/>
  <c r="I330" i="5"/>
  <c r="T313" i="4" s="1"/>
  <c r="I331" i="5"/>
  <c r="T186" i="4" s="1"/>
  <c r="I332" i="5"/>
  <c r="I333" i="5"/>
  <c r="I334" i="5"/>
  <c r="I335" i="5"/>
  <c r="I336" i="5"/>
  <c r="T35" i="4" s="1"/>
  <c r="I337" i="5"/>
  <c r="T170" i="4" s="1"/>
  <c r="I338" i="5"/>
  <c r="T3" i="4" s="1"/>
  <c r="I339" i="5"/>
  <c r="T197" i="4" s="1"/>
  <c r="I340" i="5"/>
  <c r="T230" i="4" s="1"/>
  <c r="I341" i="5"/>
  <c r="I342" i="5"/>
  <c r="T58" i="4" s="1"/>
  <c r="I343" i="5"/>
  <c r="T53" i="4" s="1"/>
  <c r="I344" i="5"/>
  <c r="T6" i="4" s="1"/>
  <c r="I345" i="5"/>
  <c r="T148" i="4" s="1"/>
  <c r="I346" i="5"/>
  <c r="T36" i="4" s="1"/>
  <c r="I347" i="5"/>
  <c r="T204" i="4" s="1"/>
  <c r="I348" i="5"/>
  <c r="I349" i="5"/>
  <c r="T41" i="4" s="1"/>
  <c r="I350" i="5"/>
  <c r="T378" i="4" s="1"/>
  <c r="I351" i="5"/>
  <c r="T220" i="4" s="1"/>
  <c r="I352" i="5"/>
  <c r="T71" i="4" s="1"/>
  <c r="I353" i="5"/>
  <c r="T324" i="4" s="1"/>
  <c r="I354" i="5"/>
  <c r="T233" i="4" s="1"/>
  <c r="I355" i="5"/>
  <c r="T277" i="4" s="1"/>
  <c r="I356" i="5"/>
  <c r="T10" i="4" s="1"/>
  <c r="I357" i="5"/>
  <c r="I358" i="5"/>
  <c r="T212" i="4" s="1"/>
  <c r="I359" i="5"/>
  <c r="I360" i="5"/>
  <c r="I361" i="5"/>
  <c r="T101" i="4" s="1"/>
  <c r="I362" i="5"/>
  <c r="I363" i="5"/>
  <c r="T94" i="4" s="1"/>
  <c r="I364" i="5"/>
  <c r="T24" i="4" s="1"/>
  <c r="I365" i="5"/>
  <c r="T265" i="4" s="1"/>
  <c r="I366" i="5"/>
  <c r="T22" i="4" s="1"/>
  <c r="I367" i="5"/>
  <c r="T356" i="4" s="1"/>
  <c r="I368" i="5"/>
  <c r="T229" i="4" s="1"/>
  <c r="I369" i="5"/>
  <c r="T103" i="4" s="1"/>
  <c r="I370" i="5"/>
  <c r="T242" i="4" s="1"/>
  <c r="I371" i="5"/>
  <c r="T51" i="4" s="1"/>
  <c r="I372" i="5"/>
  <c r="T236" i="4" s="1"/>
  <c r="I373" i="5"/>
  <c r="T114" i="4" s="1"/>
  <c r="I374" i="5"/>
  <c r="T269" i="4" s="1"/>
  <c r="I375" i="5"/>
  <c r="I376" i="5"/>
  <c r="I377" i="5"/>
  <c r="T256" i="4" s="1"/>
  <c r="I378" i="5"/>
  <c r="T293" i="4" s="1"/>
  <c r="I379" i="5"/>
  <c r="T350" i="4" s="1"/>
  <c r="I380" i="5"/>
  <c r="T21" i="4" s="1"/>
  <c r="I381" i="5"/>
  <c r="T232" i="4" s="1"/>
  <c r="I382" i="5"/>
  <c r="T349" i="4" s="1"/>
  <c r="I383" i="5"/>
  <c r="T157" i="4" s="1"/>
  <c r="I384" i="5"/>
  <c r="T226" i="4" s="1"/>
  <c r="I385" i="5"/>
  <c r="T100" i="4" s="1"/>
  <c r="I386" i="5"/>
  <c r="T61" i="4" s="1"/>
  <c r="I387" i="5"/>
  <c r="T29" i="4" s="1"/>
  <c r="I388" i="5"/>
  <c r="T310" i="4" s="1"/>
  <c r="I389" i="5"/>
  <c r="T23" i="4" s="1"/>
  <c r="I390" i="5"/>
  <c r="T45" i="4" s="1"/>
  <c r="I391" i="5"/>
  <c r="T81" i="4" s="1"/>
  <c r="I392" i="5"/>
  <c r="T70" i="4" s="1"/>
  <c r="I393" i="5"/>
  <c r="T289" i="4" s="1"/>
  <c r="I394" i="5"/>
  <c r="T5" i="4" s="1"/>
  <c r="I395" i="5"/>
  <c r="I396" i="5"/>
  <c r="T337" i="4" s="1"/>
  <c r="I397" i="5"/>
  <c r="T131" i="4" s="1"/>
  <c r="I398" i="5"/>
  <c r="T181" i="4" s="1"/>
  <c r="I399" i="5"/>
  <c r="T305" i="4" s="1"/>
  <c r="I400" i="5"/>
  <c r="T146" i="4" s="1"/>
  <c r="I401" i="5"/>
  <c r="I402" i="5"/>
  <c r="T261" i="4" s="1"/>
  <c r="I403" i="5"/>
  <c r="T262" i="4" s="1"/>
  <c r="I404" i="5"/>
  <c r="I405" i="5"/>
  <c r="T329" i="4" s="1"/>
  <c r="I406" i="5"/>
  <c r="T274" i="4" s="1"/>
  <c r="I407" i="5"/>
  <c r="T173" i="4" s="1"/>
  <c r="I408" i="5"/>
  <c r="I409" i="5"/>
  <c r="T149" i="4" s="1"/>
  <c r="I410" i="5"/>
  <c r="T115" i="4" s="1"/>
  <c r="I411" i="5"/>
  <c r="I412" i="5"/>
  <c r="T345" i="4" s="1"/>
  <c r="I413" i="5"/>
  <c r="I414" i="5"/>
  <c r="T217" i="4" s="1"/>
  <c r="I415" i="5"/>
  <c r="T152" i="4" s="1"/>
  <c r="I416" i="5"/>
  <c r="T294" i="4" s="1"/>
  <c r="I417" i="5"/>
  <c r="T137" i="4" s="1"/>
  <c r="I418" i="5"/>
  <c r="T278" i="4" s="1"/>
  <c r="I419" i="5"/>
  <c r="T184" i="4" s="1"/>
  <c r="I420" i="5"/>
  <c r="T99" i="4" s="1"/>
  <c r="I421" i="5"/>
  <c r="T227" i="4" s="1"/>
  <c r="I422" i="5"/>
  <c r="I423" i="5"/>
  <c r="T86" i="4" s="1"/>
  <c r="I424" i="5"/>
  <c r="I425" i="5"/>
  <c r="T334" i="4" s="1"/>
  <c r="I426" i="5"/>
  <c r="T360" i="4" s="1"/>
  <c r="I427" i="5"/>
  <c r="T343" i="4" s="1"/>
  <c r="I428" i="5"/>
  <c r="T42" i="4" s="1"/>
  <c r="I429" i="5"/>
  <c r="T352" i="4" s="1"/>
  <c r="I430" i="5"/>
  <c r="I431" i="5"/>
  <c r="I432" i="5"/>
  <c r="T380" i="4" s="1"/>
  <c r="I433" i="5"/>
  <c r="I434" i="5"/>
  <c r="T295" i="4" s="1"/>
  <c r="I435" i="5"/>
  <c r="T164" i="4" s="1"/>
  <c r="I436" i="5"/>
  <c r="T234" i="4" s="1"/>
  <c r="I437" i="5"/>
  <c r="T219" i="4" s="1"/>
  <c r="I438" i="5"/>
  <c r="T43" i="4" s="1"/>
  <c r="I439" i="5"/>
  <c r="I440" i="5"/>
  <c r="T311" i="4" s="1"/>
  <c r="I441" i="5"/>
  <c r="T327" i="4" s="1"/>
  <c r="I442" i="5"/>
  <c r="T87" i="4" s="1"/>
  <c r="I443" i="5"/>
  <c r="T130" i="4" s="1"/>
  <c r="I444" i="5"/>
  <c r="T235" i="4" s="1"/>
  <c r="I445" i="5"/>
  <c r="T245" i="4" s="1"/>
  <c r="I446" i="5"/>
  <c r="I447" i="5"/>
  <c r="I448" i="5"/>
  <c r="T202" i="4" s="1"/>
  <c r="I449" i="5"/>
  <c r="T253" i="4" s="1"/>
  <c r="I450" i="5"/>
  <c r="T97" i="4" s="1"/>
  <c r="I451" i="5"/>
  <c r="T362" i="4" s="1"/>
  <c r="I452" i="5"/>
  <c r="T57" i="4" s="1"/>
  <c r="I453" i="5"/>
  <c r="T283" i="4" s="1"/>
  <c r="I454" i="5"/>
  <c r="T162" i="4" s="1"/>
  <c r="I455" i="5"/>
  <c r="T279" i="4" s="1"/>
  <c r="I456" i="5"/>
  <c r="T340" i="4" s="1"/>
  <c r="I457" i="5"/>
  <c r="T238" i="4" s="1"/>
  <c r="I458" i="5"/>
  <c r="I459" i="5"/>
  <c r="T193" i="4" s="1"/>
  <c r="I460" i="5"/>
  <c r="I461" i="5"/>
  <c r="I462" i="5"/>
  <c r="T348" i="4" s="1"/>
  <c r="I463" i="5"/>
  <c r="T91" i="4" s="1"/>
  <c r="I464" i="5"/>
  <c r="T174" i="4" s="1"/>
  <c r="I465" i="5"/>
  <c r="T342" i="4" s="1"/>
  <c r="I466" i="5"/>
  <c r="I467" i="5"/>
  <c r="T38" i="4" s="1"/>
  <c r="I468" i="5"/>
  <c r="T13" i="4" s="1"/>
  <c r="I469" i="5"/>
  <c r="T243" i="4" s="1"/>
  <c r="I470" i="5"/>
  <c r="T323" i="4" s="1"/>
  <c r="I471" i="5"/>
  <c r="T106" i="4" s="1"/>
  <c r="I472" i="5"/>
  <c r="I473" i="5"/>
  <c r="T185" i="4" s="1"/>
  <c r="I474" i="5"/>
  <c r="T90" i="4" s="1"/>
  <c r="I475" i="5"/>
  <c r="I476" i="5"/>
  <c r="T2" i="4" s="1"/>
  <c r="I477" i="5"/>
  <c r="T268" i="4" s="1"/>
  <c r="I478" i="5"/>
  <c r="T326" i="4" s="1"/>
  <c r="I479" i="5"/>
  <c r="T147" i="4" s="1"/>
  <c r="I480" i="5"/>
  <c r="T259" i="4" s="1"/>
  <c r="I481" i="5"/>
  <c r="T223" i="4" s="1"/>
  <c r="I482" i="5"/>
  <c r="T355" i="4" s="1"/>
  <c r="I483" i="5"/>
  <c r="T354" i="4" s="1"/>
  <c r="I484" i="5"/>
  <c r="T16" i="4" s="1"/>
  <c r="I485" i="5"/>
  <c r="T381" i="4" s="1"/>
  <c r="I486" i="5"/>
  <c r="T205" i="4" s="1"/>
  <c r="I487" i="5"/>
  <c r="T372" i="4" s="1"/>
  <c r="I488" i="5"/>
  <c r="T346" i="4" s="1"/>
  <c r="I489" i="5"/>
  <c r="T335" i="4" s="1"/>
  <c r="I490" i="5"/>
  <c r="T144" i="4" s="1"/>
  <c r="I491" i="5"/>
  <c r="T351" i="4" s="1"/>
  <c r="I492" i="5"/>
  <c r="T373" i="4" s="1"/>
  <c r="I493" i="5"/>
  <c r="T367" i="4" s="1"/>
  <c r="I494" i="5"/>
  <c r="T376" i="4" s="1"/>
  <c r="I495" i="5"/>
  <c r="T336" i="4" s="1"/>
  <c r="I496" i="5"/>
  <c r="T366" i="4" s="1"/>
  <c r="I497" i="5"/>
  <c r="T328" i="4" s="1"/>
  <c r="I498" i="5"/>
  <c r="T379" i="4" s="1"/>
  <c r="I499" i="5"/>
  <c r="T374" i="4" s="1"/>
  <c r="I500" i="5"/>
  <c r="T369" i="4" s="1"/>
  <c r="I501" i="5"/>
  <c r="T382" i="4" s="1"/>
  <c r="I502" i="5"/>
  <c r="T206" i="4" s="1"/>
  <c r="I503" i="5"/>
  <c r="T333" i="4" s="1"/>
  <c r="I504" i="5"/>
  <c r="T344" i="4" s="1"/>
  <c r="I505" i="5"/>
  <c r="T361" i="4" s="1"/>
  <c r="I506" i="5"/>
  <c r="T341" i="4" s="1"/>
  <c r="I2" i="5"/>
  <c r="T281" i="4" s="1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O12" i="4" l="1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173" i="4"/>
  <c r="O174" i="4"/>
  <c r="O175" i="4"/>
  <c r="O176" i="4"/>
  <c r="O177" i="4"/>
  <c r="O178" i="4"/>
  <c r="O179" i="4"/>
  <c r="O180" i="4"/>
  <c r="O181" i="4"/>
  <c r="O182" i="4"/>
  <c r="O183" i="4"/>
  <c r="O184" i="4"/>
  <c r="O185" i="4"/>
  <c r="O186" i="4"/>
  <c r="O187" i="4"/>
  <c r="O188" i="4"/>
  <c r="O189" i="4"/>
  <c r="O190" i="4"/>
  <c r="O191" i="4"/>
  <c r="O192" i="4"/>
  <c r="O193" i="4"/>
  <c r="O194" i="4"/>
  <c r="O195" i="4"/>
  <c r="O196" i="4"/>
  <c r="O197" i="4"/>
  <c r="O198" i="4"/>
  <c r="O199" i="4"/>
  <c r="O200" i="4"/>
  <c r="O201" i="4"/>
  <c r="O202" i="4"/>
  <c r="O203" i="4"/>
  <c r="O204" i="4"/>
  <c r="O205" i="4"/>
  <c r="O206" i="4"/>
  <c r="O207" i="4"/>
  <c r="O208" i="4"/>
  <c r="O209" i="4"/>
  <c r="O210" i="4"/>
  <c r="O211" i="4"/>
  <c r="O212" i="4"/>
  <c r="O213" i="4"/>
  <c r="O214" i="4"/>
  <c r="O215" i="4"/>
  <c r="O216" i="4"/>
  <c r="O217" i="4"/>
  <c r="O218" i="4"/>
  <c r="O219" i="4"/>
  <c r="O220" i="4"/>
  <c r="O221" i="4"/>
  <c r="O222" i="4"/>
  <c r="O223" i="4"/>
  <c r="O224" i="4"/>
  <c r="O225" i="4"/>
  <c r="O226" i="4"/>
  <c r="O227" i="4"/>
  <c r="O228" i="4"/>
  <c r="O229" i="4"/>
  <c r="O230" i="4"/>
  <c r="O231" i="4"/>
  <c r="O232" i="4"/>
  <c r="O233" i="4"/>
  <c r="O234" i="4"/>
  <c r="O235" i="4"/>
  <c r="O236" i="4"/>
  <c r="O237" i="4"/>
  <c r="O238" i="4"/>
  <c r="O239" i="4"/>
  <c r="O240" i="4"/>
  <c r="O241" i="4"/>
  <c r="O242" i="4"/>
  <c r="O243" i="4"/>
  <c r="O244" i="4"/>
  <c r="O245" i="4"/>
  <c r="O246" i="4"/>
  <c r="O247" i="4"/>
  <c r="O248" i="4"/>
  <c r="O249" i="4"/>
  <c r="O250" i="4"/>
  <c r="O251" i="4"/>
  <c r="O252" i="4"/>
  <c r="O253" i="4"/>
  <c r="O254" i="4"/>
  <c r="O255" i="4"/>
  <c r="O256" i="4"/>
  <c r="O257" i="4"/>
  <c r="O258" i="4"/>
  <c r="O259" i="4"/>
  <c r="O260" i="4"/>
  <c r="O261" i="4"/>
  <c r="O262" i="4"/>
  <c r="O263" i="4"/>
  <c r="O264" i="4"/>
  <c r="O265" i="4"/>
  <c r="O266" i="4"/>
  <c r="O267" i="4"/>
  <c r="O268" i="4"/>
  <c r="O269" i="4"/>
  <c r="O270" i="4"/>
  <c r="O271" i="4"/>
  <c r="O272" i="4"/>
  <c r="O273" i="4"/>
  <c r="O274" i="4"/>
  <c r="O275" i="4"/>
  <c r="O276" i="4"/>
  <c r="O277" i="4"/>
  <c r="O278" i="4"/>
  <c r="O279" i="4"/>
  <c r="O280" i="4"/>
  <c r="O281" i="4"/>
  <c r="O282" i="4"/>
  <c r="O283" i="4"/>
  <c r="O284" i="4"/>
  <c r="O285" i="4"/>
  <c r="O286" i="4"/>
  <c r="O287" i="4"/>
  <c r="O288" i="4"/>
  <c r="O289" i="4"/>
  <c r="O290" i="4"/>
  <c r="O291" i="4"/>
  <c r="O292" i="4"/>
  <c r="O293" i="4"/>
  <c r="O294" i="4"/>
  <c r="O295" i="4"/>
  <c r="O296" i="4"/>
  <c r="O297" i="4"/>
  <c r="O298" i="4"/>
  <c r="O299" i="4"/>
  <c r="O300" i="4"/>
  <c r="O301" i="4"/>
  <c r="O302" i="4"/>
  <c r="O303" i="4"/>
  <c r="O304" i="4"/>
  <c r="O305" i="4"/>
  <c r="O306" i="4"/>
  <c r="O307" i="4"/>
  <c r="O308" i="4"/>
  <c r="O309" i="4"/>
  <c r="O310" i="4"/>
  <c r="O311" i="4"/>
  <c r="O312" i="4"/>
  <c r="O313" i="4"/>
  <c r="O314" i="4"/>
  <c r="O315" i="4"/>
  <c r="O316" i="4"/>
  <c r="O317" i="4"/>
  <c r="O318" i="4"/>
  <c r="O319" i="4"/>
  <c r="O320" i="4"/>
  <c r="O321" i="4"/>
  <c r="O322" i="4"/>
  <c r="O323" i="4"/>
  <c r="O324" i="4"/>
  <c r="O325" i="4"/>
  <c r="O326" i="4"/>
  <c r="O327" i="4"/>
  <c r="O328" i="4"/>
  <c r="O329" i="4"/>
  <c r="O330" i="4"/>
  <c r="O331" i="4"/>
  <c r="O332" i="4"/>
  <c r="O333" i="4"/>
  <c r="O334" i="4"/>
  <c r="O335" i="4"/>
  <c r="O336" i="4"/>
  <c r="O337" i="4"/>
  <c r="O338" i="4"/>
  <c r="O339" i="4"/>
  <c r="O340" i="4"/>
  <c r="O341" i="4"/>
  <c r="O342" i="4"/>
  <c r="O343" i="4"/>
  <c r="O344" i="4"/>
  <c r="O345" i="4"/>
  <c r="O346" i="4"/>
  <c r="O347" i="4"/>
  <c r="O348" i="4"/>
  <c r="O349" i="4"/>
  <c r="O350" i="4"/>
  <c r="O351" i="4"/>
  <c r="O352" i="4"/>
  <c r="O353" i="4"/>
  <c r="O354" i="4"/>
  <c r="O355" i="4"/>
  <c r="O356" i="4"/>
  <c r="O357" i="4"/>
  <c r="O358" i="4"/>
  <c r="O359" i="4"/>
  <c r="O360" i="4"/>
  <c r="O361" i="4"/>
  <c r="O362" i="4"/>
  <c r="O363" i="4"/>
  <c r="O364" i="4"/>
  <c r="O365" i="4"/>
  <c r="O366" i="4"/>
  <c r="O367" i="4"/>
  <c r="O368" i="4"/>
  <c r="O369" i="4"/>
  <c r="O370" i="4"/>
  <c r="O371" i="4"/>
  <c r="O372" i="4"/>
  <c r="O373" i="4"/>
  <c r="O374" i="4"/>
  <c r="O375" i="4"/>
  <c r="O376" i="4"/>
  <c r="O377" i="4"/>
  <c r="O378" i="4"/>
  <c r="O379" i="4"/>
  <c r="O380" i="4"/>
  <c r="O381" i="4"/>
  <c r="O382" i="4"/>
  <c r="O383" i="4"/>
  <c r="O3" i="4"/>
  <c r="O4" i="4"/>
  <c r="O5" i="4"/>
  <c r="O6" i="4"/>
  <c r="O7" i="4"/>
  <c r="O8" i="4"/>
  <c r="O9" i="4"/>
  <c r="O10" i="4"/>
  <c r="O11" i="4"/>
  <c r="O2" i="4"/>
</calcChain>
</file>

<file path=xl/sharedStrings.xml><?xml version="1.0" encoding="utf-8"?>
<sst xmlns="http://schemas.openxmlformats.org/spreadsheetml/2006/main" count="31014" uniqueCount="5036">
  <si>
    <t>DNI</t>
  </si>
  <si>
    <t>APELLIDOS Y NOMBRES COMPLETO</t>
  </si>
  <si>
    <t>CORREO</t>
  </si>
  <si>
    <t>GRADO</t>
  </si>
  <si>
    <t>PROGRAMA</t>
  </si>
  <si>
    <t>NOTA FINAL</t>
  </si>
  <si>
    <t>SITUACIÓN</t>
  </si>
  <si>
    <t>CORREA CHILON DAVID GEREMIAS</t>
  </si>
  <si>
    <t>david.correa@gmail.com</t>
  </si>
  <si>
    <t>DOCTORADO</t>
  </si>
  <si>
    <t>Ciencias de la Educación</t>
  </si>
  <si>
    <t>ALCANZÓ VACANTE</t>
  </si>
  <si>
    <t>MIRANDA VILCHEZ WALTER ABEL</t>
  </si>
  <si>
    <t>waltermv37@gmail.com</t>
  </si>
  <si>
    <t>CIEZA PEÑA CARLOS ALBERTO</t>
  </si>
  <si>
    <t>CACIEZA@GMAIL.COM</t>
  </si>
  <si>
    <t>NIÑO MONTERO NANCY</t>
  </si>
  <si>
    <t>nnino@unprg.edu.pe</t>
  </si>
  <si>
    <t>TEPE ATOCHE VICTOR MANUEL</t>
  </si>
  <si>
    <t>cobrepsa@gmail.com</t>
  </si>
  <si>
    <t>CUZQUEN YOCYA SARA RANDY DELIACIR</t>
  </si>
  <si>
    <t>cyocyasarita@gmail.com</t>
  </si>
  <si>
    <t>AMAMBAL PAUCAR JOSE HUMBERTO</t>
  </si>
  <si>
    <t>jamambalp@gmail.com</t>
  </si>
  <si>
    <t>MARTINEZ FERNANDEZ MARIA DEL PILAR</t>
  </si>
  <si>
    <t>mmartinezfe@unprg.edu.pe</t>
  </si>
  <si>
    <t>BUSTAMANTE CERNA DAVID</t>
  </si>
  <si>
    <t>dbustamantece@unprg.edu.pe</t>
  </si>
  <si>
    <t>DELGADO NAMUCHE KATTY ADELAIDA</t>
  </si>
  <si>
    <t>c21721@utp.edu.pe</t>
  </si>
  <si>
    <t>SECLEN SENCIO JOSE ALONSO</t>
  </si>
  <si>
    <t>ppjoal1903@gmail.com</t>
  </si>
  <si>
    <t>MONZÓN PINGLO LUIS ALBERTO</t>
  </si>
  <si>
    <t>lmonzon@unprg.edu.pe</t>
  </si>
  <si>
    <t>CABRERA CABRERA JUAN</t>
  </si>
  <si>
    <t>juancabreracabrera198@gmail.com</t>
  </si>
  <si>
    <t>NUÑEZ ALEJOS LUIS ALBERTO</t>
  </si>
  <si>
    <t>luchonalejos@gmail.com</t>
  </si>
  <si>
    <t>REYES CIGUEÑAS JOHNNY FRANK</t>
  </si>
  <si>
    <t>psjohnnyreyes@gmail.com</t>
  </si>
  <si>
    <t>CALLACNA SENCIO GUISELA PAOLA</t>
  </si>
  <si>
    <t>paolacallacnas@gmail.com</t>
  </si>
  <si>
    <t>ARELLANO SANCHEZ CESAR WILSON</t>
  </si>
  <si>
    <t>cwarellanos@gmail.com</t>
  </si>
  <si>
    <t>CUSTODIO FERNANDEZ MANUEL ALEJANDRO</t>
  </si>
  <si>
    <t>91cfmanuel.alejandro@gmail.com</t>
  </si>
  <si>
    <t>CRUZADO BENAVIDES AMELIA DORIS</t>
  </si>
  <si>
    <t>cruzadobenav@gmail.com</t>
  </si>
  <si>
    <t>TEPE GASTULO RICARDO</t>
  </si>
  <si>
    <t>ingricardotpg@gmail.com</t>
  </si>
  <si>
    <t>NO ALCANZÓ VACANTE</t>
  </si>
  <si>
    <t>BARBOZA RIMARACHIN AURELIO</t>
  </si>
  <si>
    <t>abarbozar2525@gmail.com</t>
  </si>
  <si>
    <t>Derecho y Ciencia Política</t>
  </si>
  <si>
    <t>ALBUJAR ALVAREZ PEDRO RODOLFO</t>
  </si>
  <si>
    <t>pr.albujar.a@gmail.com</t>
  </si>
  <si>
    <t>BECERRA DIAZ ALEXANDER</t>
  </si>
  <si>
    <t>alexander17bdiaz@gmail.com</t>
  </si>
  <si>
    <t>YARLAQUE BANCES JOSE ANTERO</t>
  </si>
  <si>
    <t>jose@yarlaque.com</t>
  </si>
  <si>
    <t>ROJAS CHUPILLON MARIA CIRA</t>
  </si>
  <si>
    <t>mcrojasdj@mpfn.gob.pe</t>
  </si>
  <si>
    <t>DIAZ DELGADO JUVELSER DARIO</t>
  </si>
  <si>
    <t>juvererg@gmail.com</t>
  </si>
  <si>
    <t>DAMIAN AMAYA JHONY FERNANDO</t>
  </si>
  <si>
    <t>jdamianamaya@gmail.com</t>
  </si>
  <si>
    <t>MENDOZA BRAVO PEDRO BALTAZAR</t>
  </si>
  <si>
    <t>pmendozab1@gmail.com</t>
  </si>
  <si>
    <t>SILVA CHIRINOS JUAN FRANCISCO</t>
  </si>
  <si>
    <t>juanfranciscosilvachirinos.15@gmail.com</t>
  </si>
  <si>
    <t>VALDIVIEZO CARHUAPOMA NILTON YERRY</t>
  </si>
  <si>
    <t>nilton.carhuapoma@gmail.com</t>
  </si>
  <si>
    <t>SILVA MORI MARIA JULIA</t>
  </si>
  <si>
    <t>silvamorimariajulia@gmail.com</t>
  </si>
  <si>
    <t>VENTURA MENDOZA BRENY AZUCENA</t>
  </si>
  <si>
    <t>brenyventura1@gmail.com</t>
  </si>
  <si>
    <t>DEL AGUILA SABOYA GIANNINA</t>
  </si>
  <si>
    <t>giannin.das@gmail.com</t>
  </si>
  <si>
    <t>ALVAN ZAMORA MAGNA</t>
  </si>
  <si>
    <t>alvanzamoramagna@gmail.com</t>
  </si>
  <si>
    <t>REYNA ALBERCA JOSSIRA</t>
  </si>
  <si>
    <t>jossiritass@gmail.com</t>
  </si>
  <si>
    <t>FERNANDEZ RODRIGUEZ CLAUDIA MERCEDES</t>
  </si>
  <si>
    <t>Fernandezclaudia2412@gmail.com</t>
  </si>
  <si>
    <t>DIAZ CALDERON JHONANTAN ABEL</t>
  </si>
  <si>
    <t>johan729.ad@gmail.com</t>
  </si>
  <si>
    <t>CRUZ IPANAQUE SHAKESPEARE VOLTAIRE</t>
  </si>
  <si>
    <t>losshakos1987@gmail.com</t>
  </si>
  <si>
    <t>SAAVEDRA REGALADO MIGUEL</t>
  </si>
  <si>
    <t>miguelsaavedraregalado2020@gmail.com</t>
  </si>
  <si>
    <t>MAESTRIA</t>
  </si>
  <si>
    <t>Ciencias Agrarias con mención en Agroexportación Sostenible</t>
  </si>
  <si>
    <t>DELGADO ESTELA RICHARD ARTURO</t>
  </si>
  <si>
    <t>rdelgadoe@unprg.edu.pe</t>
  </si>
  <si>
    <t>VALENCIA HERNANDEZ MARIO</t>
  </si>
  <si>
    <t>mariosemilla@hotmail.com</t>
  </si>
  <si>
    <t>MACALOPU YPANAQUE MARIA EUGENIA</t>
  </si>
  <si>
    <t>maria.eugenia.macalopu.ypanaque@gmail.com</t>
  </si>
  <si>
    <t>YZAGA VIDAURRE PEDRO ARTURO</t>
  </si>
  <si>
    <t>payzavid@hotmail.com</t>
  </si>
  <si>
    <t>FERNANDEZ MACO MANUEL</t>
  </si>
  <si>
    <t>makotech@hotmail.com</t>
  </si>
  <si>
    <t>ROJAS LEYVA JOSE MICHAEL</t>
  </si>
  <si>
    <t>jmichaelrojas16@gmail.com</t>
  </si>
  <si>
    <t>SIPION ZAMBRANO JENNY DEL ROCIO</t>
  </si>
  <si>
    <t>jennysipion10@gmail.com</t>
  </si>
  <si>
    <t>OBANDO CARLOS ALAN</t>
  </si>
  <si>
    <t>alanobandocarlos084@gmail.com</t>
  </si>
  <si>
    <t>FLORES VIDAURRE EVER ENRIQUE</t>
  </si>
  <si>
    <t>floresvidever@gmail.com</t>
  </si>
  <si>
    <t>LOPEZ NEVADO FLOR VIOLETA</t>
  </si>
  <si>
    <t>lopeznevadof@gmail.com</t>
  </si>
  <si>
    <t>ROJAS BARBOZA JOHN HAROLD</t>
  </si>
  <si>
    <t>john.rojas.barboza1981@gmail.com</t>
  </si>
  <si>
    <t>09796909</t>
  </si>
  <si>
    <t>ZUÑE MONTALVO EULER WILFREDO</t>
  </si>
  <si>
    <t>gerenciageneral@alimentaperu.pe</t>
  </si>
  <si>
    <t>RODAS HUERTAS ELI HUBER</t>
  </si>
  <si>
    <t>rodashuertase@gmail.com</t>
  </si>
  <si>
    <t>BENAVIDES RODRIGUEZ EXEQUIEL</t>
  </si>
  <si>
    <t>exe_berodri@hotmail.com</t>
  </si>
  <si>
    <t>VENTURA SUCLUPE JUAN JOSE</t>
  </si>
  <si>
    <t>juanjoseventurasuclupe@gmail.com</t>
  </si>
  <si>
    <t>LLONTOP EFFIO YAJAHIRA LORENA</t>
  </si>
  <si>
    <t>yllontopee@gmail.com</t>
  </si>
  <si>
    <t>FARROÑAN VALDERA CINTHIA ROXANA</t>
  </si>
  <si>
    <t>farronanvalderacinthia@gmail.com</t>
  </si>
  <si>
    <t>MEGO SANTISTEBAN LETICIA LUCILA</t>
  </si>
  <si>
    <t>aruba_llm@hotmail.com</t>
  </si>
  <si>
    <t>LLAUCE SANTAMARIA VICTOR GENARO</t>
  </si>
  <si>
    <t>a_driano22@hotmail.com</t>
  </si>
  <si>
    <t>PINGLO PEÑA MARTHA TATIANA</t>
  </si>
  <si>
    <t>taty_0126_1997@hotmail.com</t>
  </si>
  <si>
    <t>LLAMO DIAZ NELSON JOSUE</t>
  </si>
  <si>
    <t>nejlld25@gmail.com</t>
  </si>
  <si>
    <t>Ciencias con mención en Ingeniería Hidráulica</t>
  </si>
  <si>
    <t>SILVA DELGADO GHIERALD ELOY</t>
  </si>
  <si>
    <t>silvaagricola0406@gmail.com</t>
  </si>
  <si>
    <t>CIEZA HERRERA IVAN MARCELO</t>
  </si>
  <si>
    <t>ivanciencias13@gmail.com</t>
  </si>
  <si>
    <t>SAUCEDO LINARES CRISTIAN YOMAR</t>
  </si>
  <si>
    <t>cristiansaucedolinares10@gmail.com</t>
  </si>
  <si>
    <t>ARBOLEDA IMAN JUAN MANUEL</t>
  </si>
  <si>
    <t>juanarboledai1996@gmail.com</t>
  </si>
  <si>
    <t>AREVALO CORONEL RAUL JOEL</t>
  </si>
  <si>
    <t>rauljac86@outlook.com</t>
  </si>
  <si>
    <t>GUEVARA PORTILLO FRANCO DAVID</t>
  </si>
  <si>
    <t>francod.gp@gmail.com</t>
  </si>
  <si>
    <t>OJEDA CAPUÑAY RENZO PAOLO</t>
  </si>
  <si>
    <t>renzo_ojeda_0304@outlook.com</t>
  </si>
  <si>
    <t>HUAYTALLA YARANGA JOSE LUIS</t>
  </si>
  <si>
    <t>jose.huaytalla21@gmail.com</t>
  </si>
  <si>
    <t>SAAVEDRA RUIZ AQUILES</t>
  </si>
  <si>
    <t>aquiles_sr4@hotmail.com</t>
  </si>
  <si>
    <t>MANAYAY MANAYAY JOSELITO</t>
  </si>
  <si>
    <t>jmanayaym@hotmail.com</t>
  </si>
  <si>
    <t>DE LA CRUZ DE LA CRUZ LUIS ARMANDO</t>
  </si>
  <si>
    <t>luisdelacruz1409@gmail.com</t>
  </si>
  <si>
    <t>PASACHE RUMICHE CINTHIA JANET</t>
  </si>
  <si>
    <t>ing.cinthiajanet@gmail.com</t>
  </si>
  <si>
    <t>MORALES CESPEDES WILVER</t>
  </si>
  <si>
    <t>wmorales@unc.edu.pe</t>
  </si>
  <si>
    <t>HEREDIA SILVA IRVIN OMAR</t>
  </si>
  <si>
    <t>omarherediasilva@gmail.com</t>
  </si>
  <si>
    <t>INOÑAN BANCES ANGEL JAVIER</t>
  </si>
  <si>
    <t>bancesaj93@gmail.com</t>
  </si>
  <si>
    <t>SANTISTEBAN VIDAURRE VICTOR MARTIN</t>
  </si>
  <si>
    <t>martinsantistebanvidaurre@gmail.com</t>
  </si>
  <si>
    <t>PONCE NIETO HUGO LEONCIO</t>
  </si>
  <si>
    <t>victor090459@gmail.com</t>
  </si>
  <si>
    <t>CARUANAMBO CORTEZ VICTOR RAUL</t>
  </si>
  <si>
    <t>victor_raul7@outlook.es</t>
  </si>
  <si>
    <t>GASTELO MESONES DENNY JESUS</t>
  </si>
  <si>
    <t>denny_25_91@hotmail.com</t>
  </si>
  <si>
    <t>TARRILLO CHICOMA SEGUNDO DEMETRIO</t>
  </si>
  <si>
    <t>setachi23@gmail.com</t>
  </si>
  <si>
    <t>Ciencias con mención en Manejo Integrado de Plagas y Enfermedades</t>
  </si>
  <si>
    <t>PEZANTES HERRERA WILSON</t>
  </si>
  <si>
    <t>wpezantes@unprg.edu.pe</t>
  </si>
  <si>
    <t>CAUTI QUILCARO MAX HUMBERTO</t>
  </si>
  <si>
    <t>maxcauti@gmail.com</t>
  </si>
  <si>
    <t>TERRONES CHAYAN LUIS GUSTAVO</t>
  </si>
  <si>
    <t>luis.tchayan@gmail.com</t>
  </si>
  <si>
    <t>BUSTAMANTE CARRASCO LESLY YSABEL</t>
  </si>
  <si>
    <t>lybustamante1901122@gmail.com</t>
  </si>
  <si>
    <t>LUCERO PURIHUAMAN HEYDY PAMELA</t>
  </si>
  <si>
    <t>heydy_lucerito_2000@outlook.es</t>
  </si>
  <si>
    <t>RAMIREZ HERRERA CESAR ENMANUEL</t>
  </si>
  <si>
    <t>cesar.ramirez25h@icloud.com</t>
  </si>
  <si>
    <t>MEJIA NUÑEZ ELMER</t>
  </si>
  <si>
    <t>elmermejiabcs@gmail.com</t>
  </si>
  <si>
    <t>CORONEL GARCIA CARLOS ENRIQUE</t>
  </si>
  <si>
    <t>karlozcg10@gmail.com</t>
  </si>
  <si>
    <t>PALOMINO PEREZ DIANA PAOLA</t>
  </si>
  <si>
    <t>paolap.perez0412@gmail.com</t>
  </si>
  <si>
    <t>CHAPOÑAN VASQUEZ MIGUEL</t>
  </si>
  <si>
    <t>miguelchapo@outlook.es</t>
  </si>
  <si>
    <t>PRADA CALDERON JUAN CARLOS</t>
  </si>
  <si>
    <t>juanprada_04@hotmail.com</t>
  </si>
  <si>
    <t>SAAVEDRA TINEO JUAN BAUTISTA</t>
  </si>
  <si>
    <t>jubasa27@gmail.com</t>
  </si>
  <si>
    <t>ÑOPO CORONEL SERGIO DIEGO</t>
  </si>
  <si>
    <t>diegonopocoronel@gmail.com</t>
  </si>
  <si>
    <t>DIAZ CARRANZA ABILDES</t>
  </si>
  <si>
    <t>abildesdiaz@hotmail.com</t>
  </si>
  <si>
    <t>ANTON HOYOS ALEX OMAR</t>
  </si>
  <si>
    <t>aantonhoyos2023@gmail.com</t>
  </si>
  <si>
    <t>TONGO BRIONES ELMER ISAAC</t>
  </si>
  <si>
    <t>Etongobriones24@gmail.com</t>
  </si>
  <si>
    <t>CORDOVA GUARNIZ WILFREDO</t>
  </si>
  <si>
    <t>Wwilfredo03@gmail.com</t>
  </si>
  <si>
    <t>DE LA CRUZ SAMANIEGO JAMES YOEL</t>
  </si>
  <si>
    <t>jde030591@gmail.com</t>
  </si>
  <si>
    <t>SANTISTEBAN AYALA JAVIER</t>
  </si>
  <si>
    <t>javier.santisteban47368@gmail.com</t>
  </si>
  <si>
    <t>BURGA LOZANO JHULIANA MARLITH</t>
  </si>
  <si>
    <t>burgajhuliana@gmail.com</t>
  </si>
  <si>
    <t>CHUCAS IPANAQUE NICOLAS ANDERSON</t>
  </si>
  <si>
    <t>nicolas262017@gmail.com</t>
  </si>
  <si>
    <t>ROJAS ESPINOZA NELSON ADRIAN</t>
  </si>
  <si>
    <t>nelsonrojase20@gmail.com</t>
  </si>
  <si>
    <t>BANCES PEREZ JHONATAN ALEXIS</t>
  </si>
  <si>
    <t>jbancesper@unprg.edu.pe</t>
  </si>
  <si>
    <t>Ciencias con mención en Ordenamiento Territorial y Desarrollo Urbano</t>
  </si>
  <si>
    <t>ZUMAETA VIGIL JORGE ANTONIO</t>
  </si>
  <si>
    <t>joanzumavi666@gmail.com</t>
  </si>
  <si>
    <t>SANTISTEBAN CHAPOÑAN CRISTHIAN JOEL</t>
  </si>
  <si>
    <t>csantistebanch@unprg.edu.pe</t>
  </si>
  <si>
    <t>ALDANA MACO MARIA ELIZABETH</t>
  </si>
  <si>
    <t>aldanamaco322@gmail.com</t>
  </si>
  <si>
    <t>DUEÑAS SANCHEZ JONATHAN</t>
  </si>
  <si>
    <t>jduenass@unprg.edu.pe</t>
  </si>
  <si>
    <t>BOBADILLA SANCHEZ RICARDO</t>
  </si>
  <si>
    <t>catastrocofopri@gmail.com</t>
  </si>
  <si>
    <t>CRUZ FLORES VICTOR EDUARDO</t>
  </si>
  <si>
    <t>xeus925@gmail.com</t>
  </si>
  <si>
    <t>VASQUEZ VERA ROSA MARIA BEATRIZ</t>
  </si>
  <si>
    <t>rosa.vv0310@gmail.com</t>
  </si>
  <si>
    <t>CABREJOS SAHUMA CARLOS ENRIQUE</t>
  </si>
  <si>
    <t>carloscabrejoss2024@gmail.com</t>
  </si>
  <si>
    <t>NUNTON CANGO INGRID PAMELA</t>
  </si>
  <si>
    <t>ingridnuntoncango@gmail.com</t>
  </si>
  <si>
    <t>SUCLUPE VIDAURRE ELVA JESUS</t>
  </si>
  <si>
    <t>JESYES2@HOTMAIL.COM</t>
  </si>
  <si>
    <t>GUERREROS SALAZAR ANGIE LESLIE</t>
  </si>
  <si>
    <t>arq.angielgs@gmail.com</t>
  </si>
  <si>
    <t>LACERNA ZUTA KATHY</t>
  </si>
  <si>
    <t>Kathy.lacerna.zuta@gmail.com</t>
  </si>
  <si>
    <t>ROJAS MORENO ANDERSON DALFRED</t>
  </si>
  <si>
    <t>dalfred_g@hotmail.com</t>
  </si>
  <si>
    <t>EFFIO BUSTAMANTE JOEL ALBERTO</t>
  </si>
  <si>
    <t>northsiderecords.26@gmail.com</t>
  </si>
  <si>
    <t>VALDERA CHAFLOQUE MANUEL OSWALDO</t>
  </si>
  <si>
    <t>arq.valdera@gmail.com</t>
  </si>
  <si>
    <t>DIAZ CHICLAYO SANDRA MELISSA</t>
  </si>
  <si>
    <t>diazchiclayosm@gmail.com</t>
  </si>
  <si>
    <t>CARMONA TORRES DIEGO ALONSO</t>
  </si>
  <si>
    <t>carmonad665@gmail.com</t>
  </si>
  <si>
    <t>AREVALO FRIAS JORDDI JHANDERLY</t>
  </si>
  <si>
    <t>arevalofrias720@gmail.com</t>
  </si>
  <si>
    <t>REYES NÚÑEZ BRENDA SHEILY IMABELLY</t>
  </si>
  <si>
    <t>brerenu@hotmail.com</t>
  </si>
  <si>
    <t>CESPEDES RINZA JACKELINE MARGARITA</t>
  </si>
  <si>
    <t>jackelinecatorce@gmail.com</t>
  </si>
  <si>
    <t>HUILLCA BRIONES DAVID ELKY GUILLERMO</t>
  </si>
  <si>
    <t>ghuillca2@gmail.com</t>
  </si>
  <si>
    <t>CAPUÑAY INCIO CARLOS ROBERTO</t>
  </si>
  <si>
    <t>capunaycarlos5@gmail.com</t>
  </si>
  <si>
    <t>LOCONI ESPINOZA OSCAR RUDY</t>
  </si>
  <si>
    <t>orle76@gmail.com</t>
  </si>
  <si>
    <t>CANDIA GONZALES PRISCILLA JOANNA</t>
  </si>
  <si>
    <t>jpriscilla89@gmail.com</t>
  </si>
  <si>
    <t>Ciencias de la Educación con mención en Docencia y Gestión Universitaria</t>
  </si>
  <si>
    <t>CHINCHAYAN BARRENECHEA MARIO JESUS</t>
  </si>
  <si>
    <t>mariojcb1910@gmail.com</t>
  </si>
  <si>
    <t>03886801</t>
  </si>
  <si>
    <t>VELASQUEZ SAAVEDRA ROGER JAVIER</t>
  </si>
  <si>
    <t>rogervelasquezsaavedra@gmail.com</t>
  </si>
  <si>
    <t>SAAVEDRA AGUILAR RAUL CRISTHIAN</t>
  </si>
  <si>
    <t>raulcristhians@gmail.com</t>
  </si>
  <si>
    <t>ASALDE YUPTON MIGUEL ANGEL</t>
  </si>
  <si>
    <t>masalde@unprg.edu.pe</t>
  </si>
  <si>
    <t>CHUMIOQUE CHARCAPE MYRIAN JESUS</t>
  </si>
  <si>
    <t>miriam04leo@gmail.com</t>
  </si>
  <si>
    <t>ADRIANZEN FLORES JEAN MARCOS</t>
  </si>
  <si>
    <t>jeanmarcosadrianzenflores@gmail.com</t>
  </si>
  <si>
    <t>ZEÑA SAMPEN JOSE ERNESTO</t>
  </si>
  <si>
    <t>ernestozena@gmail.com</t>
  </si>
  <si>
    <t>MARCHENA CAICAY FABIOLA MARDELI</t>
  </si>
  <si>
    <t>fabiomardelly@gmail.com</t>
  </si>
  <si>
    <t>RAMIREZ RAMIREZ LEIDY RUTH</t>
  </si>
  <si>
    <t>leidycomunicaciones20@gmail.com</t>
  </si>
  <si>
    <t>IZQUIERDO ZELADA GIANMARCOS</t>
  </si>
  <si>
    <t>ing.izquierdozeladagianmarcos@gmail.com</t>
  </si>
  <si>
    <t>CASTILLO OROZCO JUAN MANUEL</t>
  </si>
  <si>
    <t>manuco010198@gmail.com</t>
  </si>
  <si>
    <t>GUTIERREZ BALTAZAR LIZETH MARGOTH</t>
  </si>
  <si>
    <t>liz.got7.miracle@gmail.com</t>
  </si>
  <si>
    <t>SOSA RUBIÑOS MAITE NAYELI DEL MILAGRO</t>
  </si>
  <si>
    <t>Msosar@unprg.edu.pe</t>
  </si>
  <si>
    <t>VENTURA CARDENAS CELESTE LIZETH</t>
  </si>
  <si>
    <t>celestelizethventuracardenas@gmail.com</t>
  </si>
  <si>
    <t>CUBAS VALLE EDGAR ISAAC</t>
  </si>
  <si>
    <t>ed.cu97@gmail.com</t>
  </si>
  <si>
    <t>SANCHEZ BERNILLA BILL CLINTON</t>
  </si>
  <si>
    <t>billclin.2016@gmail.com</t>
  </si>
  <si>
    <t>INGA ESPINOZA AIDA ELIZABETH</t>
  </si>
  <si>
    <t>aingae@unprg.edu.pe</t>
  </si>
  <si>
    <t>MONTALVO MACEDA HILDA CORINA</t>
  </si>
  <si>
    <t>hildacorinamontalvo38@gmail.com</t>
  </si>
  <si>
    <t>CIEZA GAMONAL EDITH MARILI</t>
  </si>
  <si>
    <t>eciezag@unprg.edu.pe</t>
  </si>
  <si>
    <t>AGUILAR GUERRERO THALIA DEL MILAGRO</t>
  </si>
  <si>
    <t>thaliaguilarguerrero@gmail.com</t>
  </si>
  <si>
    <t>VIERA RUIZ JOSE AARON</t>
  </si>
  <si>
    <t>vieraaaroon@gmail.com</t>
  </si>
  <si>
    <t>UCANCIAL NECIOSUP IZABOTH NATALI</t>
  </si>
  <si>
    <t>nat.5ucancial@gmail.com</t>
  </si>
  <si>
    <t>ABAD SEVILLANO CARLOS RICARDO</t>
  </si>
  <si>
    <t>carlosabads18@gmail.com</t>
  </si>
  <si>
    <t>NUNCEVAY FLORES CARLOS DANIEL</t>
  </si>
  <si>
    <t>cdnuncevay@gmail.com</t>
  </si>
  <si>
    <t>RIOS CHAVEZ MARIA ELITA</t>
  </si>
  <si>
    <t>rioschavezmariaelita@gmail.com</t>
  </si>
  <si>
    <t>ZEÑA GONZALES JESSICA LILIBETH</t>
  </si>
  <si>
    <t>zg.lilibeth@gmail.com</t>
  </si>
  <si>
    <t>DE LA CRUZ ALEGRE DEVORA BELEN</t>
  </si>
  <si>
    <t>delacruzalegred@gmail.com</t>
  </si>
  <si>
    <t>BANCES INOÑAN CRISTIAN ALONSO</t>
  </si>
  <si>
    <t>bancescristian26@gmail.com</t>
  </si>
  <si>
    <t>DAVILA MONSALVE KELLY AIDEHT</t>
  </si>
  <si>
    <t>kelly.27dm@gmail.com</t>
  </si>
  <si>
    <t>RAVELLO AVALOS IVAN NIKOLAY</t>
  </si>
  <si>
    <t>ivanravello1986@hotmail.com</t>
  </si>
  <si>
    <t>YNOÑAN CHAVARRIA LISSET JASMIN</t>
  </si>
  <si>
    <t>lissetynonan@gmail.com</t>
  </si>
  <si>
    <t>FLORES MAQUEN SONIA ALBERTINA</t>
  </si>
  <si>
    <t>soniafloresmaquen10@gmail.com</t>
  </si>
  <si>
    <t>VIERA RUIZ DANIELA SARAIN</t>
  </si>
  <si>
    <t>dsvrperu@gmail.com</t>
  </si>
  <si>
    <t>DÍAZ JIMENEZ MAYDU YAQUELINY</t>
  </si>
  <si>
    <t>maydudiazjime@gmail.com</t>
  </si>
  <si>
    <t>MIMBELA OSORIO ANGELICA ROSSMERY</t>
  </si>
  <si>
    <t>rossmery_2422@hotmail.com</t>
  </si>
  <si>
    <t>PACHERRES TORRES ALEJANDRO</t>
  </si>
  <si>
    <t>pachetoale@gmail.com</t>
  </si>
  <si>
    <t>MORE CASTELLANOS EVELYN LIZETH</t>
  </si>
  <si>
    <t>emorec@unprg.edu.pe</t>
  </si>
  <si>
    <t>DAMIAN ESPINO JULIO EDGAR</t>
  </si>
  <si>
    <t>jdaviddamian2803@gmail.com</t>
  </si>
  <si>
    <t>02843308</t>
  </si>
  <si>
    <t>JIMENEZ LIVIA CRUZALINA</t>
  </si>
  <si>
    <t>cjimenezl@unprg.edu.pe</t>
  </si>
  <si>
    <t>08385207</t>
  </si>
  <si>
    <t>CALVAY ORTIZ MANUEL ANTONIO</t>
  </si>
  <si>
    <t>ak_1917@hotmail.com</t>
  </si>
  <si>
    <t>SOLANO HURTADO JESSY</t>
  </si>
  <si>
    <t>jessysolano2017@gmail.com</t>
  </si>
  <si>
    <t>CERNA BECERRA YENNIFFER LIONELA</t>
  </si>
  <si>
    <t>leonelab862@gmail.com</t>
  </si>
  <si>
    <t>MILIAN PEREZ RENE DEL PILAR</t>
  </si>
  <si>
    <t>rene20milian@gmail.com</t>
  </si>
  <si>
    <t>GONZALES ZAPATA ROSA ESTELA</t>
  </si>
  <si>
    <t>gonzaleszapatar1@gmail.com</t>
  </si>
  <si>
    <t>DIAZ FERNANDEZ ROYNER ADERSON</t>
  </si>
  <si>
    <t>royneradersondiazfernandez@gmail.com</t>
  </si>
  <si>
    <t>TORRES DIAZ ELVER IVAN</t>
  </si>
  <si>
    <t>etorresd@unprg.edu.pe</t>
  </si>
  <si>
    <t>Ciencias de la Educación con mención en Investigación y Docencia</t>
  </si>
  <si>
    <t>SANCHEZ GONZALES ARACELY DEL ROCIO</t>
  </si>
  <si>
    <t>aracelydelrocios@gmail.com</t>
  </si>
  <si>
    <t>PARIACURI RECALDE BEKER OBED</t>
  </si>
  <si>
    <t>bekerpariacuri@gmail.com</t>
  </si>
  <si>
    <t>DIAZ CARDOZO ANA TERESA</t>
  </si>
  <si>
    <t>ana13_62@hotmail.com</t>
  </si>
  <si>
    <t>ZETA GUEVARA JAQUELINY LISETH</t>
  </si>
  <si>
    <t>jzetag@unprg.edu.pe</t>
  </si>
  <si>
    <t>DEL CASTILLO DEZA JUANA MARISOL</t>
  </si>
  <si>
    <t>soldcd09.09@gmail.com</t>
  </si>
  <si>
    <t>CUMPEN BALLENA JESUS HUMBERTO</t>
  </si>
  <si>
    <t>matemax_13@hotmail.com</t>
  </si>
  <si>
    <t>ORO DE LOS SANTOS YESSICA MARICELA</t>
  </si>
  <si>
    <t>yessicaorodelossantos@gmail.com</t>
  </si>
  <si>
    <t>CORONADO BUSTAMANTE ALAN IVAN</t>
  </si>
  <si>
    <t>alivanc2000@gmail.com</t>
  </si>
  <si>
    <t>YZQUIERDO RODRIGUEZ ANA KEYLA</t>
  </si>
  <si>
    <t>2000ysquierdo@gmail.com</t>
  </si>
  <si>
    <t>SILVA PERALTA DANIEL</t>
  </si>
  <si>
    <t>danielsilvaperalta2000@gmail.com</t>
  </si>
  <si>
    <t>MERLO JAVE CAROLAY MELINA</t>
  </si>
  <si>
    <t>cmerlojave@gmail.com</t>
  </si>
  <si>
    <t>SANCHEZ ARAMBULO MILAGROS ISABELLA</t>
  </si>
  <si>
    <t>ingmili18@gmail.com</t>
  </si>
  <si>
    <t>YAFAC GUERRERO JOSE WILMAN</t>
  </si>
  <si>
    <t>jose.yafac@gmail.com</t>
  </si>
  <si>
    <t>CASIMIRO FERNANDEZ MARIA FATIMA</t>
  </si>
  <si>
    <t>mariafatimacafe5@gmail.com</t>
  </si>
  <si>
    <t>MEGO CARRASCO LENIN</t>
  </si>
  <si>
    <t>srleolenin@gmail.com</t>
  </si>
  <si>
    <t>CHAPOÑAN LLONTOP IRENE FRANCISCA</t>
  </si>
  <si>
    <t>irenefrancis2114@gmail.com</t>
  </si>
  <si>
    <t>SUCLUPE VICENTE NATALI GIULLIANA</t>
  </si>
  <si>
    <t>natali_30_mayo@hotmail.com</t>
  </si>
  <si>
    <t>VASQUEZ QUIROZ SERGIO</t>
  </si>
  <si>
    <t>sergitopapichulo75@gmail.com</t>
  </si>
  <si>
    <t>SEMPERTIGUE LIBAQUE MARIA MAGDALENA</t>
  </si>
  <si>
    <t>mmseli2973@gmail.com</t>
  </si>
  <si>
    <t>CABANILLAS CIEZA CLAUDIA CRISTINA</t>
  </si>
  <si>
    <t>c.cabanillasclaudiacristina@gmail.com</t>
  </si>
  <si>
    <t>03700601</t>
  </si>
  <si>
    <t>VEGA MIRES ESPERANZA</t>
  </si>
  <si>
    <t>esperanzavegam72@gmail.com</t>
  </si>
  <si>
    <t>SALAZAR CHERO ROSA LILIANA</t>
  </si>
  <si>
    <t>rsalazarch@unprg.edu.pe</t>
  </si>
  <si>
    <t>ACOSTA QUIROZ LUCIA MARIELA</t>
  </si>
  <si>
    <t>aluciamariela@gmail.com</t>
  </si>
  <si>
    <t>VELEZ HUERTAS RICARDO FABRICIO</t>
  </si>
  <si>
    <t>rvelezh@unprg.edu.pe</t>
  </si>
  <si>
    <t>Ciencias Sociales con mención en Gestión Pública y Gerencia Social</t>
  </si>
  <si>
    <t>CALMET VILLEGAS CARLOS GUILLERMO</t>
  </si>
  <si>
    <t>carloscalmet25@gmail.com</t>
  </si>
  <si>
    <t>PACHERRES ALCANTARA INGRID OLGA</t>
  </si>
  <si>
    <t>ipacherresalcantara@gmail.com</t>
  </si>
  <si>
    <t>CUMPA PUICAN JUAN KAROLL</t>
  </si>
  <si>
    <t>cumpap.juan@gmail.com</t>
  </si>
  <si>
    <t>BUSTAMANTE AQUINO JOSÉ ANTONIO</t>
  </si>
  <si>
    <t>joseantonito2646@gmail.com</t>
  </si>
  <si>
    <t>ALTAMIRANO CUSMA EDSON DANIEL</t>
  </si>
  <si>
    <t>edsondaniel2003@gmail.com</t>
  </si>
  <si>
    <t>DAVILA BELLODAS KATYA FIORELLA</t>
  </si>
  <si>
    <t>katya_davila@hotmail.com</t>
  </si>
  <si>
    <t>CAMPOS ANGELES MAYRA XIMENA</t>
  </si>
  <si>
    <t>camposangeles22@gmail.com</t>
  </si>
  <si>
    <t>LUCUMI LLUNCOR LUIS ALBERTO</t>
  </si>
  <si>
    <t>luislucumi1@gmail.com</t>
  </si>
  <si>
    <t>RODRIGUEZ CERQUEN FERNANDO</t>
  </si>
  <si>
    <t>rodriguezcerquen@gmail.com</t>
  </si>
  <si>
    <t>ANGELES ZURITA DIEGO ANDRE</t>
  </si>
  <si>
    <t>angeleszuritadiego@gmail.com</t>
  </si>
  <si>
    <t>CHICOMA RAMIREZ ALONDRA JAMMIRA</t>
  </si>
  <si>
    <t>CHICOMARAMIREA@GMAIL.COM</t>
  </si>
  <si>
    <t>HUAMANCHUMO CERNA MARIA DE LOS MILAGROS</t>
  </si>
  <si>
    <t>huamanchumocerna@gmail.com</t>
  </si>
  <si>
    <t>BALCAZAR ALCANTARA ROSA ELVIRA</t>
  </si>
  <si>
    <t>rossa.balcazar@gmail.com</t>
  </si>
  <si>
    <t>GUZMAN BRAVO ALICIA ELENA</t>
  </si>
  <si>
    <t>aligubraaa@gmail.com</t>
  </si>
  <si>
    <t>CORRALES CHAVARRI ALEXANDRA NICOHL</t>
  </si>
  <si>
    <t>alexandracorralesxx@gmail.com</t>
  </si>
  <si>
    <t>TAVARA HURTADO CHISTOPHER BRAULIO</t>
  </si>
  <si>
    <t>christophertavara@gmail.com</t>
  </si>
  <si>
    <t>SUCLUPE SANCHEZ MARTHA MARIBEL</t>
  </si>
  <si>
    <t>suclupesanchezm@gmail.com</t>
  </si>
  <si>
    <t>MENDOZA CRUZ ETHEL HELLEN</t>
  </si>
  <si>
    <t>ing.mcruze15@gmail.com</t>
  </si>
  <si>
    <t>LLONTOP SANTAMARIA FLOR DE MARIA</t>
  </si>
  <si>
    <t>llontop2309@gmail.com</t>
  </si>
  <si>
    <t>QUINTANA SEGURA WILTON JOHEL</t>
  </si>
  <si>
    <t>willyj_301@hotmail.com</t>
  </si>
  <si>
    <t>MORENO WONG RAFAEL ENRIQUE</t>
  </si>
  <si>
    <t>arq.enriquemorenowong@gmail.com</t>
  </si>
  <si>
    <t>LLONTOP SANTA MARIA CARLOMAGNO</t>
  </si>
  <si>
    <t>llontopsantamaria4@gmail.com</t>
  </si>
  <si>
    <t>COLCHADO CHEVEZ KRYSTAL</t>
  </si>
  <si>
    <t>kcolchadoch@gmail.com</t>
  </si>
  <si>
    <t>CRUZ GARCIA ANGELICA ROSA</t>
  </si>
  <si>
    <t>santosmartos29@gmail.com</t>
  </si>
  <si>
    <t>CAMAN BAÑOS SONIA MILAGROS</t>
  </si>
  <si>
    <t>SOMICAB@HOTMAIL.COM</t>
  </si>
  <si>
    <t>CAJUSOL DIAZ SARITA YARICSA</t>
  </si>
  <si>
    <t>diazyaricsacajusol@gmail.com</t>
  </si>
  <si>
    <t>QUIROZ CRUZ LEYLA SARITA</t>
  </si>
  <si>
    <t>saritacruzquiroz2310@gmail.com</t>
  </si>
  <si>
    <t>PERALES CASTILLO AMANDA HELENA</t>
  </si>
  <si>
    <t>castillop.helena@gmail.com</t>
  </si>
  <si>
    <t>TUESTA FLORES YUNUIK GERALDINE</t>
  </si>
  <si>
    <t>tuestafloresgeraldine@gmail.com</t>
  </si>
  <si>
    <t>SANGUINEZ PRADA MONICA IVETT</t>
  </si>
  <si>
    <t>sanguinezmonica@gmail.com</t>
  </si>
  <si>
    <t>CAPUÑAY GONZALES OXANA TERESA</t>
  </si>
  <si>
    <t>tereoxa15@gmail.com</t>
  </si>
  <si>
    <t>UCHOFEN MORALES MIRIAM ROSA</t>
  </si>
  <si>
    <t>muchofen02@gmail.com</t>
  </si>
  <si>
    <t>YNOÑAN MARCELO ROMMEL</t>
  </si>
  <si>
    <t>rommelmarcelo92@gmail.com</t>
  </si>
  <si>
    <t>ALVAREZ GONZALES OLIVIA ROXANA</t>
  </si>
  <si>
    <t>oliviaalvarez0412@gmail.com</t>
  </si>
  <si>
    <t>MEZA OJEDA LUZBEIDY</t>
  </si>
  <si>
    <t>luzbeidymeza25@gmail.com</t>
  </si>
  <si>
    <t>VALERA ROJAS FERNANDO ANDREE</t>
  </si>
  <si>
    <t>andreevalerarojas@gmail.com</t>
  </si>
  <si>
    <t>QUIROZ VILLALOBOS NILTON CESAR</t>
  </si>
  <si>
    <t>rasecqv@hotmail.com</t>
  </si>
  <si>
    <t>Ciencias Veterinarias con Mención en Salud Animal</t>
  </si>
  <si>
    <t>RIMARACHIN MANAY CESAR</t>
  </si>
  <si>
    <t>cerimarachin@gmail.com</t>
  </si>
  <si>
    <t>SERQUEN ALARCON DENIS ROLANDO</t>
  </si>
  <si>
    <t>denis_sq2711@hotmail.com</t>
  </si>
  <si>
    <t>RETO CHAVARRY BRAULIO MARTIN JOSSMAR</t>
  </si>
  <si>
    <t>braulioreto8@gmail.com</t>
  </si>
  <si>
    <t>LLAJA LLONTOP DARWIN JAVIER</t>
  </si>
  <si>
    <t>djllaja03@gmail.com</t>
  </si>
  <si>
    <t>POLICARPIO CACHAY MILTON ABELARDO</t>
  </si>
  <si>
    <t>miltonpc123@gmail.com</t>
  </si>
  <si>
    <t>LUCENA GABRIELLI JORGE LUIS</t>
  </si>
  <si>
    <t>jlucenagabrielli@gmail.com</t>
  </si>
  <si>
    <t>VILCHERRES ORTIZ CYNTHIA ELVA</t>
  </si>
  <si>
    <t>cynthiavilor@gmail.com</t>
  </si>
  <si>
    <t>BARRUETO FALEN MIGUEL ARTURO</t>
  </si>
  <si>
    <t>miguelbarrueto777@gmail.com</t>
  </si>
  <si>
    <t>MURO VALLADARES MIGUEL OSMAR</t>
  </si>
  <si>
    <t>muromiguel0212@gmail.com</t>
  </si>
  <si>
    <t>GUZMAN DIAZ OLIVER DANIEL</t>
  </si>
  <si>
    <t>oliverdaniel.guzmandiaz@gmail.com</t>
  </si>
  <si>
    <t>GONZALES LIZANA CAROLAY DAYANA</t>
  </si>
  <si>
    <t>carolaygonzales94@gmail.com</t>
  </si>
  <si>
    <t>LIZANO SILVA EDHINSON ALEXANDER</t>
  </si>
  <si>
    <t>alexander71075038@GMAIL.COM</t>
  </si>
  <si>
    <t>RANGEL RIVERA MIGUEL ANGEL</t>
  </si>
  <si>
    <t>mrangel8582@gmail.com</t>
  </si>
  <si>
    <t>ROQUE DE LA PIEDRA PETER GIANCARLO</t>
  </si>
  <si>
    <t>prdlp@hotmail.com</t>
  </si>
  <si>
    <t>GALAN SALAZAR FIORELLA MANUELA</t>
  </si>
  <si>
    <t>fiomagasa@gmail.com</t>
  </si>
  <si>
    <t>JUAREZ VIDALON JASSEY CINTHYA</t>
  </si>
  <si>
    <t>jcinthyajv@gmail.com</t>
  </si>
  <si>
    <t>VASQUEZ MENDOZA WILMER</t>
  </si>
  <si>
    <t>wvasquezmen1@gmail.com</t>
  </si>
  <si>
    <t>NICOLAS DE LA CRUZ CARMEN LILIANA</t>
  </si>
  <si>
    <t>liliana.nicolas.delacruz@hotmail.com</t>
  </si>
  <si>
    <t>SAAVEDRA ECHEVERRE MIRELLY KARLA KARIN</t>
  </si>
  <si>
    <t>saavedramirelly7@gmail.com</t>
  </si>
  <si>
    <t>Derecho con mención en Derecho Penal y Procesal Penal</t>
  </si>
  <si>
    <t>BECERRA PEREZ FRANCO ARNOLD</t>
  </si>
  <si>
    <t>francoarnoldb@gmail.com</t>
  </si>
  <si>
    <t>RODRIGUEZ QUISPE ANICKA LEYLI</t>
  </si>
  <si>
    <t>anickarodriguez19@gmail.com</t>
  </si>
  <si>
    <t>MUSAYON MARTELL LUIS CESAR</t>
  </si>
  <si>
    <t>lmusayonm@unprg.edu.pe</t>
  </si>
  <si>
    <t>ALVAREZ DEZA CECILIA PATRICIA</t>
  </si>
  <si>
    <t>ceciliapatriciaalvarezdeza@gmail.com</t>
  </si>
  <si>
    <t>COPIA PEREZ JAIRO JAMIL</t>
  </si>
  <si>
    <t>jairocopia2002@gmail.com</t>
  </si>
  <si>
    <t>LUCERO SANDOVAL ROBERTO DANIEL</t>
  </si>
  <si>
    <t>RLUCERO3105@GMAIL.COM</t>
  </si>
  <si>
    <t>URTECHO GUZMAN ALEJANDRO MANUEL</t>
  </si>
  <si>
    <t>alejandrourtechog@gmail.com</t>
  </si>
  <si>
    <t>ORELLANA DIAZ JOCELYN MILAGROS</t>
  </si>
  <si>
    <t>jocelynorellanadiaz3@gmail.com</t>
  </si>
  <si>
    <t>ZORRILLA VASQUEZ GIULIANNA GIANNINA</t>
  </si>
  <si>
    <t>giuliannagiazv@gmail.com</t>
  </si>
  <si>
    <t>GUEVARA BRAVO SOLANGE</t>
  </si>
  <si>
    <t>solange.guevara2000@gmail.com</t>
  </si>
  <si>
    <t>EFFIO BENITES JEFFERSON LUIS</t>
  </si>
  <si>
    <t>jeffersoneffio.9@gmail.com</t>
  </si>
  <si>
    <t>CASTRO CASTRO ZOILA PATRICIA</t>
  </si>
  <si>
    <t>zoilapatriciacastrocastro@gmail.com</t>
  </si>
  <si>
    <t>CARRANZA QUINTANA BRAYAM JAHEEL</t>
  </si>
  <si>
    <t>brayamjcarranzaq@gmail.com</t>
  </si>
  <si>
    <t>LICHAM SOSA ABRAHAM ALFONSO</t>
  </si>
  <si>
    <t>lichamsosaabrahamalfonso@gmail.com</t>
  </si>
  <si>
    <t>MUSAYON MARTELL BEATRIZ ALEXANDRA</t>
  </si>
  <si>
    <t>beatrizalexandramusayonmartell@gmail.com</t>
  </si>
  <si>
    <t>ALARCON OLANO JOYSI FIORELA</t>
  </si>
  <si>
    <t>joysifiorellaalarconolano@gmail.com</t>
  </si>
  <si>
    <t>SANTOS CHAPOÑAN ABRAHAM HENRY</t>
  </si>
  <si>
    <t>ahsantosch1013@gmail.com</t>
  </si>
  <si>
    <t>INOÑAN VIDAURRE JUANA ELIZABETH</t>
  </si>
  <si>
    <t>juanieliza.24@gmail.com</t>
  </si>
  <si>
    <t>ALVAREZ CASANOVA LIZ SOLANCH</t>
  </si>
  <si>
    <t>alvarezcasanovalisol@gmail.com</t>
  </si>
  <si>
    <t>CORNEJO CHIRINOS KATHERINE LESLIE DEL SOCORRO</t>
  </si>
  <si>
    <t>katherine.leslie.96@gmail.com</t>
  </si>
  <si>
    <t>CARRERO DAVILA JORGE RONAL</t>
  </si>
  <si>
    <t>ius.abogados11710@gmail.com</t>
  </si>
  <si>
    <t>DIAZ ROJAS VANESA LISET</t>
  </si>
  <si>
    <t>VD9034356@GMAIL.COM</t>
  </si>
  <si>
    <t>FLORES MUNDACA CAROLINA SINNDENEY</t>
  </si>
  <si>
    <t>carolinafloresmundaca@gmail.com</t>
  </si>
  <si>
    <t>HUAMAN APAZA JOSE DIOMEDES</t>
  </si>
  <si>
    <t>josediomedeshuamanapaza@gmail.com</t>
  </si>
  <si>
    <t>BENAVIDES CAMPOS DEYSI YANETH</t>
  </si>
  <si>
    <t>deyabeca22@gmail.com</t>
  </si>
  <si>
    <t>SANCHEZ PIZARRO HEBERT HERNAN</t>
  </si>
  <si>
    <t>abogadohebertsanchezpizarro@gmail.com</t>
  </si>
  <si>
    <t>BUSTAMANTE HUAMAN NAYELI LIZBETH</t>
  </si>
  <si>
    <t>nayeligeminis123@hotmail.com</t>
  </si>
  <si>
    <t>FLORES SONAPO INGRID JAZMIN</t>
  </si>
  <si>
    <t>jfloressonapo@gmail.com</t>
  </si>
  <si>
    <t>REQUEJO LLATAS LUCERO DEL ROCIO</t>
  </si>
  <si>
    <t>Rociorequejoll@gmail.com</t>
  </si>
  <si>
    <t>ACUÑA LLONTOP JESUS ANTONIO</t>
  </si>
  <si>
    <t>jesan.2618@gmail.com</t>
  </si>
  <si>
    <t>TIZNADO ASENJO AMADO LEON IGOR</t>
  </si>
  <si>
    <t>atiznadodj@mpfn.gob.pe</t>
  </si>
  <si>
    <t>REYES BALDEON KEVIN LEONARDO</t>
  </si>
  <si>
    <t>reyesb.lex@gmail.com</t>
  </si>
  <si>
    <t>QUIROZ PUELLES IRENE DEL ROSARIO</t>
  </si>
  <si>
    <t>qpuellesirene05@gmail.com</t>
  </si>
  <si>
    <t>ESPINOZA ARBULU RENATO VLADIMIR</t>
  </si>
  <si>
    <t>renatoespinoza112@gmail.com</t>
  </si>
  <si>
    <t>FLORES VENTURA ROSITA GREACE</t>
  </si>
  <si>
    <t>greaceflores2019@gmail.com</t>
  </si>
  <si>
    <t>LABURIANO VASQUEZ LUPITA ENAR</t>
  </si>
  <si>
    <t>luelava0502@gmail.com</t>
  </si>
  <si>
    <t>GONZALES TORRES INGRID MADELEINE</t>
  </si>
  <si>
    <t>ingridgonzalestorres395@gmail.com</t>
  </si>
  <si>
    <t>OCHOA NEIRA MARIA FATIMA</t>
  </si>
  <si>
    <t>mochoan@unprg.edu.pe</t>
  </si>
  <si>
    <t>AYEN MEGO DIANA PAOLA</t>
  </si>
  <si>
    <t>abg.ayenmego@gmail.com</t>
  </si>
  <si>
    <t>LORENZO LOPEZ SANTOS</t>
  </si>
  <si>
    <t>lopez_sport_1976@hotmail.com</t>
  </si>
  <si>
    <t>NEVADO COBOS ROSS MERCEDES</t>
  </si>
  <si>
    <t>ross_nc93@hotmail.com</t>
  </si>
  <si>
    <t>TABOADA DIAZ STEWART ALFRED</t>
  </si>
  <si>
    <t>STEWART2504T@GMAIL.COM</t>
  </si>
  <si>
    <t>TANTALEAN RUIZ ELMER ENRIQUE</t>
  </si>
  <si>
    <t>etantaleanr@unprg.edu.pe</t>
  </si>
  <si>
    <t>Gerencia de Obras y Construcción</t>
  </si>
  <si>
    <t>VELA REQUEJO LUIS GUSTAVO</t>
  </si>
  <si>
    <t>vela.ing@hotmail.com</t>
  </si>
  <si>
    <t>ARCE GARCIA BAYRON EDINSON</t>
  </si>
  <si>
    <t>ING.BAYRONARCE@GMAIL.COM</t>
  </si>
  <si>
    <t>FERNANDEZ HUAMAN TIMOTEO</t>
  </si>
  <si>
    <t>timofer280492@gmail.com</t>
  </si>
  <si>
    <t>TICLAHUANCA TANTARICO ABELINO</t>
  </si>
  <si>
    <t>abelinoticlahuancat@gmail.com</t>
  </si>
  <si>
    <t>VILLALOBOS ELERA ALEXANDER VALENTIN</t>
  </si>
  <si>
    <t>avillalobose@unprg.edu.pe</t>
  </si>
  <si>
    <t>DELGADO TORO NIXON GARY</t>
  </si>
  <si>
    <t>ndelgadot@unprg.edu.pe</t>
  </si>
  <si>
    <t>MUNDACA CASTAÑEDA MANUEL ALEXANDER</t>
  </si>
  <si>
    <t>MANUEL.MUNDACA.MMC@GMAIL.COM</t>
  </si>
  <si>
    <t>ARROYO AYALA JHONATAN</t>
  </si>
  <si>
    <t>jhona_14_04@hotmail.com</t>
  </si>
  <si>
    <t>HERRERA VASQUEZ DEYVIS</t>
  </si>
  <si>
    <t>dherrerav@unprg.edu.pe</t>
  </si>
  <si>
    <t>VENTURA ATALAYA OLIVER</t>
  </si>
  <si>
    <t>oventuraa@unprg.edu.pe</t>
  </si>
  <si>
    <t>SALDAÑA DAVILA JORDAN SIMON</t>
  </si>
  <si>
    <t>ing.jordanssd@gmail.com</t>
  </si>
  <si>
    <t>SILVA VASQUEZ EDINSON LEONARD</t>
  </si>
  <si>
    <t>leosv96@gmail.com</t>
  </si>
  <si>
    <t>DIAZ CERVERA WILTON ELIAS</t>
  </si>
  <si>
    <t>ing.wiltondiaz@gmail.com</t>
  </si>
  <si>
    <t>SANTOS CORREA JONNATAN MANUEL</t>
  </si>
  <si>
    <t>sjonnatanmanuel@gmail.com</t>
  </si>
  <si>
    <t>MARTINEZ GUEVARA LUIS FERNANDO</t>
  </si>
  <si>
    <t>luismartinezguevara2017@gmail.com</t>
  </si>
  <si>
    <t>BALLENA VIDAL LUCIA VANESSA</t>
  </si>
  <si>
    <t>lballenav@unprg.edu.pe</t>
  </si>
  <si>
    <t>OLANO PEREZ PURIFICACION LISBET</t>
  </si>
  <si>
    <t>olanoperezp.ing.civil@gmail.com</t>
  </si>
  <si>
    <t>TORRES SALDAÑA DEIVID ANTONNY SERGIO</t>
  </si>
  <si>
    <t>ingdtorres24@gmail.com</t>
  </si>
  <si>
    <t>LEONARDO MENDOZA JOHN CARLOS</t>
  </si>
  <si>
    <t>johnleo091822@gmail.com</t>
  </si>
  <si>
    <t>NANFARO MORALES JOSE DANIEL</t>
  </si>
  <si>
    <t>jnanfaro19@gmail.com</t>
  </si>
  <si>
    <t>CHUMACERO VARGAS AARON ADONAI</t>
  </si>
  <si>
    <t>achumacero@unprg.edu.pe</t>
  </si>
  <si>
    <t>OBLITAS DIAZ JUAN CARLOS</t>
  </si>
  <si>
    <t>joblitasd@unprg.edu.pe</t>
  </si>
  <si>
    <t>TUÑOQUE SERNAQUE JESUS ALBERTO</t>
  </si>
  <si>
    <t>jtunoquese@unprg.edu.pe</t>
  </si>
  <si>
    <t>VASQUEZ PEREZ FRANKLIN ELVIS</t>
  </si>
  <si>
    <t>fvasquezp@unprg.edu.pe</t>
  </si>
  <si>
    <t>ACOSTA DE LA CRUZ CARLOS ANTONIO</t>
  </si>
  <si>
    <t>acostadlc97@gmail.com</t>
  </si>
  <si>
    <t>CAMASCA GUERRERO CARLOS JAVIER</t>
  </si>
  <si>
    <t>ing.carloscamasca@gmail.com</t>
  </si>
  <si>
    <t>RAMOS VASQUEZ WALTER EDUARDO</t>
  </si>
  <si>
    <t>walteramosvas@gmail.com</t>
  </si>
  <si>
    <t>GRAUS TORRES MANUEL ANTONIO</t>
  </si>
  <si>
    <t>agraustorres@gmail.com</t>
  </si>
  <si>
    <t>CARLOS CESPEDES JUAN</t>
  </si>
  <si>
    <t>ing.juancarlosce@gmail.com</t>
  </si>
  <si>
    <t>ESCALANTE MEDINA JOSE ALBERTO</t>
  </si>
  <si>
    <t>jalbertoing@gmail.com</t>
  </si>
  <si>
    <t>LIZARZABURU GUTIERREZ CLAUDIA ADELA</t>
  </si>
  <si>
    <t>adelalizarzaburugutierrez@gmail.com</t>
  </si>
  <si>
    <t>ORTEGA SOTO MELVIS MICHAEL</t>
  </si>
  <si>
    <t>7mos.1494@gmail.com</t>
  </si>
  <si>
    <t>PORTILLA SERNAQUE CARLOS ALBERTO</t>
  </si>
  <si>
    <t>carposfinal73@hotmail.com</t>
  </si>
  <si>
    <t>REGALADO ROJAS NEISSLER JAMIR</t>
  </si>
  <si>
    <t>nregalado@unprg.edu.pe</t>
  </si>
  <si>
    <t>REGALADO GONZALES RICARDO RAFAEL</t>
  </si>
  <si>
    <t>rrregaladog@gmail.com</t>
  </si>
  <si>
    <t>ACOSTA ARNAO ROMARIO EUGENIO</t>
  </si>
  <si>
    <t>racostaar@unprg.edu.pe</t>
  </si>
  <si>
    <t>CHOZO SANTISTEBAN LUIS FERNANDO</t>
  </si>
  <si>
    <t>fernandochozo2803@gmail.com</t>
  </si>
  <si>
    <t>ALDANA CHOZO LUIS FELIPE</t>
  </si>
  <si>
    <t>luisaldanachozo1@gmail.com</t>
  </si>
  <si>
    <t>CHAVEZ RAMIREZ RENZO SCHLEIDER</t>
  </si>
  <si>
    <t>schleider_13@hotmail.com</t>
  </si>
  <si>
    <t>PALOMINO HERNÁNDEZ FLOYNER</t>
  </si>
  <si>
    <t>floynerpalomino20@hotmail.com</t>
  </si>
  <si>
    <t>RONCAL COTRINA WILDER</t>
  </si>
  <si>
    <t>wilderoncal@gmail.com</t>
  </si>
  <si>
    <t>ALDANA ELERA JOSE HERIBERTO</t>
  </si>
  <si>
    <t>josealdanaelera@yahoo.com</t>
  </si>
  <si>
    <t>MONTALVAN VELIZ OSCAR GERMAN</t>
  </si>
  <si>
    <t>ing.germanmove21@gmail.com</t>
  </si>
  <si>
    <t>VELASQUEZ SALAZAR ROMMEL TOMAS</t>
  </si>
  <si>
    <t>vrommeltomas@gmail.com</t>
  </si>
  <si>
    <t>REYES DE LA CRUZ JOSE CARLOS</t>
  </si>
  <si>
    <t>ing.jscreyes@gmail.com</t>
  </si>
  <si>
    <t>VIVAS VIERA MARCO ANTONIO</t>
  </si>
  <si>
    <t>viviermantonio@gmail.com</t>
  </si>
  <si>
    <t>LOPEZ LOPEZ EDGAR RUBEN</t>
  </si>
  <si>
    <t>rubenlopezl1995@gmail.com</t>
  </si>
  <si>
    <t>PEREZ VALDERA JOSE EUGENIO</t>
  </si>
  <si>
    <t>jperezvaldera@gmail.com</t>
  </si>
  <si>
    <t>ZEÑA COICO MARCO ANTONIO</t>
  </si>
  <si>
    <t>marcocoico308@gmail.com</t>
  </si>
  <si>
    <t>PAIVA CHERO EDGAR VICTOR</t>
  </si>
  <si>
    <t>vpaivach@gmail.com</t>
  </si>
  <si>
    <t>DIAZ SANDOVAL EDSON DENILSON</t>
  </si>
  <si>
    <t>ed232597@gmail.com</t>
  </si>
  <si>
    <t>PALOMINO IZQUIERDO EINSTEN YORDI</t>
  </si>
  <si>
    <t>epalominoi@unprg.edu.pe</t>
  </si>
  <si>
    <t>PUYCAN PORRAS JOSE LUIS</t>
  </si>
  <si>
    <t>luispuycan18.2@gmail.com</t>
  </si>
  <si>
    <t>PEREZ FERNANDEZ GIPSON GEANCARLO</t>
  </si>
  <si>
    <t>gperezf@unprg.edu.pe</t>
  </si>
  <si>
    <t>ROJAS CERNA MIGUEL ANGEL</t>
  </si>
  <si>
    <t>mrojasce@gmail.com</t>
  </si>
  <si>
    <t>Ingeniería de Sistemas con Mención en Gerencia de Tecnologías de la Información y Gestión del Software</t>
  </si>
  <si>
    <t>CALDERON PEREZ ARTEMIO</t>
  </si>
  <si>
    <t>artemiocalderon@gmail.com</t>
  </si>
  <si>
    <t>ZURITA CERVERA HOWARD EDMUNDO</t>
  </si>
  <si>
    <t>hozuce@gmail.com</t>
  </si>
  <si>
    <t>VILCA RAMOS DAVID SEGUNDO</t>
  </si>
  <si>
    <t>david_199180@hotmail.com</t>
  </si>
  <si>
    <t>RIVADENEIRA ROMERO LEONARDO JEFFERSON</t>
  </si>
  <si>
    <t>lrivadeneira.pe@hotmail.com</t>
  </si>
  <si>
    <t>LEON VELASQUEZ CARLOS ROBERTO</t>
  </si>
  <si>
    <t>cleon050591@gmail.com</t>
  </si>
  <si>
    <t>SUCLUPE SANTISTEBAN RONALD ANDRES</t>
  </si>
  <si>
    <t>ronaldsuclupes@gmail.com</t>
  </si>
  <si>
    <t>TORO TELLO YANE ELIZABETH</t>
  </si>
  <si>
    <t>YANELIZABETHTOROTELLO@GMAIL.COM</t>
  </si>
  <si>
    <t>CARRASCO SAAVEDRA ANGIE YALU</t>
  </si>
  <si>
    <t>angieyalu2004@gmail.com</t>
  </si>
  <si>
    <t>VASQUEZ VENTURA JUAN</t>
  </si>
  <si>
    <t>juanvasquezventura@gmail.com</t>
  </si>
  <si>
    <t>AZAÑERO BURGA JHYNNO AMADO</t>
  </si>
  <si>
    <t>abjhynno28@gmail.com</t>
  </si>
  <si>
    <t>YACILA ENEQUE LAURA ELIZABETH</t>
  </si>
  <si>
    <t>laura.yacila@gmail.com</t>
  </si>
  <si>
    <t>ROQUE RINZA NEXAR ISMAEL</t>
  </si>
  <si>
    <t>nexar.2388@gmail.com</t>
  </si>
  <si>
    <t>VASQUEZ HOYOS ALVARO</t>
  </si>
  <si>
    <t>avasquezho10@gmail.com</t>
  </si>
  <si>
    <t>LLUEN VALIENTE ROSA LORENA ARACELI</t>
  </si>
  <si>
    <t>lorenalluva@gmail.com</t>
  </si>
  <si>
    <t>VALENCIA GARAVITO MARTIN</t>
  </si>
  <si>
    <t>jomarnet@gmail.com</t>
  </si>
  <si>
    <t>CASAS VILLAR ERICK JAVIER</t>
  </si>
  <si>
    <t>ejcv_piscis_93@hotmail.com</t>
  </si>
  <si>
    <t>HERNANDEZ MECHAN LUIS ALBERTO</t>
  </si>
  <si>
    <t>lhernandezmec@unprg.edu.pe</t>
  </si>
  <si>
    <t>SALSACHIN SANTAMARIA DIEGO JOSE</t>
  </si>
  <si>
    <t>diegojos_5@hotmail.com</t>
  </si>
  <si>
    <t>CORONEL GUEVARA AURORA DEL ROCIO</t>
  </si>
  <si>
    <t>acoronelgu@unprg.edu.pe</t>
  </si>
  <si>
    <t>Manejo Sostenible de Suelos</t>
  </si>
  <si>
    <t>VASQUEZ SILVA PERSI</t>
  </si>
  <si>
    <t>persi_0922@hotmail.com</t>
  </si>
  <si>
    <t>MOYANO MUÑOZ CARLOS ALBERTO</t>
  </si>
  <si>
    <t>cmoyano@agrosimesd.com</t>
  </si>
  <si>
    <t>RUBIO RAMIREZ DERMALI</t>
  </si>
  <si>
    <t>dermali5060@gmail.com</t>
  </si>
  <si>
    <t>02626994</t>
  </si>
  <si>
    <t>GALECIO JULCA MIGUEL ANGEL</t>
  </si>
  <si>
    <t>mgalecioj@unp.edu.pe</t>
  </si>
  <si>
    <t>COTRINA VELASQUEZ LUIS MIGUEL</t>
  </si>
  <si>
    <t>luis16_575@hotmail.com</t>
  </si>
  <si>
    <t>DIAZ ARTEAGA YHEYSON</t>
  </si>
  <si>
    <t>ydiazar@unprg.edu.pe</t>
  </si>
  <si>
    <t>CAMPOS CHAVEZ YANILA ISABEL</t>
  </si>
  <si>
    <t>ycamposc@unprg.edu.pe</t>
  </si>
  <si>
    <t>09304638</t>
  </si>
  <si>
    <t>SCHWARTZ AGUILAR NECTALIO JESUS</t>
  </si>
  <si>
    <t>jesuschwartz@gmail.com</t>
  </si>
  <si>
    <t>VASQUEZ SANCHEZ JHONNY ALBERTO</t>
  </si>
  <si>
    <t>jhonni_82@hotmail.com</t>
  </si>
  <si>
    <t>HUMBO LIMA JOSE ANIBAL</t>
  </si>
  <si>
    <t>jaul20@gmail.com</t>
  </si>
  <si>
    <t>HURTADO ROJAS LUIS NOLBERTO</t>
  </si>
  <si>
    <t>lhurtador@unprg.edu.pe</t>
  </si>
  <si>
    <t>SANCHEZ DIAZ DELVIS</t>
  </si>
  <si>
    <t>dsanchezd@unprg.edu.pe</t>
  </si>
  <si>
    <t>AVILA ACOSTA CHRISTIAN ARTURO</t>
  </si>
  <si>
    <t>christianavilaacosta.0425@gmail.com</t>
  </si>
  <si>
    <t>CHAFLOQUE MONTENEGRO VICTORIA</t>
  </si>
  <si>
    <t>victoriachm@gmail.com</t>
  </si>
  <si>
    <t>SAMAJEN JUWAG ELIO</t>
  </si>
  <si>
    <t>samajen1912@gmail.com</t>
  </si>
  <si>
    <t>BALLENA CUZMA ELIBERTO</t>
  </si>
  <si>
    <t>ebcuzma@gmail.com</t>
  </si>
  <si>
    <t>CHILCON MONTENEGRO WILBER</t>
  </si>
  <si>
    <t>Wchilcon@unprg.edu.pe</t>
  </si>
  <si>
    <t>SEGURA DIAZ MARIO KEVIN</t>
  </si>
  <si>
    <t>kevin_agrosun@hotmail.com</t>
  </si>
  <si>
    <t>RODRIGUEZ ZUÑIGA ELVER ROGGER</t>
  </si>
  <si>
    <t>rogger15_10@hotmail.com</t>
  </si>
  <si>
    <t>SAAVEDRA CAMACHO JOHNNY LEANDRO</t>
  </si>
  <si>
    <t>johnnylsc107@gmail.com</t>
  </si>
  <si>
    <t>SEGUNDA ESPECIALIDAD PROFESIONAL</t>
  </si>
  <si>
    <t>Microbiología Clínica</t>
  </si>
  <si>
    <t>MERA VILLASIS KATYA MARIELA</t>
  </si>
  <si>
    <t>kmerav79@gmail.com</t>
  </si>
  <si>
    <t>ALDANA CUSTODIO JESÚS RODOLFO</t>
  </si>
  <si>
    <t>jaldanacustodio@gmail.com</t>
  </si>
  <si>
    <t>GONZALES FLORES MARIA ELENA</t>
  </si>
  <si>
    <t>elena_gf_5_1@hotmail.com</t>
  </si>
  <si>
    <t>VELASQUEZ RAMIREZ KATTIA MIRELLA</t>
  </si>
  <si>
    <t>mirella29vr@gmail.com</t>
  </si>
  <si>
    <t>MAZA AGUIRRE JUAN SAMIR</t>
  </si>
  <si>
    <t>jusamir15@gmail.com</t>
  </si>
  <si>
    <t>QUISPE BAZALAR KARINA PAOOLA</t>
  </si>
  <si>
    <t>karysqb17@gmail.com</t>
  </si>
  <si>
    <t>SANDOVAL DAMIAN LUIS ANTONY</t>
  </si>
  <si>
    <t>sandoluis1312@gmail.com</t>
  </si>
  <si>
    <t>CHUNGA BERMEJO YESSICA ARACELLI</t>
  </si>
  <si>
    <t>yessachube@yahoo.com</t>
  </si>
  <si>
    <t>RACCHUMI CHAMBERGO MARCO ANTONIO</t>
  </si>
  <si>
    <t>mracchumich@hotmail.com</t>
  </si>
  <si>
    <t>SALVADOR CERDAN RAQUEL MARITZA</t>
  </si>
  <si>
    <t>rsalvador3027@gmail.com</t>
  </si>
  <si>
    <t>PINTADO UBILLUS CARLOS JOEL</t>
  </si>
  <si>
    <t>carlosjoelpintadoubillus@gmail.com</t>
  </si>
  <si>
    <t>ESPINOZA CRUZ ABRAHAN ISAAC</t>
  </si>
  <si>
    <t>abrahanespinozacruz@gmail.com</t>
  </si>
  <si>
    <t>SANDOVAL MOROCHO REBECA DE JESUS</t>
  </si>
  <si>
    <t>rebecasm2202@gmail.com</t>
  </si>
  <si>
    <t>CANCINO DELGADO INGRI GREISY</t>
  </si>
  <si>
    <t>ingri.2909@gmail.com</t>
  </si>
  <si>
    <t>URIARTE DIAZ ISABEL CRISTINA</t>
  </si>
  <si>
    <t>sadcris@hotmail.com</t>
  </si>
  <si>
    <t>NEVADO CORDOVA VANESA</t>
  </si>
  <si>
    <t>nevadovanesa@gmail.com</t>
  </si>
  <si>
    <t>MAGALLANES FLORES ANGELICA MILAGROS</t>
  </si>
  <si>
    <t>mmagallanesflores99@gmail.com</t>
  </si>
  <si>
    <t>02811678</t>
  </si>
  <si>
    <t>OCAMPOS SEMBRERA MIGUEL ANGEL</t>
  </si>
  <si>
    <t>knchq@hotmail.com</t>
  </si>
  <si>
    <t>CELULAR</t>
  </si>
  <si>
    <t>NRO</t>
  </si>
  <si>
    <t>CORREO_UNPRG</t>
  </si>
  <si>
    <t>APELLIDO_PAT</t>
  </si>
  <si>
    <t>APELLIDO_MAT</t>
  </si>
  <si>
    <t>NOMBRES</t>
  </si>
  <si>
    <t>LLAMO</t>
  </si>
  <si>
    <t>DIAZ</t>
  </si>
  <si>
    <t>SILVA</t>
  </si>
  <si>
    <t>DELGADO</t>
  </si>
  <si>
    <t>CIEZA</t>
  </si>
  <si>
    <t>HERRERA</t>
  </si>
  <si>
    <t>MARCELO</t>
  </si>
  <si>
    <t>SAUCEDO</t>
  </si>
  <si>
    <t>LINARES</t>
  </si>
  <si>
    <t>ARBOLEDA</t>
  </si>
  <si>
    <t>IMAN</t>
  </si>
  <si>
    <t>AREVALO</t>
  </si>
  <si>
    <t>CORONEL</t>
  </si>
  <si>
    <t>GUEVARA</t>
  </si>
  <si>
    <t>PORTILLO</t>
  </si>
  <si>
    <t>OJEDA</t>
  </si>
  <si>
    <t>CAPUÑAY</t>
  </si>
  <si>
    <t>HUAYTALLA</t>
  </si>
  <si>
    <t>YARANGA</t>
  </si>
  <si>
    <t>SAAVEDRA</t>
  </si>
  <si>
    <t>RUIZ</t>
  </si>
  <si>
    <t>MANAYAY</t>
  </si>
  <si>
    <t>CRUZ</t>
  </si>
  <si>
    <t>PASACHE</t>
  </si>
  <si>
    <t>RUMICHE</t>
  </si>
  <si>
    <t>MORALES</t>
  </si>
  <si>
    <t>CESPEDES</t>
  </si>
  <si>
    <t>HEREDIA</t>
  </si>
  <si>
    <t>INOÑAN</t>
  </si>
  <si>
    <t>BANCES</t>
  </si>
  <si>
    <t>SANTISTEBAN</t>
  </si>
  <si>
    <t>VIDAURRE</t>
  </si>
  <si>
    <t>PONCE</t>
  </si>
  <si>
    <t>NIETO</t>
  </si>
  <si>
    <t>PEREZ</t>
  </si>
  <si>
    <t>ZUMAETA</t>
  </si>
  <si>
    <t>VIGIL</t>
  </si>
  <si>
    <t>CHAPOÑAN</t>
  </si>
  <si>
    <t>ALDANA</t>
  </si>
  <si>
    <t>MACO</t>
  </si>
  <si>
    <t>DUEÑAS</t>
  </si>
  <si>
    <t>SANCHEZ</t>
  </si>
  <si>
    <t>BOBADILLA</t>
  </si>
  <si>
    <t>FLORES</t>
  </si>
  <si>
    <t>VASQUEZ</t>
  </si>
  <si>
    <t>VERA</t>
  </si>
  <si>
    <t>CABREJOS</t>
  </si>
  <si>
    <t>SAHUMA</t>
  </si>
  <si>
    <t>CARLOS</t>
  </si>
  <si>
    <t>NUNTON</t>
  </si>
  <si>
    <t>CANGO</t>
  </si>
  <si>
    <t>SUCLUPE</t>
  </si>
  <si>
    <t>GUERREROS</t>
  </si>
  <si>
    <t>SALAZAR</t>
  </si>
  <si>
    <t>LACERNA</t>
  </si>
  <si>
    <t>ZUTA</t>
  </si>
  <si>
    <t>ROJAS</t>
  </si>
  <si>
    <t>MORENO</t>
  </si>
  <si>
    <t>EFFIO</t>
  </si>
  <si>
    <t>BUSTAMANTE</t>
  </si>
  <si>
    <t>VALDERA</t>
  </si>
  <si>
    <t>CHAFLOQUE</t>
  </si>
  <si>
    <t>CHICLAYO</t>
  </si>
  <si>
    <t>CARMONA</t>
  </si>
  <si>
    <t>TORRES</t>
  </si>
  <si>
    <t>FRIAS</t>
  </si>
  <si>
    <t>REYES</t>
  </si>
  <si>
    <t>NÚÑEZ</t>
  </si>
  <si>
    <t>RINZA</t>
  </si>
  <si>
    <t>HUILLCA</t>
  </si>
  <si>
    <t>BRIONES</t>
  </si>
  <si>
    <t>TANTALEAN</t>
  </si>
  <si>
    <t>VELA</t>
  </si>
  <si>
    <t>REQUEJO</t>
  </si>
  <si>
    <t>ARCE</t>
  </si>
  <si>
    <t>GARCIA</t>
  </si>
  <si>
    <t>FERNANDEZ</t>
  </si>
  <si>
    <t>HUAMAN</t>
  </si>
  <si>
    <t>TICLAHUANCA</t>
  </si>
  <si>
    <t>TANTARICO</t>
  </si>
  <si>
    <t>VILLALOBOS</t>
  </si>
  <si>
    <t>ELERA</t>
  </si>
  <si>
    <t>TORO</t>
  </si>
  <si>
    <t>MUNDACA</t>
  </si>
  <si>
    <t>CASTAÑEDA</t>
  </si>
  <si>
    <t>ARROYO</t>
  </si>
  <si>
    <t>AYALA</t>
  </si>
  <si>
    <t>VENTURA</t>
  </si>
  <si>
    <t>ATALAYA</t>
  </si>
  <si>
    <t>SALDAÑA</t>
  </si>
  <si>
    <t>DAVILA</t>
  </si>
  <si>
    <t>CERVERA</t>
  </si>
  <si>
    <t>SANTOS</t>
  </si>
  <si>
    <t>CORREA</t>
  </si>
  <si>
    <t>MARTINEZ</t>
  </si>
  <si>
    <t>BALLENA</t>
  </si>
  <si>
    <t>VIDAL</t>
  </si>
  <si>
    <t>OLANO</t>
  </si>
  <si>
    <t>LEONARDO</t>
  </si>
  <si>
    <t>MENDOZA</t>
  </si>
  <si>
    <t>NANFARO</t>
  </si>
  <si>
    <t>CHUMACERO</t>
  </si>
  <si>
    <t>VARGAS</t>
  </si>
  <si>
    <t>OBLITAS</t>
  </si>
  <si>
    <t>TUÑOQUE</t>
  </si>
  <si>
    <t>SERNAQUE</t>
  </si>
  <si>
    <t>ACOSTA</t>
  </si>
  <si>
    <t>CAMASCA</t>
  </si>
  <si>
    <t>GUERRERO</t>
  </si>
  <si>
    <t>RAMOS</t>
  </si>
  <si>
    <t>GRAUS</t>
  </si>
  <si>
    <t>ESCALANTE</t>
  </si>
  <si>
    <t>MEDINA</t>
  </si>
  <si>
    <t>LIZARZABURU</t>
  </si>
  <si>
    <t>GUTIERREZ</t>
  </si>
  <si>
    <t>ORTEGA</t>
  </si>
  <si>
    <t>SOTO</t>
  </si>
  <si>
    <t>PORTILLA</t>
  </si>
  <si>
    <t>REGALADO</t>
  </si>
  <si>
    <t>GONZALES</t>
  </si>
  <si>
    <t>ARNAO</t>
  </si>
  <si>
    <t>CHOZO</t>
  </si>
  <si>
    <t>CHAVEZ</t>
  </si>
  <si>
    <t>RAMIREZ</t>
  </si>
  <si>
    <t>PALOMINO</t>
  </si>
  <si>
    <t>HERNÁNDEZ</t>
  </si>
  <si>
    <t>RONCAL</t>
  </si>
  <si>
    <t>COTRINA</t>
  </si>
  <si>
    <t>MONTALVAN</t>
  </si>
  <si>
    <t>VELIZ</t>
  </si>
  <si>
    <t>VELASQUEZ</t>
  </si>
  <si>
    <t>VIVAS</t>
  </si>
  <si>
    <t>VIERA</t>
  </si>
  <si>
    <t>LOPEZ</t>
  </si>
  <si>
    <t>ZEÑA</t>
  </si>
  <si>
    <t>COICO</t>
  </si>
  <si>
    <t>PAIVA</t>
  </si>
  <si>
    <t>CHERO</t>
  </si>
  <si>
    <t>CERNA</t>
  </si>
  <si>
    <t>CALDERON</t>
  </si>
  <si>
    <t>ZURITA</t>
  </si>
  <si>
    <t>VILCA</t>
  </si>
  <si>
    <t>RIVADENEIRA</t>
  </si>
  <si>
    <t>ROMERO</t>
  </si>
  <si>
    <t>LEON</t>
  </si>
  <si>
    <t>TELLO</t>
  </si>
  <si>
    <t>CARRASCO</t>
  </si>
  <si>
    <t>AZAÑERO</t>
  </si>
  <si>
    <t>BURGA</t>
  </si>
  <si>
    <t>YACILA</t>
  </si>
  <si>
    <t>ENEQUE</t>
  </si>
  <si>
    <t>ROQUE</t>
  </si>
  <si>
    <t>HOYOS</t>
  </si>
  <si>
    <t>LLUEN</t>
  </si>
  <si>
    <t>VALIENTE</t>
  </si>
  <si>
    <t>VALENCIA</t>
  </si>
  <si>
    <t>GARAVITO</t>
  </si>
  <si>
    <t>ECHEVERRE</t>
  </si>
  <si>
    <t>BECERRA</t>
  </si>
  <si>
    <t>RODRIGUEZ</t>
  </si>
  <si>
    <t>QUISPE</t>
  </si>
  <si>
    <t>MUSAYON</t>
  </si>
  <si>
    <t>MARTELL</t>
  </si>
  <si>
    <t>ALVAREZ</t>
  </si>
  <si>
    <t>DEZA</t>
  </si>
  <si>
    <t>COPIA</t>
  </si>
  <si>
    <t>LUCERO</t>
  </si>
  <si>
    <t>SANDOVAL</t>
  </si>
  <si>
    <t>URTECHO</t>
  </si>
  <si>
    <t>GUZMAN</t>
  </si>
  <si>
    <t>ORELLANA</t>
  </si>
  <si>
    <t>ZORRILLA</t>
  </si>
  <si>
    <t>BRAVO</t>
  </si>
  <si>
    <t>BENITES</t>
  </si>
  <si>
    <t>CASTRO</t>
  </si>
  <si>
    <t>CARRANZA</t>
  </si>
  <si>
    <t>QUINTANA</t>
  </si>
  <si>
    <t>LICHAM</t>
  </si>
  <si>
    <t>SOSA</t>
  </si>
  <si>
    <t>ALARCON</t>
  </si>
  <si>
    <t>CASANOVA</t>
  </si>
  <si>
    <t>CORNEJO</t>
  </si>
  <si>
    <t>CHIRINOS</t>
  </si>
  <si>
    <t>DEL</t>
  </si>
  <si>
    <t>CARRERO</t>
  </si>
  <si>
    <t>APAZA</t>
  </si>
  <si>
    <t>BENAVIDES</t>
  </si>
  <si>
    <t>CAMPOS</t>
  </si>
  <si>
    <t>PIZARRO</t>
  </si>
  <si>
    <t>SONAPO</t>
  </si>
  <si>
    <t>LLATAS</t>
  </si>
  <si>
    <t>ACUÑA</t>
  </si>
  <si>
    <t>LLONTOP</t>
  </si>
  <si>
    <t>TIZNADO</t>
  </si>
  <si>
    <t>ASENJO</t>
  </si>
  <si>
    <t>BALDEON</t>
  </si>
  <si>
    <t>QUIROZ</t>
  </si>
  <si>
    <t>PUELLES</t>
  </si>
  <si>
    <t>ESPINOZA</t>
  </si>
  <si>
    <t>ARBULU</t>
  </si>
  <si>
    <t>LABURIANO</t>
  </si>
  <si>
    <t>OCHOA</t>
  </si>
  <si>
    <t>NEIRA</t>
  </si>
  <si>
    <t>AYEN</t>
  </si>
  <si>
    <t>MEGO</t>
  </si>
  <si>
    <t>LORENZO</t>
  </si>
  <si>
    <t>NEVADO</t>
  </si>
  <si>
    <t>COBOS</t>
  </si>
  <si>
    <t>BARBOZA</t>
  </si>
  <si>
    <t>RIMARACHIN</t>
  </si>
  <si>
    <t>ALBUJAR</t>
  </si>
  <si>
    <t>YARLAQUE</t>
  </si>
  <si>
    <t>CHUPILLON</t>
  </si>
  <si>
    <t>DAMIAN</t>
  </si>
  <si>
    <t>AMAYA</t>
  </si>
  <si>
    <t>BALTAZAR</t>
  </si>
  <si>
    <t>VALDIVIEZO</t>
  </si>
  <si>
    <t>CARHUAPOMA</t>
  </si>
  <si>
    <t>MORI</t>
  </si>
  <si>
    <t>AGUILA</t>
  </si>
  <si>
    <t>ALVAN</t>
  </si>
  <si>
    <t>ZAMORA</t>
  </si>
  <si>
    <t>REYNA</t>
  </si>
  <si>
    <t>ALBERCA</t>
  </si>
  <si>
    <t>CANDIA</t>
  </si>
  <si>
    <t>CHINCHAYAN</t>
  </si>
  <si>
    <t>BARRENECHEA</t>
  </si>
  <si>
    <t>AGUILAR</t>
  </si>
  <si>
    <t>ASALDE</t>
  </si>
  <si>
    <t>YUPTON</t>
  </si>
  <si>
    <t>CHUMIOQUE</t>
  </si>
  <si>
    <t>CHARCAPE</t>
  </si>
  <si>
    <t>ADRIANZEN</t>
  </si>
  <si>
    <t>SAMPEN</t>
  </si>
  <si>
    <t>MARCHENA</t>
  </si>
  <si>
    <t>CAICAY</t>
  </si>
  <si>
    <t>IZQUIERDO</t>
  </si>
  <si>
    <t>ZELADA</t>
  </si>
  <si>
    <t>CASTILLO</t>
  </si>
  <si>
    <t>OROZCO</t>
  </si>
  <si>
    <t>RUBIÑOS</t>
  </si>
  <si>
    <t>CARDENAS</t>
  </si>
  <si>
    <t>CUBAS</t>
  </si>
  <si>
    <t>VALLE</t>
  </si>
  <si>
    <t>BERNILLA</t>
  </si>
  <si>
    <t>INGA</t>
  </si>
  <si>
    <t>MONTALVO</t>
  </si>
  <si>
    <t>MACEDA</t>
  </si>
  <si>
    <t>GAMONAL</t>
  </si>
  <si>
    <t>UCANCIAL</t>
  </si>
  <si>
    <t>NECIOSUP</t>
  </si>
  <si>
    <t>ABAD</t>
  </si>
  <si>
    <t>SEVILLANO</t>
  </si>
  <si>
    <t>NUNCEVAY</t>
  </si>
  <si>
    <t>RIOS</t>
  </si>
  <si>
    <t>ALEGRE</t>
  </si>
  <si>
    <t>MONSALVE</t>
  </si>
  <si>
    <t>RAVELLO</t>
  </si>
  <si>
    <t>AVALOS</t>
  </si>
  <si>
    <t>YNOÑAN</t>
  </si>
  <si>
    <t>CHAVARRIA</t>
  </si>
  <si>
    <t>MAQUEN</t>
  </si>
  <si>
    <t>DÍAZ</t>
  </si>
  <si>
    <t>JIMENEZ</t>
  </si>
  <si>
    <t>MIMBELA</t>
  </si>
  <si>
    <t>OSORIO</t>
  </si>
  <si>
    <t>PACHERRES</t>
  </si>
  <si>
    <t>MORE</t>
  </si>
  <si>
    <t>CASTELLANOS</t>
  </si>
  <si>
    <t>ESPINO</t>
  </si>
  <si>
    <t>LIVIA</t>
  </si>
  <si>
    <t>CALVAY</t>
  </si>
  <si>
    <t>ORTIZ</t>
  </si>
  <si>
    <t>SOLANO</t>
  </si>
  <si>
    <t>HURTADO</t>
  </si>
  <si>
    <t>MILIAN</t>
  </si>
  <si>
    <t>VELEZ</t>
  </si>
  <si>
    <t>HUERTAS</t>
  </si>
  <si>
    <t>CALMET</t>
  </si>
  <si>
    <t>VILLEGAS</t>
  </si>
  <si>
    <t>ALCANTARA</t>
  </si>
  <si>
    <t>CUMPA</t>
  </si>
  <si>
    <t>PUICAN</t>
  </si>
  <si>
    <t>AQUINO</t>
  </si>
  <si>
    <t>ALTAMIRANO</t>
  </si>
  <si>
    <t>CUSMA</t>
  </si>
  <si>
    <t>BELLODAS</t>
  </si>
  <si>
    <t>ANGELES</t>
  </si>
  <si>
    <t>LUCUMI</t>
  </si>
  <si>
    <t>LLUNCOR</t>
  </si>
  <si>
    <t>CERQUEN</t>
  </si>
  <si>
    <t>CHICOMA</t>
  </si>
  <si>
    <t>HUAMANCHUMO</t>
  </si>
  <si>
    <t>BALCAZAR</t>
  </si>
  <si>
    <t>CORRALES</t>
  </si>
  <si>
    <t>CHAVARRI</t>
  </si>
  <si>
    <t>TAVARA</t>
  </si>
  <si>
    <t>SANTAMARIA</t>
  </si>
  <si>
    <t>SEGURA</t>
  </si>
  <si>
    <t>WONG</t>
  </si>
  <si>
    <t>SANTA</t>
  </si>
  <si>
    <t>COLCHADO</t>
  </si>
  <si>
    <t>CHEVEZ</t>
  </si>
  <si>
    <t>CAMAN</t>
  </si>
  <si>
    <t>BAÑOS</t>
  </si>
  <si>
    <t>CAJUSOL</t>
  </si>
  <si>
    <t>PERALES</t>
  </si>
  <si>
    <t>TUESTA</t>
  </si>
  <si>
    <t>SANGUINEZ</t>
  </si>
  <si>
    <t>PRADA</t>
  </si>
  <si>
    <t>UCHOFEN</t>
  </si>
  <si>
    <t>PARIACURI</t>
  </si>
  <si>
    <t>RECALDE</t>
  </si>
  <si>
    <t>CARDOZO</t>
  </si>
  <si>
    <t>ZETA</t>
  </si>
  <si>
    <t>CUMPEN</t>
  </si>
  <si>
    <t>ORO</t>
  </si>
  <si>
    <t>CORONADO</t>
  </si>
  <si>
    <t>YZQUIERDO</t>
  </si>
  <si>
    <t>PERALTA</t>
  </si>
  <si>
    <t>MERLO</t>
  </si>
  <si>
    <t>JAVE</t>
  </si>
  <si>
    <t>ARAMBULO</t>
  </si>
  <si>
    <t>YAFAC</t>
  </si>
  <si>
    <t>CASIMIRO</t>
  </si>
  <si>
    <t>VICENTE</t>
  </si>
  <si>
    <t>SEMPERTIGUE</t>
  </si>
  <si>
    <t>LIBAQUE</t>
  </si>
  <si>
    <t>CABANILLAS</t>
  </si>
  <si>
    <t>VEGA</t>
  </si>
  <si>
    <t>MIRES</t>
  </si>
  <si>
    <t>CHILON</t>
  </si>
  <si>
    <t>MIRANDA</t>
  </si>
  <si>
    <t>VILCHEZ</t>
  </si>
  <si>
    <t>PEÑA</t>
  </si>
  <si>
    <t>NIÑO</t>
  </si>
  <si>
    <t>MONTERO</t>
  </si>
  <si>
    <t>TEPE</t>
  </si>
  <si>
    <t>ATOCHE</t>
  </si>
  <si>
    <t>CUZQUEN</t>
  </si>
  <si>
    <t>YOCYA</t>
  </si>
  <si>
    <t>AMAMBAL</t>
  </si>
  <si>
    <t>PAUCAR</t>
  </si>
  <si>
    <t>NAMUCHE</t>
  </si>
  <si>
    <t>SECLEN</t>
  </si>
  <si>
    <t>SENCIO</t>
  </si>
  <si>
    <t>MONZÓN</t>
  </si>
  <si>
    <t>PINGLO</t>
  </si>
  <si>
    <t>CABRERA</t>
  </si>
  <si>
    <t>NUÑEZ</t>
  </si>
  <si>
    <t>ALEJOS</t>
  </si>
  <si>
    <t>CIGUEÑAS</t>
  </si>
  <si>
    <t>CALLACNA</t>
  </si>
  <si>
    <t>ARELLANO</t>
  </si>
  <si>
    <t>CUSTODIO</t>
  </si>
  <si>
    <t>CRUZADO</t>
  </si>
  <si>
    <t>CAMACHO</t>
  </si>
  <si>
    <t>MERA</t>
  </si>
  <si>
    <t>VILLASIS</t>
  </si>
  <si>
    <t>MAZA</t>
  </si>
  <si>
    <t>AGUIRRE</t>
  </si>
  <si>
    <t>BAZALAR</t>
  </si>
  <si>
    <t>CHUNGA</t>
  </si>
  <si>
    <t>BERMEJO</t>
  </si>
  <si>
    <t>RACCHUMI</t>
  </si>
  <si>
    <t>CHAMBERGO</t>
  </si>
  <si>
    <t>SALVADOR</t>
  </si>
  <si>
    <t>CERDAN</t>
  </si>
  <si>
    <t>PINTADO</t>
  </si>
  <si>
    <t>UBILLUS</t>
  </si>
  <si>
    <t>MOROCHO</t>
  </si>
  <si>
    <t>CANCINO</t>
  </si>
  <si>
    <t>URIARTE</t>
  </si>
  <si>
    <t>CORDOVA</t>
  </si>
  <si>
    <t>MAGALLANES</t>
  </si>
  <si>
    <t>OCAMPOS</t>
  </si>
  <si>
    <t>SEMBRERA</t>
  </si>
  <si>
    <t>MANAY</t>
  </si>
  <si>
    <t>SERQUEN</t>
  </si>
  <si>
    <t>RETO</t>
  </si>
  <si>
    <t>CHAVARRY</t>
  </si>
  <si>
    <t>LLAJA</t>
  </si>
  <si>
    <t>POLICARPIO</t>
  </si>
  <si>
    <t>CACHAY</t>
  </si>
  <si>
    <t>LUCENA</t>
  </si>
  <si>
    <t>GABRIELLI</t>
  </si>
  <si>
    <t>VILCHERRES</t>
  </si>
  <si>
    <t>BARRUETO</t>
  </si>
  <si>
    <t>FALEN</t>
  </si>
  <si>
    <t>MURO</t>
  </si>
  <si>
    <t>VALLADARES</t>
  </si>
  <si>
    <t>LIZANA</t>
  </si>
  <si>
    <t>LIZANO</t>
  </si>
  <si>
    <t>RANGEL</t>
  </si>
  <si>
    <t>RIVERA</t>
  </si>
  <si>
    <t>GALAN</t>
  </si>
  <si>
    <t>JUAREZ</t>
  </si>
  <si>
    <t>VIDALON</t>
  </si>
  <si>
    <t>ESTELA</t>
  </si>
  <si>
    <t>HERNANDEZ</t>
  </si>
  <si>
    <t>MACALOPU</t>
  </si>
  <si>
    <t>YPANAQUE</t>
  </si>
  <si>
    <t>YZAGA</t>
  </si>
  <si>
    <t>LEYVA</t>
  </si>
  <si>
    <t>SIPION</t>
  </si>
  <si>
    <t>ZAMBRANO</t>
  </si>
  <si>
    <t>OBANDO</t>
  </si>
  <si>
    <t>ZUÑE</t>
  </si>
  <si>
    <t>RODAS</t>
  </si>
  <si>
    <t>FARROÑAN</t>
  </si>
  <si>
    <t>LLAUCE</t>
  </si>
  <si>
    <t>MOYANO</t>
  </si>
  <si>
    <t>MUÑOZ</t>
  </si>
  <si>
    <t>RUBIO</t>
  </si>
  <si>
    <t>GALECIO</t>
  </si>
  <si>
    <t>JULCA</t>
  </si>
  <si>
    <t>ARTEAGA</t>
  </si>
  <si>
    <t>SCHWARTZ</t>
  </si>
  <si>
    <t>HUMBO</t>
  </si>
  <si>
    <t>LIMA</t>
  </si>
  <si>
    <t>AVILA</t>
  </si>
  <si>
    <t>MONTENEGRO</t>
  </si>
  <si>
    <t>SAMAJEN</t>
  </si>
  <si>
    <t>JUWAG</t>
  </si>
  <si>
    <t>CUZMA</t>
  </si>
  <si>
    <t>CHILCON</t>
  </si>
  <si>
    <t>TARRILLO</t>
  </si>
  <si>
    <t>PEZANTES</t>
  </si>
  <si>
    <t>CAUTI</t>
  </si>
  <si>
    <t>QUILCARO</t>
  </si>
  <si>
    <t>TERRONES</t>
  </si>
  <si>
    <t>CHAYAN</t>
  </si>
  <si>
    <t>PURIHUAMAN</t>
  </si>
  <si>
    <t>MEJIA</t>
  </si>
  <si>
    <t>TINEO</t>
  </si>
  <si>
    <t>ÑOPO</t>
  </si>
  <si>
    <t>ANTON</t>
  </si>
  <si>
    <t>TONGO</t>
  </si>
  <si>
    <t>GUARNIZ</t>
  </si>
  <si>
    <t>SAMANIEGO</t>
  </si>
  <si>
    <t>LOZANO</t>
  </si>
  <si>
    <t>DE LA CRUZ</t>
  </si>
  <si>
    <t>DE LOS SANTOS</t>
  </si>
  <si>
    <t>DE LA PIEDRA</t>
  </si>
  <si>
    <t>NELSON JOSUE</t>
  </si>
  <si>
    <t>GHIERALD ELOY</t>
  </si>
  <si>
    <t>IVAN MARCELO</t>
  </si>
  <si>
    <t>CRISTIAN YOMAR</t>
  </si>
  <si>
    <t>JUAN MANUEL</t>
  </si>
  <si>
    <t>RAUL JOEL</t>
  </si>
  <si>
    <t>FRANCO DAVID</t>
  </si>
  <si>
    <t>RENZO PAOLO</t>
  </si>
  <si>
    <t>JOSE LUIS</t>
  </si>
  <si>
    <t xml:space="preserve">AQUILES </t>
  </si>
  <si>
    <t xml:space="preserve">JOSELITO </t>
  </si>
  <si>
    <t xml:space="preserve">LUIS ARMANDO </t>
  </si>
  <si>
    <t>CINTHIA JANET</t>
  </si>
  <si>
    <t xml:space="preserve">WILVER </t>
  </si>
  <si>
    <t>IRVIN OMAR</t>
  </si>
  <si>
    <t>ANGEL JAVIER</t>
  </si>
  <si>
    <t>VICTOR MARTIN</t>
  </si>
  <si>
    <t>HUGO LEONCIO</t>
  </si>
  <si>
    <t>JHONATAN ALEXIS</t>
  </si>
  <si>
    <t>JORGE ANTONIO</t>
  </si>
  <si>
    <t>CRISTHIAN JOEL</t>
  </si>
  <si>
    <t>MARIA ELIZABETH</t>
  </si>
  <si>
    <t xml:space="preserve">JONATHAN </t>
  </si>
  <si>
    <t xml:space="preserve">RICARDO </t>
  </si>
  <si>
    <t>VICTOR EDUARDO</t>
  </si>
  <si>
    <t>ROSA MARIA BEATRIZ</t>
  </si>
  <si>
    <t>CARLOS ENRIQUE</t>
  </si>
  <si>
    <t>INGRID PAMELA</t>
  </si>
  <si>
    <t>ELVA JESUS</t>
  </si>
  <si>
    <t>ANGIE LESLIE</t>
  </si>
  <si>
    <t xml:space="preserve">KATHY </t>
  </si>
  <si>
    <t>ANDERSON DALFRED</t>
  </si>
  <si>
    <t>JOEL ALBERTO</t>
  </si>
  <si>
    <t>MANUEL OSWALDO</t>
  </si>
  <si>
    <t>SANDRA MELISSA</t>
  </si>
  <si>
    <t>DIEGO ALONSO</t>
  </si>
  <si>
    <t>JORDDI JHANDERLY</t>
  </si>
  <si>
    <t>BRENDA SHEILY IMABELLY</t>
  </si>
  <si>
    <t>JACKELINE MARGARITA</t>
  </si>
  <si>
    <t>DAVID ELKY GUILLERMO</t>
  </si>
  <si>
    <t>ELMER ENRIQUE</t>
  </si>
  <si>
    <t>LUIS GUSTAVO</t>
  </si>
  <si>
    <t>BAYRON EDINSON</t>
  </si>
  <si>
    <t xml:space="preserve">TIMOTEO </t>
  </si>
  <si>
    <t xml:space="preserve">ABELINO </t>
  </si>
  <si>
    <t>ALEXANDER VALENTIN</t>
  </si>
  <si>
    <t>NIXON GARY</t>
  </si>
  <si>
    <t>MANUEL ALEXANDER</t>
  </si>
  <si>
    <t xml:space="preserve">JHONATAN </t>
  </si>
  <si>
    <t xml:space="preserve">DEYVIS </t>
  </si>
  <si>
    <t xml:space="preserve">OLIVER </t>
  </si>
  <si>
    <t>JORDAN SIMON</t>
  </si>
  <si>
    <t>EDINSON LEONARD</t>
  </si>
  <si>
    <t>WILTON ELIAS</t>
  </si>
  <si>
    <t>JONNATAN MANUEL</t>
  </si>
  <si>
    <t>LUIS FERNANDO</t>
  </si>
  <si>
    <t>LUCIA VANESSA</t>
  </si>
  <si>
    <t>PURIFICACION LISBET</t>
  </si>
  <si>
    <t>DEIVID ANTONNY SERGIO</t>
  </si>
  <si>
    <t>JOHN CARLOS</t>
  </si>
  <si>
    <t>JOSE DANIEL</t>
  </si>
  <si>
    <t>AARON ADONAI</t>
  </si>
  <si>
    <t>JUAN CARLOS</t>
  </si>
  <si>
    <t>JESUS ALBERTO</t>
  </si>
  <si>
    <t>FRANKLIN ELVIS</t>
  </si>
  <si>
    <t>CARLOS ANTONIO</t>
  </si>
  <si>
    <t>CARLOS JAVIER</t>
  </si>
  <si>
    <t>WALTER EDUARDO</t>
  </si>
  <si>
    <t>MANUEL ANTONIO</t>
  </si>
  <si>
    <t xml:space="preserve">JUAN </t>
  </si>
  <si>
    <t>JOSE ALBERTO</t>
  </si>
  <si>
    <t>CLAUDIA ADELA</t>
  </si>
  <si>
    <t>MELVIS MICHAEL</t>
  </si>
  <si>
    <t>CARLOS ALBERTO</t>
  </si>
  <si>
    <t>NEISSLER JAMIR</t>
  </si>
  <si>
    <t>RICARDO RAFAEL</t>
  </si>
  <si>
    <t>ROMARIO EUGENIO</t>
  </si>
  <si>
    <t>LUIS FELIPE</t>
  </si>
  <si>
    <t>RENZO SCHLEIDER</t>
  </si>
  <si>
    <t xml:space="preserve">FLOYNER </t>
  </si>
  <si>
    <t xml:space="preserve">WILDER </t>
  </si>
  <si>
    <t>JOSE HERIBERTO</t>
  </si>
  <si>
    <t>OSCAR GERMAN</t>
  </si>
  <si>
    <t>ROMMEL TOMAS</t>
  </si>
  <si>
    <t>JOSE CARLOS</t>
  </si>
  <si>
    <t>MARCO ANTONIO</t>
  </si>
  <si>
    <t>EDGAR RUBEN</t>
  </si>
  <si>
    <t>JOSE EUGENIO</t>
  </si>
  <si>
    <t>EDGAR VICTOR</t>
  </si>
  <si>
    <t>MIGUEL ANGEL</t>
  </si>
  <si>
    <t xml:space="preserve">ARTEMIO </t>
  </si>
  <si>
    <t>HOWARD EDMUNDO</t>
  </si>
  <si>
    <t>DAVID SEGUNDO</t>
  </si>
  <si>
    <t>LEONARDO JEFFERSON</t>
  </si>
  <si>
    <t>CARLOS ROBERTO</t>
  </si>
  <si>
    <t>RONALD ANDRES</t>
  </si>
  <si>
    <t>YANE ELIZABETH</t>
  </si>
  <si>
    <t>ANGIE YALU</t>
  </si>
  <si>
    <t>JHYNNO AMADO</t>
  </si>
  <si>
    <t>LAURA ELIZABETH</t>
  </si>
  <si>
    <t>NEXAR ISMAEL</t>
  </si>
  <si>
    <t xml:space="preserve">ALVARO </t>
  </si>
  <si>
    <t>ROSA LORENA ARACELI</t>
  </si>
  <si>
    <t xml:space="preserve">MARTIN </t>
  </si>
  <si>
    <t>MIRELLY KARLA KARIN</t>
  </si>
  <si>
    <t>FRANCO ARNOLD</t>
  </si>
  <si>
    <t>ANICKA LEYLI</t>
  </si>
  <si>
    <t>LUIS CESAR</t>
  </si>
  <si>
    <t>CECILIA PATRICIA</t>
  </si>
  <si>
    <t>JAIRO JAMIL</t>
  </si>
  <si>
    <t>ROBERTO DANIEL</t>
  </si>
  <si>
    <t>ALEJANDRO MANUEL</t>
  </si>
  <si>
    <t>JOCELYN MILAGROS</t>
  </si>
  <si>
    <t>GIULIANNA GIANNINA</t>
  </si>
  <si>
    <t xml:space="preserve">SOLANGE </t>
  </si>
  <si>
    <t>JEFFERSON LUIS</t>
  </si>
  <si>
    <t>ZOILA PATRICIA</t>
  </si>
  <si>
    <t>BRAYAM JAHEEL</t>
  </si>
  <si>
    <t>ABRAHAM ALFONSO</t>
  </si>
  <si>
    <t>BEATRIZ ALEXANDRA</t>
  </si>
  <si>
    <t>JOYSI FIORELA</t>
  </si>
  <si>
    <t>ABRAHAM HENRY</t>
  </si>
  <si>
    <t>JUANA ELIZABETH</t>
  </si>
  <si>
    <t>LIZ SOLANCH</t>
  </si>
  <si>
    <t>KATHERINE LESLIE DEL SOCORRO</t>
  </si>
  <si>
    <t>JORGE RONAL</t>
  </si>
  <si>
    <t>VANESA LISET</t>
  </si>
  <si>
    <t>CAROLINA SINNDENEY</t>
  </si>
  <si>
    <t>JOSE DIOMEDES</t>
  </si>
  <si>
    <t>DEYSI YANETH</t>
  </si>
  <si>
    <t>HEBERT HERNAN</t>
  </si>
  <si>
    <t>NAYELI LIZBETH</t>
  </si>
  <si>
    <t>INGRID JAZMIN</t>
  </si>
  <si>
    <t>LUCERO DEL ROCIO</t>
  </si>
  <si>
    <t>JESUS ANTONIO</t>
  </si>
  <si>
    <t>AMADO LEON IGOR</t>
  </si>
  <si>
    <t>KEVIN LEONARDO</t>
  </si>
  <si>
    <t>IRENE DEL ROSARIO</t>
  </si>
  <si>
    <t>RENATO VLADIMIR</t>
  </si>
  <si>
    <t>ROSITA GREACE</t>
  </si>
  <si>
    <t>LUPITA ENAR</t>
  </si>
  <si>
    <t>INGRID MADELEINE</t>
  </si>
  <si>
    <t>MARIA FATIMA</t>
  </si>
  <si>
    <t>DIANA PAOLA</t>
  </si>
  <si>
    <t xml:space="preserve">SANTOS </t>
  </si>
  <si>
    <t>ROSS MERCEDES</t>
  </si>
  <si>
    <t xml:space="preserve">AURELIO </t>
  </si>
  <si>
    <t>PEDRO RODOLFO</t>
  </si>
  <si>
    <t xml:space="preserve">ALEXANDER </t>
  </si>
  <si>
    <t>JOSE ANTERO</t>
  </si>
  <si>
    <t>MARIA CIRA</t>
  </si>
  <si>
    <t>JUVELSER DARIO</t>
  </si>
  <si>
    <t>JHONY FERNANDO</t>
  </si>
  <si>
    <t>PEDRO BALTAZAR</t>
  </si>
  <si>
    <t>JUAN FRANCISCO</t>
  </si>
  <si>
    <t>NILTON YERRY</t>
  </si>
  <si>
    <t>MARIA JULIA</t>
  </si>
  <si>
    <t>BRENY AZUCENA</t>
  </si>
  <si>
    <t>SABOYA GIANNINA</t>
  </si>
  <si>
    <t xml:space="preserve">MAGNA </t>
  </si>
  <si>
    <t xml:space="preserve">JOSSIRA </t>
  </si>
  <si>
    <t>CLAUDIA MERCEDES</t>
  </si>
  <si>
    <t>PRISCILLA JOANNA</t>
  </si>
  <si>
    <t>MARIO JESUS</t>
  </si>
  <si>
    <t>ROGER JAVIER</t>
  </si>
  <si>
    <t>RAUL CRISTHIAN</t>
  </si>
  <si>
    <t>MYRIAN JESUS</t>
  </si>
  <si>
    <t>JEAN MARCOS</t>
  </si>
  <si>
    <t>JOSE ERNESTO</t>
  </si>
  <si>
    <t>FABIOLA MARDELI</t>
  </si>
  <si>
    <t>LEIDY RUTH</t>
  </si>
  <si>
    <t xml:space="preserve">GIANMARCOS </t>
  </si>
  <si>
    <t>LIZETH MARGOTH</t>
  </si>
  <si>
    <t>MAITE NAYELI DEL MILAGRO</t>
  </si>
  <si>
    <t>CELESTE LIZETH</t>
  </si>
  <si>
    <t>EDGAR ISAAC</t>
  </si>
  <si>
    <t>BILL CLINTON</t>
  </si>
  <si>
    <t>AIDA ELIZABETH</t>
  </si>
  <si>
    <t>HILDA CORINA</t>
  </si>
  <si>
    <t>EDITH MARILI</t>
  </si>
  <si>
    <t>THALIA DEL MILAGRO</t>
  </si>
  <si>
    <t>JOSE AARON</t>
  </si>
  <si>
    <t>IZABOTH NATALI</t>
  </si>
  <si>
    <t>CARLOS RICARDO</t>
  </si>
  <si>
    <t>CARLOS DANIEL</t>
  </si>
  <si>
    <t>MARIA ELITA</t>
  </si>
  <si>
    <t>JESSICA LILIBETH</t>
  </si>
  <si>
    <t>DEVORA BELEN</t>
  </si>
  <si>
    <t>CRISTIAN ALONSO</t>
  </si>
  <si>
    <t>KELLY AIDEHT</t>
  </si>
  <si>
    <t>IVAN NIKOLAY</t>
  </si>
  <si>
    <t>LISSET JASMIN</t>
  </si>
  <si>
    <t>SONIA ALBERTINA</t>
  </si>
  <si>
    <t>DANIELA SARAIN</t>
  </si>
  <si>
    <t>MAYDU YAQUELINY</t>
  </si>
  <si>
    <t>ANGELICA ROSSMERY</t>
  </si>
  <si>
    <t xml:space="preserve">ALEJANDRO </t>
  </si>
  <si>
    <t>EVELYN LIZETH</t>
  </si>
  <si>
    <t>JULIO EDGAR</t>
  </si>
  <si>
    <t xml:space="preserve">CRUZALINA </t>
  </si>
  <si>
    <t xml:space="preserve">JESSY </t>
  </si>
  <si>
    <t>YENNIFFER LIONELA</t>
  </si>
  <si>
    <t>RENE DEL PILAR</t>
  </si>
  <si>
    <t>RICARDO FABRICIO</t>
  </si>
  <si>
    <t>CARLOS GUILLERMO</t>
  </si>
  <si>
    <t>INGRID OLGA</t>
  </si>
  <si>
    <t>JUAN KAROLL</t>
  </si>
  <si>
    <t>JOSÉ ANTONIO</t>
  </si>
  <si>
    <t>EDSON DANIEL</t>
  </si>
  <si>
    <t>KATYA FIORELLA</t>
  </si>
  <si>
    <t>MAYRA XIMENA</t>
  </si>
  <si>
    <t>LUIS ALBERTO</t>
  </si>
  <si>
    <t xml:space="preserve">FERNANDO </t>
  </si>
  <si>
    <t>DIEGO ANDRE</t>
  </si>
  <si>
    <t>ALONDRA JAMMIRA</t>
  </si>
  <si>
    <t>MARIA DE LOS MILAGROS</t>
  </si>
  <si>
    <t>ROSA ELVIRA</t>
  </si>
  <si>
    <t>ALICIA ELENA</t>
  </si>
  <si>
    <t>ALEXANDRA NICOHL</t>
  </si>
  <si>
    <t>CHISTOPHER BRAULIO</t>
  </si>
  <si>
    <t>MARTHA MARIBEL</t>
  </si>
  <si>
    <t>ETHEL HELLEN</t>
  </si>
  <si>
    <t>FLOR DE MARIA</t>
  </si>
  <si>
    <t>WILTON JOHEL</t>
  </si>
  <si>
    <t>RAFAEL ENRIQUE</t>
  </si>
  <si>
    <t>MARIA CARLOMAGNO</t>
  </si>
  <si>
    <t xml:space="preserve">KRYSTAL </t>
  </si>
  <si>
    <t>ANGELICA ROSA</t>
  </si>
  <si>
    <t>SONIA MILAGROS</t>
  </si>
  <si>
    <t>SARITA YARICSA</t>
  </si>
  <si>
    <t>LEYLA SARITA</t>
  </si>
  <si>
    <t>AMANDA HELENA</t>
  </si>
  <si>
    <t>YUNUIK GERALDINE</t>
  </si>
  <si>
    <t>MONICA IVETT</t>
  </si>
  <si>
    <t>OXANA TERESA</t>
  </si>
  <si>
    <t>MIRIAM ROSA</t>
  </si>
  <si>
    <t xml:space="preserve">ROMMEL </t>
  </si>
  <si>
    <t>OLIVIA ROXANA</t>
  </si>
  <si>
    <t>ELVER IVAN</t>
  </si>
  <si>
    <t>ARACELY DEL ROCIO</t>
  </si>
  <si>
    <t>BEKER OBED</t>
  </si>
  <si>
    <t>ANA TERESA</t>
  </si>
  <si>
    <t>JAQUELINY LISETH</t>
  </si>
  <si>
    <t>DEZA JUANA MARISOL</t>
  </si>
  <si>
    <t>JESUS HUMBERTO</t>
  </si>
  <si>
    <t>YESSICA MARICELA</t>
  </si>
  <si>
    <t>ALAN IVAN</t>
  </si>
  <si>
    <t>ANA KEYLA</t>
  </si>
  <si>
    <t xml:space="preserve">DANIEL </t>
  </si>
  <si>
    <t>CAROLAY MELINA</t>
  </si>
  <si>
    <t>MILAGROS ISABELLA</t>
  </si>
  <si>
    <t>JOSE WILMAN</t>
  </si>
  <si>
    <t xml:space="preserve">LENIN </t>
  </si>
  <si>
    <t>IRENE FRANCISCA</t>
  </si>
  <si>
    <t>NATALI GIULLIANA</t>
  </si>
  <si>
    <t xml:space="preserve">SERGIO </t>
  </si>
  <si>
    <t>MARIA MAGDALENA</t>
  </si>
  <si>
    <t>CLAUDIA CRISTINA</t>
  </si>
  <si>
    <t xml:space="preserve">ESPERANZA </t>
  </si>
  <si>
    <t>DAVID GEREMIAS</t>
  </si>
  <si>
    <t>WALTER ABEL</t>
  </si>
  <si>
    <t xml:space="preserve">NANCY </t>
  </si>
  <si>
    <t>VICTOR MANUEL</t>
  </si>
  <si>
    <t>SARA RANDY DELIACIR</t>
  </si>
  <si>
    <t>JOSE HUMBERTO</t>
  </si>
  <si>
    <t>MARIA DEL PILAR</t>
  </si>
  <si>
    <t xml:space="preserve">DAVID </t>
  </si>
  <si>
    <t>KATTY ADELAIDA</t>
  </si>
  <si>
    <t>JOSE ALONSO</t>
  </si>
  <si>
    <t>JOHNNY FRANK</t>
  </si>
  <si>
    <t>GUISELA PAOLA</t>
  </si>
  <si>
    <t>CESAR WILSON</t>
  </si>
  <si>
    <t>MANUEL ALEJANDRO</t>
  </si>
  <si>
    <t>AMELIA DORIS</t>
  </si>
  <si>
    <t>JOHNNY LEANDRO</t>
  </si>
  <si>
    <t>KATYA MARIELA</t>
  </si>
  <si>
    <t>JESÚS RODOLFO</t>
  </si>
  <si>
    <t>MARIA ELENA</t>
  </si>
  <si>
    <t>KATTIA MIRELLA</t>
  </si>
  <si>
    <t>JUAN SAMIR</t>
  </si>
  <si>
    <t>KARINA PAOOLA</t>
  </si>
  <si>
    <t>LUIS ANTONY</t>
  </si>
  <si>
    <t>YESSICA ARACELLI</t>
  </si>
  <si>
    <t>RAQUEL MARITZA</t>
  </si>
  <si>
    <t>CARLOS JOEL</t>
  </si>
  <si>
    <t>ABRAHAN ISAAC</t>
  </si>
  <si>
    <t>REBECA DE JESUS</t>
  </si>
  <si>
    <t>INGRI GREISY</t>
  </si>
  <si>
    <t>ISABEL CRISTINA</t>
  </si>
  <si>
    <t xml:space="preserve">VANESA </t>
  </si>
  <si>
    <t>ANGELICA MILAGROS</t>
  </si>
  <si>
    <t>NILTON CESAR</t>
  </si>
  <si>
    <t xml:space="preserve">CESAR </t>
  </si>
  <si>
    <t>DENIS ROLANDO</t>
  </si>
  <si>
    <t>BRAULIO MARTIN JOSSMAR</t>
  </si>
  <si>
    <t>DARWIN JAVIER</t>
  </si>
  <si>
    <t>MILTON ABELARDO</t>
  </si>
  <si>
    <t>JORGE LUIS</t>
  </si>
  <si>
    <t>CYNTHIA ELVA</t>
  </si>
  <si>
    <t>MIGUEL ARTURO</t>
  </si>
  <si>
    <t>MIGUEL OSMAR</t>
  </si>
  <si>
    <t>OLIVER DANIEL</t>
  </si>
  <si>
    <t>CAROLAY DAYANA</t>
  </si>
  <si>
    <t>EDHINSON ALEXANDER</t>
  </si>
  <si>
    <t>PETER GIANCARLO</t>
  </si>
  <si>
    <t>FIORELLA MANUELA</t>
  </si>
  <si>
    <t>JASSEY CINTHYA</t>
  </si>
  <si>
    <t xml:space="preserve">WILMER </t>
  </si>
  <si>
    <t xml:space="preserve">MIGUEL </t>
  </si>
  <si>
    <t>RICHARD ARTURO</t>
  </si>
  <si>
    <t xml:space="preserve">MARIO </t>
  </si>
  <si>
    <t>MARIA EUGENIA</t>
  </si>
  <si>
    <t>PEDRO ARTURO</t>
  </si>
  <si>
    <t xml:space="preserve">MANUEL </t>
  </si>
  <si>
    <t>JOSE MICHAEL</t>
  </si>
  <si>
    <t>JENNY DEL ROCIO</t>
  </si>
  <si>
    <t xml:space="preserve">ALAN </t>
  </si>
  <si>
    <t>EVER ENRIQUE</t>
  </si>
  <si>
    <t>FLOR VIOLETA</t>
  </si>
  <si>
    <t>JOHN HAROLD</t>
  </si>
  <si>
    <t>EULER WILFREDO</t>
  </si>
  <si>
    <t>ELI HUBER</t>
  </si>
  <si>
    <t xml:space="preserve">EXEQUIEL </t>
  </si>
  <si>
    <t>JUAN JOSE</t>
  </si>
  <si>
    <t>YAJAHIRA LORENA</t>
  </si>
  <si>
    <t>CINTHIA ROXANA</t>
  </si>
  <si>
    <t>LETICIA LUCILA</t>
  </si>
  <si>
    <t>VICTOR GENARO</t>
  </si>
  <si>
    <t>MARTHA TATIANA</t>
  </si>
  <si>
    <t>AURORA DEL ROCIO</t>
  </si>
  <si>
    <t xml:space="preserve">PERSI </t>
  </si>
  <si>
    <t xml:space="preserve">DERMALI </t>
  </si>
  <si>
    <t>LUIS MIGUEL</t>
  </si>
  <si>
    <t xml:space="preserve">YHEYSON </t>
  </si>
  <si>
    <t>YANILA ISABEL</t>
  </si>
  <si>
    <t>NECTALIO JESUS</t>
  </si>
  <si>
    <t>JHONNY ALBERTO</t>
  </si>
  <si>
    <t>JOSE ANIBAL</t>
  </si>
  <si>
    <t>LUIS NOLBERTO</t>
  </si>
  <si>
    <t xml:space="preserve">DELVIS </t>
  </si>
  <si>
    <t>CHRISTIAN ARTURO</t>
  </si>
  <si>
    <t xml:space="preserve">VICTORIA </t>
  </si>
  <si>
    <t xml:space="preserve">ELIO </t>
  </si>
  <si>
    <t xml:space="preserve">ELIBERTO </t>
  </si>
  <si>
    <t xml:space="preserve">WILBER </t>
  </si>
  <si>
    <t>SEGUNDO DEMETRIO</t>
  </si>
  <si>
    <t xml:space="preserve">WILSON </t>
  </si>
  <si>
    <t>MAX HUMBERTO</t>
  </si>
  <si>
    <t>LESLY YSABEL</t>
  </si>
  <si>
    <t>HEYDY PAMELA</t>
  </si>
  <si>
    <t>CESAR ENMANUEL</t>
  </si>
  <si>
    <t xml:space="preserve">ELMER </t>
  </si>
  <si>
    <t>JUAN BAUTISTA</t>
  </si>
  <si>
    <t>SERGIO DIEGO</t>
  </si>
  <si>
    <t xml:space="preserve">ABILDES </t>
  </si>
  <si>
    <t>ALEX OMAR</t>
  </si>
  <si>
    <t>ELMER ISAAC</t>
  </si>
  <si>
    <t xml:space="preserve">WILFREDO </t>
  </si>
  <si>
    <t>JAMES YOEL</t>
  </si>
  <si>
    <t xml:space="preserve">JAVIER </t>
  </si>
  <si>
    <t>JHULIANA MARLITH</t>
  </si>
  <si>
    <t>IdPer</t>
  </si>
  <si>
    <t>Tipo</t>
  </si>
  <si>
    <t>Apenom</t>
  </si>
  <si>
    <t>RUC</t>
  </si>
  <si>
    <t>Email</t>
  </si>
  <si>
    <t>Telefono</t>
  </si>
  <si>
    <t>Celular</t>
  </si>
  <si>
    <t>Direccion</t>
  </si>
  <si>
    <t>FechaNac</t>
  </si>
  <si>
    <t>Grado</t>
  </si>
  <si>
    <t>UniGrado</t>
  </si>
  <si>
    <t>Cargo</t>
  </si>
  <si>
    <t>CodigoSP</t>
  </si>
  <si>
    <t>Sueldo</t>
  </si>
  <si>
    <t>CodigoAlu</t>
  </si>
  <si>
    <t>Clave</t>
  </si>
  <si>
    <t>EstadoDoc</t>
  </si>
  <si>
    <t>FIngreso</t>
  </si>
  <si>
    <t>Promocion</t>
  </si>
  <si>
    <t>sexo_alu</t>
  </si>
  <si>
    <t>Condicion</t>
  </si>
  <si>
    <t>Libro</t>
  </si>
  <si>
    <t>fechagrad_alu</t>
  </si>
  <si>
    <t>grupo_alu</t>
  </si>
  <si>
    <t>fegreso_alu</t>
  </si>
  <si>
    <t>fadmision_alu</t>
  </si>
  <si>
    <t>fechapostulante_ps</t>
  </si>
  <si>
    <t>csexpediente_ps</t>
  </si>
  <si>
    <t>Folio</t>
  </si>
  <si>
    <t>region_alu</t>
  </si>
  <si>
    <t>trabajade_alu</t>
  </si>
  <si>
    <t>trabajaen_alu</t>
  </si>
  <si>
    <t>observacionACA_alu</t>
  </si>
  <si>
    <t>modalidad_alu</t>
  </si>
  <si>
    <t>Nombres</t>
  </si>
  <si>
    <t>ApellidoPat</t>
  </si>
  <si>
    <t>ApellidoMat</t>
  </si>
  <si>
    <t>gradoacademico_alu</t>
  </si>
  <si>
    <t>gradoacademicouni_alu</t>
  </si>
  <si>
    <t>tituloprofesional_alu</t>
  </si>
  <si>
    <t>tituloprofesionaluni_alu</t>
  </si>
  <si>
    <t>EstadoPago</t>
  </si>
  <si>
    <t>EAcademico_alu</t>
  </si>
  <si>
    <t>EgresadoUNPRG</t>
  </si>
  <si>
    <t>Profesion</t>
  </si>
  <si>
    <t>GradoAcademicoCodigoUni</t>
  </si>
  <si>
    <t>DistritoResidencia</t>
  </si>
  <si>
    <t>ProvinciaResidencia</t>
  </si>
  <si>
    <t>DepartamentoResidencia</t>
  </si>
  <si>
    <t>TipoUni</t>
  </si>
  <si>
    <t>FEgreso</t>
  </si>
  <si>
    <t>observacionRECA_alu</t>
  </si>
  <si>
    <t>FechaReg</t>
  </si>
  <si>
    <t>NroExpedienteGrado</t>
  </si>
  <si>
    <t>FechaGrado</t>
  </si>
  <si>
    <t>ResolucionGrado</t>
  </si>
  <si>
    <t>-</t>
  </si>
  <si>
    <t>AL</t>
  </si>
  <si>
    <t>LLAMO DIAZ, NELSON JOSUE</t>
  </si>
  <si>
    <t>SILVA DELGADO, GHIERALD ELOY</t>
  </si>
  <si>
    <t>CIEZA HERRERA, IVAN MARCELO</t>
  </si>
  <si>
    <t>SAUCEDO LINARES, CRISTIAN YOMAR</t>
  </si>
  <si>
    <t>ARBOLEDA IMAN, JUAN MANUEL</t>
  </si>
  <si>
    <t>AREVALO CORONEL, RAUL JOEL</t>
  </si>
  <si>
    <t>GUEVARA PORTILLO, FRANCO DAVID</t>
  </si>
  <si>
    <t>OJEDA CAPUÑAY, RENZO PAOLO</t>
  </si>
  <si>
    <t>HUAYTALLA YARANGA, JOSE LUIS</t>
  </si>
  <si>
    <t xml:space="preserve">SAAVEDRA RUIZ, AQUILES </t>
  </si>
  <si>
    <t xml:space="preserve">MANAYAY MANAYAY, JOSELITO </t>
  </si>
  <si>
    <t xml:space="preserve">DE LA CRUZ DE LA CRUZ, LUIS ARMANDO </t>
  </si>
  <si>
    <t>PASACHE RUMICHE, CINTHIA JANET</t>
  </si>
  <si>
    <t xml:space="preserve">MORALES CESPEDES, WILVER </t>
  </si>
  <si>
    <t>HEREDIA SILVA, IRVIN OMAR</t>
  </si>
  <si>
    <t>INOÑAN BANCES, ANGEL JAVIER</t>
  </si>
  <si>
    <t>SANTISTEBAN VIDAURRE, VICTOR MARTIN</t>
  </si>
  <si>
    <t>PONCE NIETO, HUGO LEONCIO</t>
  </si>
  <si>
    <t>BANCES PEREZ, JHONATAN ALEXIS</t>
  </si>
  <si>
    <t>ZUMAETA VIGIL, JORGE ANTONIO</t>
  </si>
  <si>
    <t>SANTISTEBAN CHAPOÑAN, CRISTHIAN JOEL</t>
  </si>
  <si>
    <t>ALDANA MACO, MARIA ELIZABETH</t>
  </si>
  <si>
    <t xml:space="preserve">DUEÑAS SANCHEZ, JONATHAN </t>
  </si>
  <si>
    <t xml:space="preserve">BOBADILLA SANCHEZ, RICARDO </t>
  </si>
  <si>
    <t>CRUZ FLORES, VICTOR EDUARDO</t>
  </si>
  <si>
    <t>VASQUEZ VERA, ROSA MARIA BEATRIZ</t>
  </si>
  <si>
    <t>CABREJOS SAHUMA, CARLOS ENRIQUE</t>
  </si>
  <si>
    <t>NUNTON CANGO, INGRID PAMELA</t>
  </si>
  <si>
    <t>SUCLUPE VIDAURRE, ELVA JESUS</t>
  </si>
  <si>
    <t>GUERREROS SALAZAR, ANGIE LESLIE</t>
  </si>
  <si>
    <t xml:space="preserve">LACERNA ZUTA, KATHY </t>
  </si>
  <si>
    <t>ROJAS MORENO, ANDERSON DALFRED</t>
  </si>
  <si>
    <t>EFFIO BUSTAMANTE, JOEL ALBERTO</t>
  </si>
  <si>
    <t>VALDERA CHAFLOQUE, MANUEL OSWALDO</t>
  </si>
  <si>
    <t>DIAZ CHICLAYO, SANDRA MELISSA</t>
  </si>
  <si>
    <t>CARMONA TORRES, DIEGO ALONSO</t>
  </si>
  <si>
    <t>AREVALO FRIAS, JORDDI JHANDERLY</t>
  </si>
  <si>
    <t>REYES NÚÑEZ, BRENDA SHEILY IMABELLY</t>
  </si>
  <si>
    <t>CESPEDES RINZA, JACKELINE MARGARITA</t>
  </si>
  <si>
    <t>HUILLCA BRIONES, DAVID ELKY GUILLERMO</t>
  </si>
  <si>
    <t>TANTALEAN RUIZ, ELMER ENRIQUE</t>
  </si>
  <si>
    <t>VELA REQUEJO, LUIS GUSTAVO</t>
  </si>
  <si>
    <t>ARCE GARCIA, BAYRON EDINSON</t>
  </si>
  <si>
    <t xml:space="preserve">FERNANDEZ HUAMAN, TIMOTEO </t>
  </si>
  <si>
    <t xml:space="preserve">TICLAHUANCA TANTARICO, ABELINO </t>
  </si>
  <si>
    <t>VILLALOBOS ELERA, ALEXANDER VALENTIN</t>
  </si>
  <si>
    <t>DELGADO TORO, NIXON GARY</t>
  </si>
  <si>
    <t>MUNDACA CASTAÑEDA, MANUEL ALEXANDER</t>
  </si>
  <si>
    <t xml:space="preserve">ARROYO AYALA, JHONATAN </t>
  </si>
  <si>
    <t xml:space="preserve">HERRERA VASQUEZ, DEYVIS </t>
  </si>
  <si>
    <t xml:space="preserve">VENTURA ATALAYA, OLIVER </t>
  </si>
  <si>
    <t>SALDAÑA DAVILA, JORDAN SIMON</t>
  </si>
  <si>
    <t>SILVA VASQUEZ, EDINSON LEONARD</t>
  </si>
  <si>
    <t>DIAZ CERVERA, WILTON ELIAS</t>
  </si>
  <si>
    <t>SANTOS CORREA, JONNATAN MANUEL</t>
  </si>
  <si>
    <t>MARTINEZ GUEVARA, LUIS FERNANDO</t>
  </si>
  <si>
    <t>BALLENA VIDAL, LUCIA VANESSA</t>
  </si>
  <si>
    <t>OLANO PEREZ, PURIFICACION LISBET</t>
  </si>
  <si>
    <t>TORRES SALDAÑA, DEIVID ANTONNY SERGIO</t>
  </si>
  <si>
    <t>LEONARDO MENDOZA, JOHN CARLOS</t>
  </si>
  <si>
    <t>NANFARO MORALES, JOSE DANIEL</t>
  </si>
  <si>
    <t>CHUMACERO VARGAS, AARON ADONAI</t>
  </si>
  <si>
    <t>OBLITAS DIAZ, JUAN CARLOS</t>
  </si>
  <si>
    <t>TUÑOQUE SERNAQUE, JESUS ALBERTO</t>
  </si>
  <si>
    <t>VASQUEZ PEREZ, FRANKLIN ELVIS</t>
  </si>
  <si>
    <t>ACOSTA DE LA CRUZ, CARLOS ANTONIO</t>
  </si>
  <si>
    <t>CAMASCA GUERRERO, CARLOS JAVIER</t>
  </si>
  <si>
    <t>RAMOS VASQUEZ, WALTER EDUARDO</t>
  </si>
  <si>
    <t>GRAUS TORRES, MANUEL ANTONIO</t>
  </si>
  <si>
    <t xml:space="preserve">CARLOS CESPEDES, JUAN </t>
  </si>
  <si>
    <t>ESCALANTE MEDINA, JOSE ALBERTO</t>
  </si>
  <si>
    <t>LIZARZABURU GUTIERREZ, CLAUDIA ADELA</t>
  </si>
  <si>
    <t>ORTEGA SOTO, MELVIS MICHAEL</t>
  </si>
  <si>
    <t>PORTILLA SERNAQUE, CARLOS ALBERTO</t>
  </si>
  <si>
    <t>REGALADO ROJAS, NEISSLER JAMIR</t>
  </si>
  <si>
    <t>REGALADO GONZALES, RICARDO RAFAEL</t>
  </si>
  <si>
    <t>ACOSTA ARNAO, ROMARIO EUGENIO</t>
  </si>
  <si>
    <t>CHOZO SANTISTEBAN, LUIS FERNANDO</t>
  </si>
  <si>
    <t>ALDANA CHOZO, LUIS FELIPE</t>
  </si>
  <si>
    <t>CHAVEZ RAMIREZ, RENZO SCHLEIDER</t>
  </si>
  <si>
    <t xml:space="preserve">PALOMINO HERNÁNDEZ, FLOYNER </t>
  </si>
  <si>
    <t xml:space="preserve">RONCAL COTRINA, WILDER </t>
  </si>
  <si>
    <t>ALDANA ELERA, JOSE HERIBERTO</t>
  </si>
  <si>
    <t>MONTALVAN VELIZ, OSCAR GERMAN</t>
  </si>
  <si>
    <t>VELASQUEZ SALAZAR, ROMMEL TOMAS</t>
  </si>
  <si>
    <t>REYES DE LA CRUZ, JOSE CARLOS</t>
  </si>
  <si>
    <t>VIVAS VIERA, MARCO ANTONIO</t>
  </si>
  <si>
    <t>LOPEZ LOPEZ, EDGAR RUBEN</t>
  </si>
  <si>
    <t>PEREZ VALDERA, JOSE EUGENIO</t>
  </si>
  <si>
    <t>ZEÑA COICO, MARCO ANTONIO</t>
  </si>
  <si>
    <t>PAIVA CHERO, EDGAR VICTOR</t>
  </si>
  <si>
    <t>ROJAS CERNA, MIGUEL ANGEL</t>
  </si>
  <si>
    <t xml:space="preserve">CALDERON PEREZ, ARTEMIO </t>
  </si>
  <si>
    <t>ZURITA CERVERA, HOWARD EDMUNDO</t>
  </si>
  <si>
    <t>VILCA RAMOS, DAVID SEGUNDO</t>
  </si>
  <si>
    <t>RIVADENEIRA ROMERO, LEONARDO JEFFERSON</t>
  </si>
  <si>
    <t>LEON VELASQUEZ, CARLOS ROBERTO</t>
  </si>
  <si>
    <t>SUCLUPE SANTISTEBAN, RONALD ANDRES</t>
  </si>
  <si>
    <t>TORO TELLO, YANE ELIZABETH</t>
  </si>
  <si>
    <t>CARRASCO SAAVEDRA, ANGIE YALU</t>
  </si>
  <si>
    <t xml:space="preserve">VASQUEZ VENTURA, JUAN </t>
  </si>
  <si>
    <t>AZAÑERO BURGA, JHYNNO AMADO</t>
  </si>
  <si>
    <t>YACILA ENEQUE, LAURA ELIZABETH</t>
  </si>
  <si>
    <t>ROQUE RINZA, NEXAR ISMAEL</t>
  </si>
  <si>
    <t xml:space="preserve">VASQUEZ HOYOS, ALVARO </t>
  </si>
  <si>
    <t>LLUEN VALIENTE, ROSA LORENA ARACELI</t>
  </si>
  <si>
    <t xml:space="preserve">VALENCIA GARAVITO, MARTIN </t>
  </si>
  <si>
    <t>SAAVEDRA ECHEVERRE, MIRELLY KARLA KARIN</t>
  </si>
  <si>
    <t>BECERRA PEREZ, FRANCO ARNOLD</t>
  </si>
  <si>
    <t>RODRIGUEZ QUISPE, ANICKA LEYLI</t>
  </si>
  <si>
    <t>MUSAYON MARTELL, LUIS CESAR</t>
  </si>
  <si>
    <t>ALVAREZ DEZA, CECILIA PATRICIA</t>
  </si>
  <si>
    <t>COPIA PEREZ, JAIRO JAMIL</t>
  </si>
  <si>
    <t>LUCERO SANDOVAL, ROBERTO DANIEL</t>
  </si>
  <si>
    <t>URTECHO GUZMAN, ALEJANDRO MANUEL</t>
  </si>
  <si>
    <t>ORELLANA DIAZ, JOCELYN MILAGROS</t>
  </si>
  <si>
    <t>ZORRILLA VASQUEZ, GIULIANNA GIANNINA</t>
  </si>
  <si>
    <t xml:space="preserve">GUEVARA BRAVO, SOLANGE </t>
  </si>
  <si>
    <t>EFFIO BENITES, JEFFERSON LUIS</t>
  </si>
  <si>
    <t>CASTRO CASTRO, ZOILA PATRICIA</t>
  </si>
  <si>
    <t>CARRANZA QUINTANA, BRAYAM JAHEEL</t>
  </si>
  <si>
    <t>LICHAM SOSA, ABRAHAM ALFONSO</t>
  </si>
  <si>
    <t>MUSAYON MARTELL, BEATRIZ ALEXANDRA</t>
  </si>
  <si>
    <t>ALARCON OLANO, JOYSI FIORELA</t>
  </si>
  <si>
    <t>SANTOS CHAPOÑAN, ABRAHAM HENRY</t>
  </si>
  <si>
    <t>INOÑAN VIDAURRE, JUANA ELIZABETH</t>
  </si>
  <si>
    <t>ALVAREZ CASANOVA, LIZ SOLANCH</t>
  </si>
  <si>
    <t>CORNEJO CHIRINOS, KATHERINE LESLIE DEL SOCORRO</t>
  </si>
  <si>
    <t>CARRERO DAVILA, JORGE RONAL</t>
  </si>
  <si>
    <t>DIAZ ROJAS, VANESA LISET</t>
  </si>
  <si>
    <t>FLORES MUNDACA, CAROLINA SINNDENEY</t>
  </si>
  <si>
    <t>HUAMAN APAZA, JOSE DIOMEDES</t>
  </si>
  <si>
    <t>BENAVIDES CAMPOS, DEYSI YANETH</t>
  </si>
  <si>
    <t>SANCHEZ PIZARRO, HEBERT HERNAN</t>
  </si>
  <si>
    <t>BUSTAMANTE HUAMAN, NAYELI LIZBETH</t>
  </si>
  <si>
    <t>FLORES SONAPO, INGRID JAZMIN</t>
  </si>
  <si>
    <t>REQUEJO LLATAS, LUCERO DEL ROCIO</t>
  </si>
  <si>
    <t>ACUÑA LLONTOP, JESUS ANTONIO</t>
  </si>
  <si>
    <t>TIZNADO ASENJO, AMADO LEON IGOR</t>
  </si>
  <si>
    <t>REYES BALDEON, KEVIN LEONARDO</t>
  </si>
  <si>
    <t>QUIROZ PUELLES, IRENE DEL ROSARIO</t>
  </si>
  <si>
    <t>ESPINOZA ARBULU, RENATO VLADIMIR</t>
  </si>
  <si>
    <t>FLORES VENTURA, ROSITA GREACE</t>
  </si>
  <si>
    <t>LABURIANO VASQUEZ, LUPITA ENAR</t>
  </si>
  <si>
    <t>GONZALES TORRES, INGRID MADELEINE</t>
  </si>
  <si>
    <t>OCHOA NEIRA, MARIA FATIMA</t>
  </si>
  <si>
    <t>AYEN MEGO, DIANA PAOLA</t>
  </si>
  <si>
    <t xml:space="preserve">LORENZO LOPEZ, SANTOS </t>
  </si>
  <si>
    <t>NEVADO COBOS, ROSS MERCEDES</t>
  </si>
  <si>
    <t xml:space="preserve">BARBOZA RIMARACHIN, AURELIO </t>
  </si>
  <si>
    <t>ALBUJAR ALVAREZ, PEDRO RODOLFO</t>
  </si>
  <si>
    <t xml:space="preserve">BECERRA DIAZ, ALEXANDER </t>
  </si>
  <si>
    <t>YARLAQUE BANCES, JOSE ANTERO</t>
  </si>
  <si>
    <t>ROJAS CHUPILLON, MARIA CIRA</t>
  </si>
  <si>
    <t>DIAZ DELGADO, JUVELSER DARIO</t>
  </si>
  <si>
    <t>DAMIAN AMAYA, JHONY FERNANDO</t>
  </si>
  <si>
    <t>MENDOZA BRAVO, PEDRO BALTAZAR</t>
  </si>
  <si>
    <t>SILVA CHIRINOS, JUAN FRANCISCO</t>
  </si>
  <si>
    <t>VALDIVIEZO CARHUAPOMA, NILTON YERRY</t>
  </si>
  <si>
    <t>SILVA MORI, MARIA JULIA</t>
  </si>
  <si>
    <t>VENTURA MENDOZA, BRENY AZUCENA</t>
  </si>
  <si>
    <t>DEL AGUILA, SABOYA GIANNINA</t>
  </si>
  <si>
    <t xml:space="preserve">ALVAN ZAMORA, MAGNA </t>
  </si>
  <si>
    <t xml:space="preserve">REYNA ALBERCA, JOSSIRA </t>
  </si>
  <si>
    <t>FERNANDEZ RODRIGUEZ, CLAUDIA MERCEDES</t>
  </si>
  <si>
    <t>CANDIA GONZALES, PRISCILLA JOANNA</t>
  </si>
  <si>
    <t>CHINCHAYAN BARRENECHEA, MARIO JESUS</t>
  </si>
  <si>
    <t>VELASQUEZ SAAVEDRA, ROGER JAVIER</t>
  </si>
  <si>
    <t>SAAVEDRA AGUILAR, RAUL CRISTHIAN</t>
  </si>
  <si>
    <t>ASALDE YUPTON, MIGUEL ANGEL</t>
  </si>
  <si>
    <t>CHUMIOQUE CHARCAPE, MYRIAN JESUS</t>
  </si>
  <si>
    <t>ADRIANZEN FLORES, JEAN MARCOS</t>
  </si>
  <si>
    <t>ZEÑA SAMPEN, JOSE ERNESTO</t>
  </si>
  <si>
    <t>MARCHENA CAICAY, FABIOLA MARDELI</t>
  </si>
  <si>
    <t>RAMIREZ RAMIREZ, LEIDY RUTH</t>
  </si>
  <si>
    <t xml:space="preserve">IZQUIERDO ZELADA, GIANMARCOS </t>
  </si>
  <si>
    <t>CASTILLO OROZCO, JUAN MANUEL</t>
  </si>
  <si>
    <t>GUTIERREZ BALTAZAR, LIZETH MARGOTH</t>
  </si>
  <si>
    <t>SOSA RUBIÑOS, MAITE NAYELI DEL MILAGRO</t>
  </si>
  <si>
    <t>VENTURA CARDENAS, CELESTE LIZETH</t>
  </si>
  <si>
    <t>CUBAS VALLE, EDGAR ISAAC</t>
  </si>
  <si>
    <t>SANCHEZ BERNILLA, BILL CLINTON</t>
  </si>
  <si>
    <t>INGA ESPINOZA, AIDA ELIZABETH</t>
  </si>
  <si>
    <t>MONTALVO MACEDA, HILDA CORINA</t>
  </si>
  <si>
    <t>CIEZA GAMONAL, EDITH MARILI</t>
  </si>
  <si>
    <t>AGUILAR GUERRERO, THALIA DEL MILAGRO</t>
  </si>
  <si>
    <t>VIERA RUIZ, JOSE AARON</t>
  </si>
  <si>
    <t>UCANCIAL NECIOSUP, IZABOTH NATALI</t>
  </si>
  <si>
    <t>ABAD SEVILLANO, CARLOS RICARDO</t>
  </si>
  <si>
    <t>NUNCEVAY FLORES, CARLOS DANIEL</t>
  </si>
  <si>
    <t>RIOS CHAVEZ, MARIA ELITA</t>
  </si>
  <si>
    <t>ZEÑA GONZALES, JESSICA LILIBETH</t>
  </si>
  <si>
    <t>DE LA CRUZ ALEGRE, DEVORA BELEN</t>
  </si>
  <si>
    <t>BANCES INOÑAN, CRISTIAN ALONSO</t>
  </si>
  <si>
    <t>DAVILA MONSALVE, KELLY AIDEHT</t>
  </si>
  <si>
    <t>RAVELLO AVALOS, IVAN NIKOLAY</t>
  </si>
  <si>
    <t>YNOÑAN CHAVARRIA, LISSET JASMIN</t>
  </si>
  <si>
    <t>FLORES MAQUEN, SONIA ALBERTINA</t>
  </si>
  <si>
    <t>VIERA RUIZ, DANIELA SARAIN</t>
  </si>
  <si>
    <t>DÍAZ JIMENEZ, MAYDU YAQUELINY</t>
  </si>
  <si>
    <t>MIMBELA OSORIO, ANGELICA ROSSMERY</t>
  </si>
  <si>
    <t xml:space="preserve">PACHERRES TORRES, ALEJANDRO </t>
  </si>
  <si>
    <t>MORE CASTELLANOS, EVELYN LIZETH</t>
  </si>
  <si>
    <t>DAMIAN ESPINO, JULIO EDGAR</t>
  </si>
  <si>
    <t xml:space="preserve">JIMENEZ LIVIA, CRUZALINA </t>
  </si>
  <si>
    <t>CALVAY ORTIZ, MANUEL ANTONIO</t>
  </si>
  <si>
    <t xml:space="preserve">SOLANO HURTADO, JESSY </t>
  </si>
  <si>
    <t>CERNA BECERRA, YENNIFFER LIONELA</t>
  </si>
  <si>
    <t>MILIAN PEREZ, RENE DEL PILAR</t>
  </si>
  <si>
    <t>VELEZ HUERTAS, RICARDO FABRICIO</t>
  </si>
  <si>
    <t>CALMET VILLEGAS, CARLOS GUILLERMO</t>
  </si>
  <si>
    <t>PACHERRES ALCANTARA, INGRID OLGA</t>
  </si>
  <si>
    <t>CUMPA PUICAN, JUAN KAROLL</t>
  </si>
  <si>
    <t>BUSTAMANTE AQUINO, JOSÉ ANTONIO</t>
  </si>
  <si>
    <t>ALTAMIRANO CUSMA, EDSON DANIEL</t>
  </si>
  <si>
    <t>DAVILA BELLODAS, KATYA FIORELLA</t>
  </si>
  <si>
    <t>CAMPOS ANGELES, MAYRA XIMENA</t>
  </si>
  <si>
    <t>LUCUMI LLUNCOR, LUIS ALBERTO</t>
  </si>
  <si>
    <t xml:space="preserve">RODRIGUEZ CERQUEN, FERNANDO </t>
  </si>
  <si>
    <t>ANGELES ZURITA, DIEGO ANDRE</t>
  </si>
  <si>
    <t>CHICOMA RAMIREZ, ALONDRA JAMMIRA</t>
  </si>
  <si>
    <t>HUAMANCHUMO CERNA, MARIA DE LOS MILAGROS</t>
  </si>
  <si>
    <t>BALCAZAR ALCANTARA, ROSA ELVIRA</t>
  </si>
  <si>
    <t>GUZMAN BRAVO, ALICIA ELENA</t>
  </si>
  <si>
    <t>CORRALES CHAVARRI, ALEXANDRA NICOHL</t>
  </si>
  <si>
    <t>TAVARA HURTADO, CHISTOPHER BRAULIO</t>
  </si>
  <si>
    <t>SUCLUPE SANCHEZ, MARTHA MARIBEL</t>
  </si>
  <si>
    <t>MENDOZA CRUZ, ETHEL HELLEN</t>
  </si>
  <si>
    <t>LLONTOP SANTAMARIA, FLOR DE MARIA</t>
  </si>
  <si>
    <t>QUINTANA SEGURA, WILTON JOHEL</t>
  </si>
  <si>
    <t>MORENO WONG, RAFAEL ENRIQUE</t>
  </si>
  <si>
    <t>LLONTOP SANTA, MARIA CARLOMAGNO</t>
  </si>
  <si>
    <t xml:space="preserve">COLCHADO CHEVEZ, KRYSTAL </t>
  </si>
  <si>
    <t>CRUZ GARCIA, ANGELICA ROSA</t>
  </si>
  <si>
    <t>CAMAN BAÑOS, SONIA MILAGROS</t>
  </si>
  <si>
    <t>CAJUSOL DIAZ, SARITA YARICSA</t>
  </si>
  <si>
    <t>QUIROZ CRUZ, LEYLA SARITA</t>
  </si>
  <si>
    <t>PERALES CASTILLO, AMANDA HELENA</t>
  </si>
  <si>
    <t>TUESTA FLORES, YUNUIK GERALDINE</t>
  </si>
  <si>
    <t>SANGUINEZ PRADA, MONICA IVETT</t>
  </si>
  <si>
    <t>CAPUÑAY GONZALES, OXANA TERESA</t>
  </si>
  <si>
    <t>UCHOFEN MORALES, MIRIAM ROSA</t>
  </si>
  <si>
    <t xml:space="preserve">YNOÑAN MARCELO, ROMMEL </t>
  </si>
  <si>
    <t>ALVAREZ GONZALES, OLIVIA ROXANA</t>
  </si>
  <si>
    <t>TORRES DIAZ, ELVER IVAN</t>
  </si>
  <si>
    <t>SANCHEZ GONZALES, ARACELY DEL ROCIO</t>
  </si>
  <si>
    <t>PARIACURI RECALDE, BEKER OBED</t>
  </si>
  <si>
    <t>DIAZ CARDOZO, ANA TERESA</t>
  </si>
  <si>
    <t>ZETA GUEVARA, JAQUELINY LISETH</t>
  </si>
  <si>
    <t>DEL CASTILLO, DEZA JUANA MARISOL</t>
  </si>
  <si>
    <t>CUMPEN BALLENA, JESUS HUMBERTO</t>
  </si>
  <si>
    <t>ORO DE LOS SANTOS, YESSICA MARICELA</t>
  </si>
  <si>
    <t>CORONADO BUSTAMANTE, ALAN IVAN</t>
  </si>
  <si>
    <t>YZQUIERDO RODRIGUEZ, ANA KEYLA</t>
  </si>
  <si>
    <t xml:space="preserve">SILVA PERALTA, DANIEL </t>
  </si>
  <si>
    <t>MERLO JAVE, CAROLAY MELINA</t>
  </si>
  <si>
    <t>SANCHEZ ARAMBULO, MILAGROS ISABELLA</t>
  </si>
  <si>
    <t>YAFAC GUERRERO, JOSE WILMAN</t>
  </si>
  <si>
    <t>CASIMIRO FERNANDEZ, MARIA FATIMA</t>
  </si>
  <si>
    <t xml:space="preserve">MEGO CARRASCO, LENIN </t>
  </si>
  <si>
    <t>CHAPOÑAN LLONTOP, IRENE FRANCISCA</t>
  </si>
  <si>
    <t>SUCLUPE VICENTE, NATALI GIULLIANA</t>
  </si>
  <si>
    <t xml:space="preserve">VASQUEZ QUIROZ, SERGIO </t>
  </si>
  <si>
    <t>SEMPERTIGUE LIBAQUE, MARIA MAGDALENA</t>
  </si>
  <si>
    <t>CABANILLAS CIEZA, CLAUDIA CRISTINA</t>
  </si>
  <si>
    <t xml:space="preserve">VEGA MIRES, ESPERANZA </t>
  </si>
  <si>
    <t>CORREA CHILON, DAVID GEREMIAS</t>
  </si>
  <si>
    <t>MIRANDA VILCHEZ, WALTER ABEL</t>
  </si>
  <si>
    <t>CIEZA PEÑA, CARLOS ALBERTO</t>
  </si>
  <si>
    <t xml:space="preserve">NIÑO MONTERO, NANCY </t>
  </si>
  <si>
    <t>TEPE ATOCHE, VICTOR MANUEL</t>
  </si>
  <si>
    <t>CUZQUEN YOCYA, SARA RANDY DELIACIR</t>
  </si>
  <si>
    <t>AMAMBAL PAUCAR, JOSE HUMBERTO</t>
  </si>
  <si>
    <t>MARTINEZ FERNANDEZ, MARIA DEL PILAR</t>
  </si>
  <si>
    <t xml:space="preserve">BUSTAMANTE CERNA, DAVID </t>
  </si>
  <si>
    <t>DELGADO NAMUCHE, KATTY ADELAIDA</t>
  </si>
  <si>
    <t>SECLEN SENCIO, JOSE ALONSO</t>
  </si>
  <si>
    <t>MONZÓN PINGLO, LUIS ALBERTO</t>
  </si>
  <si>
    <t xml:space="preserve">CABRERA CABRERA, JUAN </t>
  </si>
  <si>
    <t>NUÑEZ ALEJOS, LUIS ALBERTO</t>
  </si>
  <si>
    <t>REYES CIGUEÑAS, JOHNNY FRANK</t>
  </si>
  <si>
    <t>CALLACNA SENCIO, GUISELA PAOLA</t>
  </si>
  <si>
    <t>ARELLANO SANCHEZ, CESAR WILSON</t>
  </si>
  <si>
    <t>CUSTODIO FERNANDEZ, MANUEL ALEJANDRO</t>
  </si>
  <si>
    <t>CRUZADO BENAVIDES, AMELIA DORIS</t>
  </si>
  <si>
    <t>SAAVEDRA CAMACHO, JOHNNY LEANDRO</t>
  </si>
  <si>
    <t>MERA VILLASIS, KATYA MARIELA</t>
  </si>
  <si>
    <t>ALDANA CUSTODIO, JESÚS RODOLFO</t>
  </si>
  <si>
    <t>GONZALES FLORES, MARIA ELENA</t>
  </si>
  <si>
    <t>VELASQUEZ RAMIREZ, KATTIA MIRELLA</t>
  </si>
  <si>
    <t>MAZA AGUIRRE, JUAN SAMIR</t>
  </si>
  <si>
    <t>QUISPE BAZALAR, KARINA PAOOLA</t>
  </si>
  <si>
    <t>SANDOVAL DAMIAN, LUIS ANTONY</t>
  </si>
  <si>
    <t>CHUNGA BERMEJO, YESSICA ARACELLI</t>
  </si>
  <si>
    <t>RACCHUMI CHAMBERGO, MARCO ANTONIO</t>
  </si>
  <si>
    <t>SALVADOR CERDAN, RAQUEL MARITZA</t>
  </si>
  <si>
    <t>PINTADO UBILLUS, CARLOS JOEL</t>
  </si>
  <si>
    <t>ESPINOZA CRUZ, ABRAHAN ISAAC</t>
  </si>
  <si>
    <t>SANDOVAL MOROCHO, REBECA DE JESUS</t>
  </si>
  <si>
    <t>CANCINO DELGADO, INGRI GREISY</t>
  </si>
  <si>
    <t>URIARTE DIAZ, ISABEL CRISTINA</t>
  </si>
  <si>
    <t xml:space="preserve">NEVADO CORDOVA, VANESA </t>
  </si>
  <si>
    <t>MAGALLANES FLORES, ANGELICA MILAGROS</t>
  </si>
  <si>
    <t>OCAMPOS SEMBRERA, MIGUEL ANGEL</t>
  </si>
  <si>
    <t>QUIROZ VILLALOBOS, NILTON CESAR</t>
  </si>
  <si>
    <t xml:space="preserve">RIMARACHIN MANAY, CESAR </t>
  </si>
  <si>
    <t>SERQUEN ALARCON, DENIS ROLANDO</t>
  </si>
  <si>
    <t>RETO CHAVARRY, BRAULIO MARTIN JOSSMAR</t>
  </si>
  <si>
    <t>LLAJA LLONTOP, DARWIN JAVIER</t>
  </si>
  <si>
    <t>POLICARPIO CACHAY, MILTON ABELARDO</t>
  </si>
  <si>
    <t>LUCENA GABRIELLI, JORGE LUIS</t>
  </si>
  <si>
    <t>VILCHERRES ORTIZ, CYNTHIA ELVA</t>
  </si>
  <si>
    <t>BARRUETO FALEN, MIGUEL ARTURO</t>
  </si>
  <si>
    <t>MURO VALLADARES, MIGUEL OSMAR</t>
  </si>
  <si>
    <t>GUZMAN DIAZ, OLIVER DANIEL</t>
  </si>
  <si>
    <t>GONZALES LIZANA, CAROLAY DAYANA</t>
  </si>
  <si>
    <t>LIZANO SILVA, EDHINSON ALEXANDER</t>
  </si>
  <si>
    <t>RANGEL RIVERA, MIGUEL ANGEL</t>
  </si>
  <si>
    <t>ROQUE DE LA PIEDRA, PETER GIANCARLO</t>
  </si>
  <si>
    <t>GALAN SALAZAR, FIORELLA MANUELA</t>
  </si>
  <si>
    <t>JUAREZ VIDALON, JASSEY CINTHYA</t>
  </si>
  <si>
    <t xml:space="preserve">VASQUEZ MENDOZA, WILMER </t>
  </si>
  <si>
    <t xml:space="preserve">SAAVEDRA REGALADO, MIGUEL </t>
  </si>
  <si>
    <t>DELGADO ESTELA, RICHARD ARTURO</t>
  </si>
  <si>
    <t xml:space="preserve">VALENCIA HERNANDEZ, MARIO </t>
  </si>
  <si>
    <t>MACALOPU YPANAQUE, MARIA EUGENIA</t>
  </si>
  <si>
    <t>YZAGA VIDAURRE, PEDRO ARTURO</t>
  </si>
  <si>
    <t xml:space="preserve">FERNANDEZ MACO, MANUEL </t>
  </si>
  <si>
    <t>ROJAS LEYVA, JOSE MICHAEL</t>
  </si>
  <si>
    <t>SIPION ZAMBRANO, JENNY DEL ROCIO</t>
  </si>
  <si>
    <t xml:space="preserve">OBANDO CARLOS, ALAN </t>
  </si>
  <si>
    <t>FLORES VIDAURRE, EVER ENRIQUE</t>
  </si>
  <si>
    <t>LOPEZ NEVADO, FLOR VIOLETA</t>
  </si>
  <si>
    <t>ROJAS BARBOZA, JOHN HAROLD</t>
  </si>
  <si>
    <t>ZUÑE MONTALVO, EULER WILFREDO</t>
  </si>
  <si>
    <t>RODAS HUERTAS, ELI HUBER</t>
  </si>
  <si>
    <t xml:space="preserve">BENAVIDES RODRIGUEZ, EXEQUIEL </t>
  </si>
  <si>
    <t>VENTURA SUCLUPE, JUAN JOSE</t>
  </si>
  <si>
    <t>LLONTOP EFFIO, YAJAHIRA LORENA</t>
  </si>
  <si>
    <t>FARROÑAN VALDERA, CINTHIA ROXANA</t>
  </si>
  <si>
    <t>MEGO SANTISTEBAN, LETICIA LUCILA</t>
  </si>
  <si>
    <t>LLAUCE SANTAMARIA, VICTOR GENARO</t>
  </si>
  <si>
    <t>PINGLO PEÑA, MARTHA TATIANA</t>
  </si>
  <si>
    <t>CORONEL GUEVARA, AURORA DEL ROCIO</t>
  </si>
  <si>
    <t xml:space="preserve">VASQUEZ SILVA, PERSI </t>
  </si>
  <si>
    <t>MOYANO MUÑOZ, CARLOS ALBERTO</t>
  </si>
  <si>
    <t xml:space="preserve">RUBIO RAMIREZ, DERMALI </t>
  </si>
  <si>
    <t>GALECIO JULCA, MIGUEL ANGEL</t>
  </si>
  <si>
    <t>COTRINA VELASQUEZ, LUIS MIGUEL</t>
  </si>
  <si>
    <t xml:space="preserve">DIAZ ARTEAGA, YHEYSON </t>
  </si>
  <si>
    <t>CAMPOS CHAVEZ, YANILA ISABEL</t>
  </si>
  <si>
    <t>SCHWARTZ AGUILAR, NECTALIO JESUS</t>
  </si>
  <si>
    <t>VASQUEZ SANCHEZ, JHONNY ALBERTO</t>
  </si>
  <si>
    <t>HUMBO LIMA, JOSE ANIBAL</t>
  </si>
  <si>
    <t>HURTADO ROJAS, LUIS NOLBERTO</t>
  </si>
  <si>
    <t xml:space="preserve">SANCHEZ DIAZ, DELVIS </t>
  </si>
  <si>
    <t>AVILA ACOSTA, CHRISTIAN ARTURO</t>
  </si>
  <si>
    <t xml:space="preserve">CHAFLOQUE MONTENEGRO, VICTORIA </t>
  </si>
  <si>
    <t xml:space="preserve">SAMAJEN JUWAG, ELIO </t>
  </si>
  <si>
    <t xml:space="preserve">BALLENA CUZMA, ELIBERTO </t>
  </si>
  <si>
    <t xml:space="preserve">CHILCON MONTENEGRO, WILBER </t>
  </si>
  <si>
    <t>TARRILLO CHICOMA, SEGUNDO DEMETRIO</t>
  </si>
  <si>
    <t xml:space="preserve">PEZANTES HERRERA, WILSON </t>
  </si>
  <si>
    <t>CAUTI QUILCARO, MAX HUMBERTO</t>
  </si>
  <si>
    <t>TERRONES CHAYAN, LUIS GUSTAVO</t>
  </si>
  <si>
    <t>BUSTAMANTE CARRASCO, LESLY YSABEL</t>
  </si>
  <si>
    <t>LUCERO PURIHUAMAN, HEYDY PAMELA</t>
  </si>
  <si>
    <t>RAMIREZ HERRERA, CESAR ENMANUEL</t>
  </si>
  <si>
    <t xml:space="preserve">MEJIA NUÑEZ, ELMER </t>
  </si>
  <si>
    <t>CORONEL GARCIA, CARLOS ENRIQUE</t>
  </si>
  <si>
    <t>PALOMINO PEREZ, DIANA PAOLA</t>
  </si>
  <si>
    <t xml:space="preserve">CHAPOÑAN VASQUEZ, MIGUEL </t>
  </si>
  <si>
    <t>PRADA CALDERON, JUAN CARLOS</t>
  </si>
  <si>
    <t>SAAVEDRA TINEO, JUAN BAUTISTA</t>
  </si>
  <si>
    <t>ÑOPO CORONEL, SERGIO DIEGO</t>
  </si>
  <si>
    <t xml:space="preserve">DIAZ CARRANZA, ABILDES </t>
  </si>
  <si>
    <t>ANTON HOYOS, ALEX OMAR</t>
  </si>
  <si>
    <t>TONGO BRIONES, ELMER ISAAC</t>
  </si>
  <si>
    <t xml:space="preserve">CORDOVA GUARNIZ, WILFREDO </t>
  </si>
  <si>
    <t>DE LA CRUZ SAMANIEGO, JAMES YOEL</t>
  </si>
  <si>
    <t xml:space="preserve">SANTISTEBAN AYALA, JAVIER </t>
  </si>
  <si>
    <t>BURGA LOZANO, JHULIANA MARLITH</t>
  </si>
  <si>
    <t>APELLIDOS_NOMBRES</t>
  </si>
  <si>
    <t>TIPO</t>
  </si>
  <si>
    <t>@UNPRG.EDU.PE</t>
  </si>
  <si>
    <t xml:space="preserve">IV        </t>
  </si>
  <si>
    <t>A</t>
  </si>
  <si>
    <t>OR</t>
  </si>
  <si>
    <t>EmailUNPRG</t>
  </si>
  <si>
    <t>PuntajeExaIngreso</t>
  </si>
  <si>
    <t>2026-I</t>
  </si>
  <si>
    <t>ID</t>
  </si>
  <si>
    <t>Apellidos</t>
  </si>
  <si>
    <t>Correo</t>
  </si>
  <si>
    <t>N. Identidad</t>
  </si>
  <si>
    <t>Fecha de Nacimiento</t>
  </si>
  <si>
    <t>Sexo</t>
  </si>
  <si>
    <t>Departamento</t>
  </si>
  <si>
    <t>Provincia</t>
  </si>
  <si>
    <t>Distrito</t>
  </si>
  <si>
    <t>Dirección</t>
  </si>
  <si>
    <t>Facultad</t>
  </si>
  <si>
    <t>Programa</t>
  </si>
  <si>
    <t>Fecha Inscripción</t>
  </si>
  <si>
    <t>NUÑEZ ALEJOS</t>
  </si>
  <si>
    <t>1966-05-17</t>
  </si>
  <si>
    <t>Masculino</t>
  </si>
  <si>
    <t>LAMBAYEQUE</t>
  </si>
  <si>
    <t>LA VICTORIA</t>
  </si>
  <si>
    <t>AV. ORREGO 764 TORRE AI 101</t>
  </si>
  <si>
    <t>FACHSE</t>
  </si>
  <si>
    <t>2026-02-02 15:25:02</t>
  </si>
  <si>
    <t>KATHY</t>
  </si>
  <si>
    <t>LACERNA ZUTA</t>
  </si>
  <si>
    <t>1995-11-15</t>
  </si>
  <si>
    <t>Femenino</t>
  </si>
  <si>
    <t>AMAZONAS</t>
  </si>
  <si>
    <t xml:space="preserve">CHACHAPOYAS </t>
  </si>
  <si>
    <t>CHACHAPOYAS</t>
  </si>
  <si>
    <t>LA MERCED 429</t>
  </si>
  <si>
    <t>FICSA</t>
  </si>
  <si>
    <t>2026-02-02 17:47:53</t>
  </si>
  <si>
    <t>LEON VELASQUEZ</t>
  </si>
  <si>
    <t>1991-05-05</t>
  </si>
  <si>
    <t>URB EL AMAUTA MZ D LOTE 38</t>
  </si>
  <si>
    <t>2026-02-03 13:04:04</t>
  </si>
  <si>
    <t>EFFIO BENITES</t>
  </si>
  <si>
    <t>2001-03-09</t>
  </si>
  <si>
    <t>SANTA ROSA</t>
  </si>
  <si>
    <t>MARISCAL URETA 276</t>
  </si>
  <si>
    <t>FDCP</t>
  </si>
  <si>
    <t>2026-02-03 14:16:26</t>
  </si>
  <si>
    <t>WALTER OMAR</t>
  </si>
  <si>
    <t>SALAZAR BRAVO</t>
  </si>
  <si>
    <t>salazarbravo9529@gmail.com</t>
  </si>
  <si>
    <t>1995-01-29</t>
  </si>
  <si>
    <t>CAJAMARCA</t>
  </si>
  <si>
    <t xml:space="preserve">CHOTA </t>
  </si>
  <si>
    <t>LLAMA</t>
  </si>
  <si>
    <t>JR.14 DE NOVIEMBRE S/N</t>
  </si>
  <si>
    <t>Derecho con mención en Derecho Constitucional y Procesal Constitucional</t>
  </si>
  <si>
    <t>2026-02-04 20:40:24</t>
  </si>
  <si>
    <t>PERCY WILLIAM</t>
  </si>
  <si>
    <t>PRADA TABOADA</t>
  </si>
  <si>
    <t>percypradat@gmail.com</t>
  </si>
  <si>
    <t>1977-09-25</t>
  </si>
  <si>
    <t>CALLE PIURA 364 PUEBLO JOVEN SAN MARTIN LAMBAYEQUE</t>
  </si>
  <si>
    <t>FACEAC</t>
  </si>
  <si>
    <t>Administración con mención en Gerencia Empresarial</t>
  </si>
  <si>
    <t>2026-02-04 22:42:38</t>
  </si>
  <si>
    <t>MAGALLANES FLORES</t>
  </si>
  <si>
    <t>1978-09-09</t>
  </si>
  <si>
    <t>LORETO</t>
  </si>
  <si>
    <t>MAYNAS</t>
  </si>
  <si>
    <t>IQUITOS</t>
  </si>
  <si>
    <t>NAUTA N° 1757 IQUITOS</t>
  </si>
  <si>
    <t>FCCBB</t>
  </si>
  <si>
    <t>2026-02-05 09:23:00</t>
  </si>
  <si>
    <t>PASACHE RUMICHE</t>
  </si>
  <si>
    <t>1986-04-19</t>
  </si>
  <si>
    <t>CALLE LOS JAZMINES S/N ASENTAMIENTO HUMANO 18 DE FEBRERO 1</t>
  </si>
  <si>
    <t>2026-02-05 10:43:19</t>
  </si>
  <si>
    <t>FANNY IRENE</t>
  </si>
  <si>
    <t>TULLUME FARRO</t>
  </si>
  <si>
    <t>fanny_vrij@hotmail.com</t>
  </si>
  <si>
    <t>1990-03-02</t>
  </si>
  <si>
    <t>MONSEFU</t>
  </si>
  <si>
    <t>CALLANCA SUB ESTACIÓN 12, RESTAURANT CAMPESTRE MI CARMENCITA</t>
  </si>
  <si>
    <t>Administración</t>
  </si>
  <si>
    <t>2026-02-05 14:12:04</t>
  </si>
  <si>
    <t>DELGADO ESTELA</t>
  </si>
  <si>
    <t>1998-08-29</t>
  </si>
  <si>
    <t>JOSE LEONARDO ORTIZ</t>
  </si>
  <si>
    <t>INCANATO 1250 - J.L.O - URRUNAGA</t>
  </si>
  <si>
    <t>FAG</t>
  </si>
  <si>
    <t>2026-02-06 18:09:15</t>
  </si>
  <si>
    <t>TEPE ATOCHE</t>
  </si>
  <si>
    <t>1957-06-09</t>
  </si>
  <si>
    <t>CALLE JUAN MANUEL ITURREGUI 470- URB. CHICLAYO</t>
  </si>
  <si>
    <t>2026-02-06 18:17:36</t>
  </si>
  <si>
    <t>FLOYNER</t>
  </si>
  <si>
    <t>PALOMINO HERNÁNDEZ</t>
  </si>
  <si>
    <t>1997-05-20</t>
  </si>
  <si>
    <t>SAN MIGUEL</t>
  </si>
  <si>
    <t>LLAPA</t>
  </si>
  <si>
    <t>CP PAMPA LA CALZADA</t>
  </si>
  <si>
    <t>2026-02-06 21:48:21</t>
  </si>
  <si>
    <t>VIVES GARNIQUE</t>
  </si>
  <si>
    <t>jvives@uss.edu.pe</t>
  </si>
  <si>
    <t>1982-03-24</t>
  </si>
  <si>
    <t>REQUE</t>
  </si>
  <si>
    <t>AV. MARISCAL CASTILLA 700</t>
  </si>
  <si>
    <t>FIME</t>
  </si>
  <si>
    <t>Ciencias de la Ingeniería Mecánica y Eléctrica con mención en Energía</t>
  </si>
  <si>
    <t>2026-02-09 16:25:08</t>
  </si>
  <si>
    <t>ROCIO DEL ALBA</t>
  </si>
  <si>
    <t>LA TORRE ALIAGA</t>
  </si>
  <si>
    <t>rlatorre@gruporolat.com</t>
  </si>
  <si>
    <t>1974-11-30</t>
  </si>
  <si>
    <t>JOSE CARLOS MARIATEGUI 280 - LOS ABOGADOS</t>
  </si>
  <si>
    <t>2026-02-10 10:01:47</t>
  </si>
  <si>
    <t>MARTIN</t>
  </si>
  <si>
    <t>VALENCIA GARAVITO</t>
  </si>
  <si>
    <t>1990-04-30</t>
  </si>
  <si>
    <t>SECTOR LOS LAURELES RAMA CASTILLA MZ. C LT. 4</t>
  </si>
  <si>
    <t>2026-02-10 12:16:13</t>
  </si>
  <si>
    <t>GONZALES FLORES</t>
  </si>
  <si>
    <t>1993-01-10</t>
  </si>
  <si>
    <t>MANUEL SEOANE 262</t>
  </si>
  <si>
    <t>2026-02-10 17:49:14</t>
  </si>
  <si>
    <t>PUYCAN PORRAS</t>
  </si>
  <si>
    <t>1997-02-18</t>
  </si>
  <si>
    <t>ETEN</t>
  </si>
  <si>
    <t>GONZALES PRADA #828</t>
  </si>
  <si>
    <t>2026-02-11 10:27:39</t>
  </si>
  <si>
    <t>VELASQUEZ RAMIREZ</t>
  </si>
  <si>
    <t>1990-05-29</t>
  </si>
  <si>
    <t>ATAHUALPA 268 - JOSE LEONARDO ORTIZ</t>
  </si>
  <si>
    <t>2026-02-11 13:10:56</t>
  </si>
  <si>
    <t>BECERRA PEREZ</t>
  </si>
  <si>
    <t>1997-05-13</t>
  </si>
  <si>
    <t>AV. MARIANO CORNEJO 870</t>
  </si>
  <si>
    <t>2026-02-11 20:06:08</t>
  </si>
  <si>
    <t>ALVAREZ CASANOVA</t>
  </si>
  <si>
    <t>1990-12-11</t>
  </si>
  <si>
    <t>CALLE SAN FELIPE 321 - PPJJ NUEVO SAN LORENZO</t>
  </si>
  <si>
    <t>2026-02-11 21:44:55</t>
  </si>
  <si>
    <t>JUAN</t>
  </si>
  <si>
    <t>CABRERA CABRERA</t>
  </si>
  <si>
    <t>1989-03-09</t>
  </si>
  <si>
    <t>AV. TARAPACÁ Nº432 CAMPODÓNICO</t>
  </si>
  <si>
    <t>2026-02-12 14:58:46</t>
  </si>
  <si>
    <t>CASTRO CASTRO</t>
  </si>
  <si>
    <t>1999-05-29</t>
  </si>
  <si>
    <t>CALLE BAGUA 338 URB. JOSE QUIÑONES GONZALES</t>
  </si>
  <si>
    <t>2026-02-12 16:31:20</t>
  </si>
  <si>
    <t>DELGADO TORO</t>
  </si>
  <si>
    <t>2001-02-26</t>
  </si>
  <si>
    <t>AA.HH "MARÍA CRUZ" MZ1 LT 41.</t>
  </si>
  <si>
    <t>2026-02-12 16:48:54</t>
  </si>
  <si>
    <t>ALEJANDRO</t>
  </si>
  <si>
    <t>PACHERRES TORRES</t>
  </si>
  <si>
    <t>1992-11-10</t>
  </si>
  <si>
    <t>CALLE PEDRO DIEZ CANSECO N° 155 -URB REMIGIO SILVA</t>
  </si>
  <si>
    <t>2026-02-12 23:03:47</t>
  </si>
  <si>
    <t>VANESA</t>
  </si>
  <si>
    <t>NEVADO CORDOVA</t>
  </si>
  <si>
    <t>1975-05-18</t>
  </si>
  <si>
    <t>PIURA</t>
  </si>
  <si>
    <t>AV. GRAU # 2337 - URBANIZACION PIURA</t>
  </si>
  <si>
    <t>2026-02-13 12:00:33</t>
  </si>
  <si>
    <t>WILDER</t>
  </si>
  <si>
    <t>RONCAL COTRINA</t>
  </si>
  <si>
    <t>1986-06-14</t>
  </si>
  <si>
    <t>JAEN</t>
  </si>
  <si>
    <t>BELLAVISTA</t>
  </si>
  <si>
    <t>PARDO MIGUEL S/N</t>
  </si>
  <si>
    <t>2026-02-14 10:56:54</t>
  </si>
  <si>
    <t>CELSO NAZARIO</t>
  </si>
  <si>
    <t>PURIHUAMAN LEONARDO</t>
  </si>
  <si>
    <t>ingcelsop@gmail.com</t>
  </si>
  <si>
    <t>1972-07-28</t>
  </si>
  <si>
    <t>AV. AMÉRICA 524</t>
  </si>
  <si>
    <t>Ciencias Ambientales</t>
  </si>
  <si>
    <t>2026-02-15 10:51:01</t>
  </si>
  <si>
    <t>RICARDO</t>
  </si>
  <si>
    <t>TEPE GASTULO</t>
  </si>
  <si>
    <t>1984-12-12</t>
  </si>
  <si>
    <t>CALLE PIURA 137 JOSÉ OLAYA</t>
  </si>
  <si>
    <t>2026-02-16 19:19:47</t>
  </si>
  <si>
    <t>ACOSTA ARNAO</t>
  </si>
  <si>
    <t>2001-01-17</t>
  </si>
  <si>
    <t>DIEGO FERRÉ 123 URB. EL PORVENIR</t>
  </si>
  <si>
    <t>2026-02-17 20:06:03</t>
  </si>
  <si>
    <t>SANTOS CORREA</t>
  </si>
  <si>
    <t>1997-03-16</t>
  </si>
  <si>
    <t>CALLE LAS CARABELAS MZ. A LT. 15</t>
  </si>
  <si>
    <t>2026-02-18 16:09:58</t>
  </si>
  <si>
    <t>NEVADO COBOS</t>
  </si>
  <si>
    <t>1993-01-31</t>
  </si>
  <si>
    <t>PIMENTEL</t>
  </si>
  <si>
    <t>URB. LA ENSENADA DE CHICLAYO MZ. D LT. 24 - 6TA ETAPA - PIMENTEL - LAMBAYEQUE</t>
  </si>
  <si>
    <t>2026-02-18 22:43:44</t>
  </si>
  <si>
    <t>PONCE NIETO</t>
  </si>
  <si>
    <t>1986-06-16</t>
  </si>
  <si>
    <t>CALLE TACNA Nº 169 (ANTES MZ "D" LOTE 13, ASOCIACIÓN PROVIVIENDA SANTA ROSA)</t>
  </si>
  <si>
    <t>2026-02-19 07:50:39</t>
  </si>
  <si>
    <t>MENDOZA BRAVO</t>
  </si>
  <si>
    <t>1975-07-07</t>
  </si>
  <si>
    <t>BLOCK K DPTO 503 CONDOMINIO RESIDENCIAL LOS PINOS DE LA PLATA</t>
  </si>
  <si>
    <t>2026-02-19 13:53:26</t>
  </si>
  <si>
    <t>VASQUEZ PUELLES</t>
  </si>
  <si>
    <t>carlos_vp1@hotmail.com</t>
  </si>
  <si>
    <t>1987-07-05</t>
  </si>
  <si>
    <t>PROLONGACIÓN BOLOGNESI MZ B LT 5 - URB. VILLA BOLOGNESI</t>
  </si>
  <si>
    <t>FIA</t>
  </si>
  <si>
    <t>Gestión Integrada de los Recursos Hídricos</t>
  </si>
  <si>
    <t>2026-02-19 17:42:32</t>
  </si>
  <si>
    <t>SUCLUPE VICENTE</t>
  </si>
  <si>
    <t>1992-05-17</t>
  </si>
  <si>
    <t>MZ A LT. 8 URB. ALAMEDA REAL - LAMBAYEQUE</t>
  </si>
  <si>
    <t>2026-02-20 11:06:47</t>
  </si>
  <si>
    <t>AGUILAR GUERRERO</t>
  </si>
  <si>
    <t>1997-10-17</t>
  </si>
  <si>
    <t>AV. JULIO FERNANDEZ DE LA OLIVA MZ 11 LT26 - AMPLIACIÓN FANNY ABANTO</t>
  </si>
  <si>
    <t>2026-02-21 01:39:45</t>
  </si>
  <si>
    <t>RETO CHAVARRY</t>
  </si>
  <si>
    <t>1988-11-08</t>
  </si>
  <si>
    <t>AV. GRA CAMPODONICO 751</t>
  </si>
  <si>
    <t>FMV</t>
  </si>
  <si>
    <t>2026-02-21 17:05:57</t>
  </si>
  <si>
    <t>CRUZADO BENAVIDES</t>
  </si>
  <si>
    <t>1980-01-04</t>
  </si>
  <si>
    <t>HUALGAYOC</t>
  </si>
  <si>
    <t>BAMBAMARCA</t>
  </si>
  <si>
    <t>JR. JOSÉ GÁLVEZ N° 360</t>
  </si>
  <si>
    <t>2026-02-24 12:03:50</t>
  </si>
  <si>
    <t>NANCY</t>
  </si>
  <si>
    <t>NIÑO MONTERO</t>
  </si>
  <si>
    <t>1967-11-27</t>
  </si>
  <si>
    <t>AV.LORA Y LORA # 1056</t>
  </si>
  <si>
    <t>2026-02-24 15:54:27</t>
  </si>
  <si>
    <t>UCANCIAL NECIOSUP</t>
  </si>
  <si>
    <t>1994-02-05</t>
  </si>
  <si>
    <t>MANUEL C. BONILLA #476</t>
  </si>
  <si>
    <t>2026-02-24 16:11:43</t>
  </si>
  <si>
    <t>ZORRILLA VASQUEZ</t>
  </si>
  <si>
    <t>2001-03-29</t>
  </si>
  <si>
    <t>CHOTA</t>
  </si>
  <si>
    <t>JIRON SAN MARTIN 228</t>
  </si>
  <si>
    <t>2026-02-24 16:20:08</t>
  </si>
  <si>
    <t>CUSTODIO FERNANDEZ</t>
  </si>
  <si>
    <t>1991-02-28</t>
  </si>
  <si>
    <t>CALLE SAN ANTONIO 247.PJ SAN MARTÍN,LAMBAYEQUE</t>
  </si>
  <si>
    <t>2026-02-24 19:11:01</t>
  </si>
  <si>
    <t>OSCAR RUDY</t>
  </si>
  <si>
    <t>LOCONI ESPINOZA</t>
  </si>
  <si>
    <t>1976-11-14</t>
  </si>
  <si>
    <t>CONDOMINIO ALAMEDA COUNTRY CLUB MZ A9</t>
  </si>
  <si>
    <t>2026-02-25 09:34:36</t>
  </si>
  <si>
    <t>TORRES DIAZ</t>
  </si>
  <si>
    <t>1988-01-13</t>
  </si>
  <si>
    <t>LOS LAURELES 898 - MORRO SOLAR JAEN</t>
  </si>
  <si>
    <t>2026-02-25 19:07:06</t>
  </si>
  <si>
    <t>CUZQUEN YOCYA</t>
  </si>
  <si>
    <t>1989-04-09</t>
  </si>
  <si>
    <t>ILLIMO</t>
  </si>
  <si>
    <t>CALLE MANUEL SEOANE S/N</t>
  </si>
  <si>
    <t>2026-02-26 15:18:57</t>
  </si>
  <si>
    <t>ELVER ROGGER</t>
  </si>
  <si>
    <t>RODRIGUEZ ZUÑIGA</t>
  </si>
  <si>
    <t>1992-09-20</t>
  </si>
  <si>
    <t>CALLE HUANCAYO MZ M LT 21 CPM MIRAFLORES</t>
  </si>
  <si>
    <t>2026-02-26 15:28:08</t>
  </si>
  <si>
    <t>YZQUIERDO RODRIGUEZ</t>
  </si>
  <si>
    <t>2000-03-04</t>
  </si>
  <si>
    <t>FERREÑAFE</t>
  </si>
  <si>
    <t>PITIPO</t>
  </si>
  <si>
    <t>LA BALSA- BATANGRANDE</t>
  </si>
  <si>
    <t>2026-02-26 20:59:35</t>
  </si>
  <si>
    <t>SANCHEZ PIZARRO</t>
  </si>
  <si>
    <t>1987-11-09</t>
  </si>
  <si>
    <t>TUCUME</t>
  </si>
  <si>
    <t>CALLE AUGUSTO B. LEGUIA NRO. 785 - TUCUME-LAMBAYEQUE</t>
  </si>
  <si>
    <t>2026-03-30 18:50:49</t>
  </si>
  <si>
    <t>CIEZA PEÑA</t>
  </si>
  <si>
    <t>1988-02-21</t>
  </si>
  <si>
    <t>MZ. E LOTE 18 URB. CRUZ DE CHALPÓN</t>
  </si>
  <si>
    <t>2026-02-27 15:56:40</t>
  </si>
  <si>
    <t>VILCA RAMOS</t>
  </si>
  <si>
    <t>1991-01-01</t>
  </si>
  <si>
    <t>ANTENOR ORREGO 901</t>
  </si>
  <si>
    <t>2026-02-28 12:39:05</t>
  </si>
  <si>
    <t>URIARTE DIAZ</t>
  </si>
  <si>
    <t>1984-07-06</t>
  </si>
  <si>
    <t>SAÑA</t>
  </si>
  <si>
    <t>CALLE HUASCAR 788</t>
  </si>
  <si>
    <t>2026-03-01 23:06:32</t>
  </si>
  <si>
    <t>LISSETT MEDALY</t>
  </si>
  <si>
    <t>CUBAS JUAREZ</t>
  </si>
  <si>
    <t>cubas.juarez@gmail.com</t>
  </si>
  <si>
    <t>1990-05-31</t>
  </si>
  <si>
    <t>MZ K LOTE 6 LA CIUDADELA</t>
  </si>
  <si>
    <t>FIQIA</t>
  </si>
  <si>
    <t>Ciencias con mención en Gestión de la Calidad e Inocuidad de Alimentos</t>
  </si>
  <si>
    <t>2026-03-02 14:30:31</t>
  </si>
  <si>
    <t>IVAN CARLOS</t>
  </si>
  <si>
    <t>VILCHEZ ACOSTA</t>
  </si>
  <si>
    <t>ivancarlosvilchezacosta542@gmail.com</t>
  </si>
  <si>
    <t>1994-06-19</t>
  </si>
  <si>
    <t>SIALUPE CAPILLA SANTA ROSA</t>
  </si>
  <si>
    <t>2026-03-02 16:35:44</t>
  </si>
  <si>
    <t>LUCENA GABRIELLI</t>
  </si>
  <si>
    <t>1988-03-24</t>
  </si>
  <si>
    <t>AV. SAENZ PEÑA 674 DEPTO #3</t>
  </si>
  <si>
    <t>2026-03-03 12:49:22</t>
  </si>
  <si>
    <t>PORTILLA SERNAQUE</t>
  </si>
  <si>
    <t>1973-08-06</t>
  </si>
  <si>
    <t>TUMAN</t>
  </si>
  <si>
    <t>BLOCK 12 N° 1272-A TUMAN</t>
  </si>
  <si>
    <t>2026-03-05 09:38:47</t>
  </si>
  <si>
    <t>FERNANDO ANDREE</t>
  </si>
  <si>
    <t>VALERA ROJAS</t>
  </si>
  <si>
    <t>1998-07-19</t>
  </si>
  <si>
    <t>CALLE ALFREDO LAPOINT 962</t>
  </si>
  <si>
    <t>2026-03-05 15:08:14</t>
  </si>
  <si>
    <t>MERA VILLASIS</t>
  </si>
  <si>
    <t>1979-11-30</t>
  </si>
  <si>
    <t>AV 28 DE JULIO 238. DIEGO FERRE</t>
  </si>
  <si>
    <t>2026-03-05 22:08:58</t>
  </si>
  <si>
    <t>PICÓN GARCÍA</t>
  </si>
  <si>
    <t>luis.picong@gmail.com</t>
  </si>
  <si>
    <t>1987-12-15</t>
  </si>
  <si>
    <t>MZ G LT 39 PPJJ VIRGEN DE LA PAZ</t>
  </si>
  <si>
    <t>2026-03-05 22:30:36</t>
  </si>
  <si>
    <t>ESTRELLITA DEL MILAGRO</t>
  </si>
  <si>
    <t>CASTILLO LIMA</t>
  </si>
  <si>
    <t>ecastilloli@unprg.edu.pe</t>
  </si>
  <si>
    <t>1991-10-18</t>
  </si>
  <si>
    <t>CALLE JORGE CHAVEZ #186 P.J SIMON BOLIVAR</t>
  </si>
  <si>
    <t>2026-03-05 23:46:14</t>
  </si>
  <si>
    <t>LOURDES YAZMIN</t>
  </si>
  <si>
    <t>DE LA CRUZ SANDOVAL</t>
  </si>
  <si>
    <t>yazminlu12@gmail.com</t>
  </si>
  <si>
    <t>1997-11-14</t>
  </si>
  <si>
    <t>CALLE PURISIMA 1389</t>
  </si>
  <si>
    <t>Territorio y Urbanismo Sostenible</t>
  </si>
  <si>
    <t>2026-03-07 15:09:53</t>
  </si>
  <si>
    <t>AUGUSTO AMADOR</t>
  </si>
  <si>
    <t>MEDINA HUERTAS</t>
  </si>
  <si>
    <t>augustomedina04@gmail.com</t>
  </si>
  <si>
    <t>1973-04-06</t>
  </si>
  <si>
    <t>POMALCA</t>
  </si>
  <si>
    <t>PROLONGACIÓN AV. SAN MARTIN SECTOR 5 MZ. C LOTE 12 URB. 20 DE ENERO</t>
  </si>
  <si>
    <t>2026-03-10 12:53:57</t>
  </si>
  <si>
    <t>QUINTANA SEGURA</t>
  </si>
  <si>
    <t>1989-03-06</t>
  </si>
  <si>
    <t>PATAPO</t>
  </si>
  <si>
    <t>CASERIO EL PROGRESO</t>
  </si>
  <si>
    <t>2026-03-11 17:55:42</t>
  </si>
  <si>
    <t>JONATHAN</t>
  </si>
  <si>
    <t>VELA FALLA</t>
  </si>
  <si>
    <t>jovefa_146@hotmail.com</t>
  </si>
  <si>
    <t>1989-06-14</t>
  </si>
  <si>
    <t>MZ W1 LOTE 1 - SOL DE PIMENTEL</t>
  </si>
  <si>
    <t>2026-03-12 00:50:53</t>
  </si>
  <si>
    <t>VIVAS VIERA</t>
  </si>
  <si>
    <t>1960-02-13</t>
  </si>
  <si>
    <t>AV. E. ORBEGOSO MZ. T LOTE 27</t>
  </si>
  <si>
    <t>2026-03-13 12:33:10</t>
  </si>
  <si>
    <t>ADRIANO</t>
  </si>
  <si>
    <t>FERNANDEZ RAFAEL</t>
  </si>
  <si>
    <t>adrianofrafael28@gmail.com</t>
  </si>
  <si>
    <t>1987-04-29</t>
  </si>
  <si>
    <t>CALLE LAS ALMENDRAS N°300 - JAEN</t>
  </si>
  <si>
    <t>Derecho con mención en Civil y Comercial</t>
  </si>
  <si>
    <t>2026-03-13 16:12:31</t>
  </si>
  <si>
    <t>VENTURA SUCLUPE</t>
  </si>
  <si>
    <t>1993-10-19</t>
  </si>
  <si>
    <t>MORROPE</t>
  </si>
  <si>
    <t>CARRETERA PANAMERICANA NORTE KM 847</t>
  </si>
  <si>
    <t>2026-03-13 17:42:23</t>
  </si>
  <si>
    <t>BURGA LOZANO</t>
  </si>
  <si>
    <t>1996-02-17</t>
  </si>
  <si>
    <t>LA CRIA  - PATAPO</t>
  </si>
  <si>
    <t>2026-03-14 10:21:42</t>
  </si>
  <si>
    <t>GRECIA ALEJANDRA</t>
  </si>
  <si>
    <t>ALVAREZ TELLO</t>
  </si>
  <si>
    <t>greciaalvareztello@gmail.com</t>
  </si>
  <si>
    <t>1990-10-03</t>
  </si>
  <si>
    <t>AVENIDAD EL NIÑO S/N.PARQUE EL NIÑO</t>
  </si>
  <si>
    <t>2026-03-15 23:30:28</t>
  </si>
  <si>
    <t>CANDIA GONZALES</t>
  </si>
  <si>
    <t>1989-12-11</t>
  </si>
  <si>
    <t>MZ. C LOTE 12 URB. JARDINES DE CHOSICA - LA VICTORIA</t>
  </si>
  <si>
    <t>2026-03-16 17:59:16</t>
  </si>
  <si>
    <t>LOPEZ LOPEZ</t>
  </si>
  <si>
    <t>1995-03-03</t>
  </si>
  <si>
    <t>CAÑARIS</t>
  </si>
  <si>
    <t>CASERIO NUEVA ESPERANZA, CP. HIERBA BUENA</t>
  </si>
  <si>
    <t>2026-03-16 19:03:44</t>
  </si>
  <si>
    <t>SANGUINEZ PRADA</t>
  </si>
  <si>
    <t>1989-03-08</t>
  </si>
  <si>
    <t>URB. SOL DE LAMBAYEQUE MZ A5 LT 8</t>
  </si>
  <si>
    <t>2026-03-17 03:14:24</t>
  </si>
  <si>
    <t>JUANA MARISOL</t>
  </si>
  <si>
    <t>DEL CASTILLO DEZA</t>
  </si>
  <si>
    <t>2000-09-09</t>
  </si>
  <si>
    <t>HORACIO PATIÑO 399 - URB. LATINA</t>
  </si>
  <si>
    <t>2026-03-17 15:56:20</t>
  </si>
  <si>
    <t>NEY ANDERSON</t>
  </si>
  <si>
    <t>ALFARO VARGAS</t>
  </si>
  <si>
    <t>alfarovargasneyanderson01@gmail.com</t>
  </si>
  <si>
    <t>2001-07-13</t>
  </si>
  <si>
    <t>MARISCAL URETA 13-17</t>
  </si>
  <si>
    <t>2026-03-17 19:19:03</t>
  </si>
  <si>
    <t>SILVA VASQUEZ</t>
  </si>
  <si>
    <t>1996-05-27</t>
  </si>
  <si>
    <t>CALLE LAS CUCARDAS 241 - CESAR VALLEJO</t>
  </si>
  <si>
    <t>2026-03-17 22:59:41</t>
  </si>
  <si>
    <t>EXEQUIEL</t>
  </si>
  <si>
    <t>BENAVIDES RODRIGUEZ</t>
  </si>
  <si>
    <t>1993-01-09</t>
  </si>
  <si>
    <t>LAJAS</t>
  </si>
  <si>
    <t>JOSE GALVES 117</t>
  </si>
  <si>
    <t>2026-03-19 01:00:50</t>
  </si>
  <si>
    <t>DÍAZ JIMENEZ</t>
  </si>
  <si>
    <t>2002-01-29</t>
  </si>
  <si>
    <t>MERMES N°248</t>
  </si>
  <si>
    <t>2026-03-20 08:50:51</t>
  </si>
  <si>
    <t>QUIROZ PUELLES</t>
  </si>
  <si>
    <t>1998-03-05</t>
  </si>
  <si>
    <t>AV. PACHACUTEC MZ. 28 LT. 12 URBANIZACIÓN SANTA ROSA PNP</t>
  </si>
  <si>
    <t>2026-03-21 10:48:36</t>
  </si>
  <si>
    <t>BALCAZAR ALCANTARA</t>
  </si>
  <si>
    <t>1988-08-13</t>
  </si>
  <si>
    <t>CALLE LOS PINOS 163, CHICLAYO, PERU</t>
  </si>
  <si>
    <t>2026-03-21 16:43:35</t>
  </si>
  <si>
    <t>ESMERALDA CAROLINA</t>
  </si>
  <si>
    <t>GUEVARA ATOCHE</t>
  </si>
  <si>
    <t>carolinaguevaraato@gmail.com</t>
  </si>
  <si>
    <t>1999-08-22</t>
  </si>
  <si>
    <t>AV GUARDIA CIVIL URBANIZACION LA FLORIDA MZ D LOTE 30</t>
  </si>
  <si>
    <t>2026-03-21 21:42:12</t>
  </si>
  <si>
    <t>YADIRA YAMILEE</t>
  </si>
  <si>
    <t>SANDOVAL BONILLA</t>
  </si>
  <si>
    <t>sandovalbonillayadira@gmail.com</t>
  </si>
  <si>
    <t>2000-03-25</t>
  </si>
  <si>
    <t>AV. VÍCTOR MURO 901</t>
  </si>
  <si>
    <t>2026-03-22 21:52:11</t>
  </si>
  <si>
    <t>SUCLUPE VIDAURRE</t>
  </si>
  <si>
    <t>1981-12-04</t>
  </si>
  <si>
    <t>ALAMEDA REAL ETAPA I. MZ. A LOTE 51</t>
  </si>
  <si>
    <t>2026-03-23 09:34:09</t>
  </si>
  <si>
    <t>LICHAM SOSA</t>
  </si>
  <si>
    <t>1979-03-22</t>
  </si>
  <si>
    <t>CALLE UNIÓN N°109 URBANIZACIÓN SAN EDUARDO CHICLAYO - LAMBAYEQUE</t>
  </si>
  <si>
    <t>2026-03-23 16:39:50</t>
  </si>
  <si>
    <t>STEWART ALFRED</t>
  </si>
  <si>
    <t>TABOADA DIAZ</t>
  </si>
  <si>
    <t>1991-04-25</t>
  </si>
  <si>
    <t>CALLE LOS ROBLES URBANISACIÓN LOS SAUCES 518</t>
  </si>
  <si>
    <t>2026-03-23 19:45:36</t>
  </si>
  <si>
    <t>VELEZ HUERTAS</t>
  </si>
  <si>
    <t>1999-10-04</t>
  </si>
  <si>
    <t>CALLE AMAZONAS 1113</t>
  </si>
  <si>
    <t>2026-03-23 22:42:32</t>
  </si>
  <si>
    <t>ROJAS CHUPILLON</t>
  </si>
  <si>
    <t>1980-03-17</t>
  </si>
  <si>
    <t>CALLE LUIS CASTILLA 148 - URBANIZACIÓN LA PRIMAVERA</t>
  </si>
  <si>
    <t>2026-03-24 09:50:19</t>
  </si>
  <si>
    <t>HUAMAN APAZA</t>
  </si>
  <si>
    <t>1996-05-13</t>
  </si>
  <si>
    <t>MANZANA D, LOTE 9, PJ. SAN JUAN - SIMÓN BOLIVAR - CHICLAYO</t>
  </si>
  <si>
    <t>2026-03-25 09:11:15</t>
  </si>
  <si>
    <t>OBLITAS DIAZ</t>
  </si>
  <si>
    <t>2000-07-06</t>
  </si>
  <si>
    <t>CUTERVO</t>
  </si>
  <si>
    <t>SANTO TOMAS</t>
  </si>
  <si>
    <t>CALLE JOSE GALVES SN</t>
  </si>
  <si>
    <t>2026-03-26 13:16:47</t>
  </si>
  <si>
    <t>ANGELINA</t>
  </si>
  <si>
    <t>ROQUE TENORIO</t>
  </si>
  <si>
    <t>aroquetenorio47@gmail.com</t>
  </si>
  <si>
    <t>1980-06-23</t>
  </si>
  <si>
    <t>CALLE LOS CLAVELES N° 156 PP.JJ SANTO TORIBIO DE MOGROVEJO</t>
  </si>
  <si>
    <t>Ciencias de la Educación con mención en Gerencia Educativa Estratégica</t>
  </si>
  <si>
    <t>2026-03-27 12:57:15</t>
  </si>
  <si>
    <t>JOSSIRA</t>
  </si>
  <si>
    <t>REYNA ALBERCA</t>
  </si>
  <si>
    <t>1979-01-30</t>
  </si>
  <si>
    <t>MZ J LT.5 URB. LOS CEDROS - LA PRADERA</t>
  </si>
  <si>
    <t>2026-03-27 19:05:05</t>
  </si>
  <si>
    <t>MILIAN PEREZ</t>
  </si>
  <si>
    <t>1985-03-17</t>
  </si>
  <si>
    <t>CALLE LIMA 103</t>
  </si>
  <si>
    <t>2026-03-28 23:08:46</t>
  </si>
  <si>
    <t>ALDANA CHOZO</t>
  </si>
  <si>
    <t>1994-06-01</t>
  </si>
  <si>
    <t>CALLE CUETO N° 735</t>
  </si>
  <si>
    <t>2026-03-31 10:27:45</t>
  </si>
  <si>
    <t>URTECHO GUZMAN</t>
  </si>
  <si>
    <t>2004-04-16</t>
  </si>
  <si>
    <t>MAYTA CAPAC 1184</t>
  </si>
  <si>
    <t>2026-03-31 11:08:33</t>
  </si>
  <si>
    <t>ROMMEL</t>
  </si>
  <si>
    <t>YNOÑAN MARCELO</t>
  </si>
  <si>
    <t>1958-02-05</t>
  </si>
  <si>
    <t>CALLE LA LADERA 170 2 PISO URB 3 DE OCTUBRE - CHICLAYO</t>
  </si>
  <si>
    <t>2026-03-31 13:20:17</t>
  </si>
  <si>
    <t>BUSTAMANTE HUAMAN</t>
  </si>
  <si>
    <t>2001-06-12</t>
  </si>
  <si>
    <t>CASUARINAS I ETAPA MAZ E LOTE 43</t>
  </si>
  <si>
    <t>2026-03-31 15:29:05</t>
  </si>
  <si>
    <t>JUAN ENRIQUE</t>
  </si>
  <si>
    <t>ESQUIVEL MORENO</t>
  </si>
  <si>
    <t>je_esquivel@hotmail.com</t>
  </si>
  <si>
    <t>1970-09-28</t>
  </si>
  <si>
    <t>AV. LOS INCAS 140, DPTO 404-A</t>
  </si>
  <si>
    <t>2026-04-01 13:21:54</t>
  </si>
  <si>
    <t>MARIO KEVIN</t>
  </si>
  <si>
    <t>SEGURA DIAZ</t>
  </si>
  <si>
    <t>1991-08-04</t>
  </si>
  <si>
    <t>MZ. B LT. 33 URB. LA ENSENADA DE CHICLAYO ETAPA IX</t>
  </si>
  <si>
    <t>2026-04-05 20:56:57</t>
  </si>
  <si>
    <t>ORTEGA SOTO</t>
  </si>
  <si>
    <t>1994-11-14</t>
  </si>
  <si>
    <t>SAN IGNACIO</t>
  </si>
  <si>
    <t>SAN JOSE DE LOURDES</t>
  </si>
  <si>
    <t>PASAJE SAN MIGUEL</t>
  </si>
  <si>
    <t>2026-04-06 08:31:19</t>
  </si>
  <si>
    <t>CAJUSOL DIAZ</t>
  </si>
  <si>
    <t>1997-01-05</t>
  </si>
  <si>
    <t>JUAN PABLO 695 UTBANIZACION LAS BRISAS</t>
  </si>
  <si>
    <t>2026-04-06 10:28:20</t>
  </si>
  <si>
    <t>ZAPATA LUPUCHE</t>
  </si>
  <si>
    <t>mzapatalupuche@gmail.com</t>
  </si>
  <si>
    <t>1999-03-01</t>
  </si>
  <si>
    <t>CATACAOS</t>
  </si>
  <si>
    <t>CALLE EL CARMEN 096 VILLA PEDREGAL GRANDE - CATACAOS</t>
  </si>
  <si>
    <t>2026-04-06 15:28:58</t>
  </si>
  <si>
    <t>BANCES PEREZ</t>
  </si>
  <si>
    <t>2001-06-19</t>
  </si>
  <si>
    <t>CPM. AMPL. FANNY ABANTO CALLE MZ. T1 LT.6</t>
  </si>
  <si>
    <t>2026-04-07 22:05:17</t>
  </si>
  <si>
    <t>NELSON MARCIAL</t>
  </si>
  <si>
    <t>CHAVEZ MORALES</t>
  </si>
  <si>
    <t>nmchm@hotmail.com</t>
  </si>
  <si>
    <t>1988-09-05</t>
  </si>
  <si>
    <t>LOS ALMENDROS 263</t>
  </si>
  <si>
    <t>2026-04-08 00:27:30</t>
  </si>
  <si>
    <t>AMILCAR FAYOL</t>
  </si>
  <si>
    <t>CELADA PADILLA</t>
  </si>
  <si>
    <t>amilcarceladapadilla@hotmail.com</t>
  </si>
  <si>
    <t>1975-11-06</t>
  </si>
  <si>
    <t>CALLE ANDRES AVELINO CACERES 575 EX LIBERTAD DEPARTAMENTO 301 URB. SANTA VICTORIA DISTRITO Y PROVINCIA DE CHICLAYO DEPARTAMENTO DE LAMBAYEQUE</t>
  </si>
  <si>
    <t>2026-04-08 03:16:03</t>
  </si>
  <si>
    <t>MAZA AGUIRRE</t>
  </si>
  <si>
    <t>1992-08-15</t>
  </si>
  <si>
    <t>URB. FONAVI MZ. B LT. 14</t>
  </si>
  <si>
    <t>2026-04-10 15:16:45</t>
  </si>
  <si>
    <t>DIAZ CERVERA</t>
  </si>
  <si>
    <t>1989-05-16</t>
  </si>
  <si>
    <t>LEANDRO PASTOR N°142</t>
  </si>
  <si>
    <t>2026-04-11 00:04:12</t>
  </si>
  <si>
    <t>MARCHENA CAICAY</t>
  </si>
  <si>
    <t>1988-09-26</t>
  </si>
  <si>
    <t>AV. AREQUIPA NORTE 324</t>
  </si>
  <si>
    <t>2026-04-12 23:58:20</t>
  </si>
  <si>
    <t>ESPINOZA CRUZ</t>
  </si>
  <si>
    <t>1992-12-17</t>
  </si>
  <si>
    <t>ASENT. H. VICTOR RAUL HAYA DE LA TORRE MZ:P LT:36</t>
  </si>
  <si>
    <t>2026-04-13 09:22:15</t>
  </si>
  <si>
    <t>CANCINO DELGADO</t>
  </si>
  <si>
    <t>1991-09-29</t>
  </si>
  <si>
    <t>CHONGOYAPE</t>
  </si>
  <si>
    <t>CALLE TINAJONES S/N CASERÍO ZAPOTAL</t>
  </si>
  <si>
    <t>2026-04-13 11:00:27</t>
  </si>
  <si>
    <t>CHINCHAYAN BARRENECHEA</t>
  </si>
  <si>
    <t>1992-10-19</t>
  </si>
  <si>
    <t>CALLE SAN MARTIN N° 616</t>
  </si>
  <si>
    <t>2026-04-13 11:10:09</t>
  </si>
  <si>
    <t>DAVID</t>
  </si>
  <si>
    <t>BUSTAMANTE CERNA</t>
  </si>
  <si>
    <t>1985-06-16</t>
  </si>
  <si>
    <t>SAN CRISTÓBAL N° 329 - P.J. SAN ANTONIO</t>
  </si>
  <si>
    <t>2026-04-13 11:15:08</t>
  </si>
  <si>
    <t>PINTADO UBILLUS</t>
  </si>
  <si>
    <t>1989-11-16</t>
  </si>
  <si>
    <t>HUANCABAMBA</t>
  </si>
  <si>
    <t>URB. COSSIO DEL POMAR MZ A1 - LT 05, CASTILLA - PIURA</t>
  </si>
  <si>
    <t>2026-04-13 17:36:52</t>
  </si>
  <si>
    <t>LUCIANA GRACIELA EDITH DAREANA</t>
  </si>
  <si>
    <t>QUIROZ BRACO</t>
  </si>
  <si>
    <t>quirozbracoluciana@gmail.com</t>
  </si>
  <si>
    <t>2002-05-09</t>
  </si>
  <si>
    <t>JAYANCA</t>
  </si>
  <si>
    <t>JAYANCA, JAYANCA, PERÚ</t>
  </si>
  <si>
    <t>FE</t>
  </si>
  <si>
    <t>Ciencias de Enfermería</t>
  </si>
  <si>
    <t>2026-04-14 14:01:07</t>
  </si>
  <si>
    <t>ALVAREZ DEZA</t>
  </si>
  <si>
    <t>1971-05-04</t>
  </si>
  <si>
    <t>AV ORREGO 764 BLOCK AD 401-LA VICTORIA</t>
  </si>
  <si>
    <t>2026-04-14 15:41:09</t>
  </si>
  <si>
    <t>KENNY ANTONY</t>
  </si>
  <si>
    <t>MEDINA SAUCEDO</t>
  </si>
  <si>
    <t>kmedina@unprg.edu.pe</t>
  </si>
  <si>
    <t>1998-02-06</t>
  </si>
  <si>
    <t>CALLE INCANATO 1329</t>
  </si>
  <si>
    <t>Ciencias con mención en Proyectos de Inversión</t>
  </si>
  <si>
    <t>2026-04-14 21:13:56</t>
  </si>
  <si>
    <t>TORRES SALDAÑA</t>
  </si>
  <si>
    <t>1995-05-24</t>
  </si>
  <si>
    <t>URB. LA MOLINA ALTA MZ M LT 20</t>
  </si>
  <si>
    <t>2026-04-15 00:09:57</t>
  </si>
  <si>
    <t>LEIDY NAJHELY</t>
  </si>
  <si>
    <t>PRADA LUNA</t>
  </si>
  <si>
    <t>leidynajhelypradaluna@gmail.com</t>
  </si>
  <si>
    <t>2002-01-09</t>
  </si>
  <si>
    <t>SAN ANTONIO #349</t>
  </si>
  <si>
    <t>2026-04-15 18:15:05</t>
  </si>
  <si>
    <t>SALVADOR CERDAN</t>
  </si>
  <si>
    <t>1990-05-30</t>
  </si>
  <si>
    <t>PJ. FANNY ABANTO CALLE MZ J LOTE 12</t>
  </si>
  <si>
    <t>2026-04-16 09:27:04</t>
  </si>
  <si>
    <t>LUZBEIDY</t>
  </si>
  <si>
    <t>MEZA OJEDA</t>
  </si>
  <si>
    <t>1997-06-25</t>
  </si>
  <si>
    <t>TABACONAS</t>
  </si>
  <si>
    <t>CP. CHURUYACU</t>
  </si>
  <si>
    <t>2026-04-16 15:42:31</t>
  </si>
  <si>
    <t>CAPUÑAY UCEDA</t>
  </si>
  <si>
    <t>carloscapu@gmail.com</t>
  </si>
  <si>
    <t>1987-07-12</t>
  </si>
  <si>
    <t>CALLE LA LLANURA 191. PISO 1. URBANIZACION 3 DE OCTUBRE.</t>
  </si>
  <si>
    <t>2026-04-17 06:54:14</t>
  </si>
  <si>
    <t>FIORELLA STEFANNIE</t>
  </si>
  <si>
    <t>DÍAZ MIO</t>
  </si>
  <si>
    <t>mmkasesoreslegales@gmail.com</t>
  </si>
  <si>
    <t>1986-01-13</t>
  </si>
  <si>
    <t>CALLE FRANCISCO DE ZELA 150 - PIMENTEL</t>
  </si>
  <si>
    <t>2026-04-17 22:51:49</t>
  </si>
  <si>
    <t>CERNA BECERRA</t>
  </si>
  <si>
    <t>1996-02-11</t>
  </si>
  <si>
    <t>LOS MITOS 252 - 9 DE OCTUBRE</t>
  </si>
  <si>
    <t>2026-04-17 23:21:38</t>
  </si>
  <si>
    <t>CARMONA TORRES</t>
  </si>
  <si>
    <t>2004-02-22</t>
  </si>
  <si>
    <t>JR. CINCO ESQUINAS 1056</t>
  </si>
  <si>
    <t>2026-04-18 11:41:06</t>
  </si>
  <si>
    <t>MURO VALLADARES</t>
  </si>
  <si>
    <t>1987-12-02</t>
  </si>
  <si>
    <t>TUMBES</t>
  </si>
  <si>
    <t>AV. PIURA N°138</t>
  </si>
  <si>
    <t>2026-04-18 12:44:42</t>
  </si>
  <si>
    <t>CUMPEN BALLENA</t>
  </si>
  <si>
    <t>1987-09-13</t>
  </si>
  <si>
    <t>URB LOS PORTALES</t>
  </si>
  <si>
    <t>2026-04-19 16:26:35</t>
  </si>
  <si>
    <t>TUESTA FLORES</t>
  </si>
  <si>
    <t>2001-04-14</t>
  </si>
  <si>
    <t>VISTA ALEGRE MZ H LT02</t>
  </si>
  <si>
    <t>2026-04-20 11:08:08</t>
  </si>
  <si>
    <t>AURELIO</t>
  </si>
  <si>
    <t>BARBOZA RIMARACHIN</t>
  </si>
  <si>
    <t>1978-11-01</t>
  </si>
  <si>
    <t>JR. SAGRADO CORAZON DE JESUS N.° 492</t>
  </si>
  <si>
    <t>2026-04-20 17:16:15</t>
  </si>
  <si>
    <t>PACHERRES ALCANTARA</t>
  </si>
  <si>
    <t>1983-08-19</t>
  </si>
  <si>
    <t>URB.INGENIERO II BOSQUE DE POMAC 118</t>
  </si>
  <si>
    <t>2026-04-20 20:27:10</t>
  </si>
  <si>
    <t>JOSELITO</t>
  </si>
  <si>
    <t>MANAYAY MANAYAY</t>
  </si>
  <si>
    <t>1992-01-03</t>
  </si>
  <si>
    <t>PUEBLO NUEVO</t>
  </si>
  <si>
    <t>PROLONGACION BRITALDO GONZALES MZ H LT 4</t>
  </si>
  <si>
    <t>2026-04-20 21:25:19</t>
  </si>
  <si>
    <t>NANFARO MORALES</t>
  </si>
  <si>
    <t>BLOCK 1669-A TUMÁN CENTRO</t>
  </si>
  <si>
    <t>2026-04-21 00:25:18</t>
  </si>
  <si>
    <t>MUNDACA CASTAÑEDA</t>
  </si>
  <si>
    <t>1993-06-16</t>
  </si>
  <si>
    <t>URB. SANTA LILA CALLE 05 MZ A LT. 23</t>
  </si>
  <si>
    <t>2026-04-21 08:47:23</t>
  </si>
  <si>
    <t>OLANO PEREZ</t>
  </si>
  <si>
    <t>1998-09-09</t>
  </si>
  <si>
    <t>AA.HH AMPLIACION NUEVO PROGRESO, MZ J, LT 27.</t>
  </si>
  <si>
    <t>2026-04-21 11:12:34</t>
  </si>
  <si>
    <t>ERICK JAVIER</t>
  </si>
  <si>
    <t>CASAS VILLAR</t>
  </si>
  <si>
    <t>1998-03-10</t>
  </si>
  <si>
    <t>CAYALTI</t>
  </si>
  <si>
    <t>SÁENZ PEÑA #101</t>
  </si>
  <si>
    <t>2026-04-21 22:53:07</t>
  </si>
  <si>
    <t>LLUEN VALIENTE</t>
  </si>
  <si>
    <t>1996-08-30</t>
  </si>
  <si>
    <t>MZ C LTE 7 URB FELIPE SATIAGO SALAVERRY</t>
  </si>
  <si>
    <t>2026-04-21 23:32:36</t>
  </si>
  <si>
    <t>CARMEN LILIANA</t>
  </si>
  <si>
    <t>NICOLAS DE LA CRUZ</t>
  </si>
  <si>
    <t>1988-02-11</t>
  </si>
  <si>
    <t>MOTUPE</t>
  </si>
  <si>
    <t>SECTOR TRES TOMAS MZ. A - 34 . C.P ARROZAL - MOTUPE</t>
  </si>
  <si>
    <t>2026-04-23 11:27:17</t>
  </si>
  <si>
    <t>ROQUE DE LA PIEDRA</t>
  </si>
  <si>
    <t>1985-10-09</t>
  </si>
  <si>
    <t>LOS OLIVOS</t>
  </si>
  <si>
    <t>AV.BETANCOURT MZC LT 36 LOS OLIVOS DE PRO</t>
  </si>
  <si>
    <t>2026-04-24 09:50:31</t>
  </si>
  <si>
    <t>ACOSTA DE LA CRUZ</t>
  </si>
  <si>
    <t>1997-12-19</t>
  </si>
  <si>
    <t>P.J.LUIS ALBERTO SANCHEZ MZ"C" LT"3"</t>
  </si>
  <si>
    <t>2026-04-24 11:03:45</t>
  </si>
  <si>
    <t>PARIACURI RECALDE</t>
  </si>
  <si>
    <t>1999-04-07</t>
  </si>
  <si>
    <t>PUCARA</t>
  </si>
  <si>
    <t>CALLE MARISCAL CASTILLA S/N - PUCARÁ</t>
  </si>
  <si>
    <t>2026-04-24 11:38:07</t>
  </si>
  <si>
    <t>ORELLANA DIAZ</t>
  </si>
  <si>
    <t>2002-06-29</t>
  </si>
  <si>
    <t>CALLE PEDRO RUIZ MZ C LT 07-A P. JOVEN SANTA ROSA</t>
  </si>
  <si>
    <t>2026-04-24 17:25:31</t>
  </si>
  <si>
    <t>CUMPA PUICAN</t>
  </si>
  <si>
    <t>1988-04-25</t>
  </si>
  <si>
    <t>LA LLANURA MZ. F LOTE 15</t>
  </si>
  <si>
    <t>2026-04-24 17:42:23</t>
  </si>
  <si>
    <t>RODRIGUEZ QUISPE</t>
  </si>
  <si>
    <t>2001-03-19</t>
  </si>
  <si>
    <t>CALLE VICTOR DOIG Y LORA N° 260</t>
  </si>
  <si>
    <t>2026-04-25 07:09:07</t>
  </si>
  <si>
    <t>NUNCEVAY FLORES</t>
  </si>
  <si>
    <t>1979-10-01</t>
  </si>
  <si>
    <t>CAPITAN QUIÑONES 342</t>
  </si>
  <si>
    <t>2026-04-27 17:56:35</t>
  </si>
  <si>
    <t>SOLANGE</t>
  </si>
  <si>
    <t>GUEVARA BRAVO</t>
  </si>
  <si>
    <t>2000-11-28</t>
  </si>
  <si>
    <t>AV. INTI RAYMI 1206</t>
  </si>
  <si>
    <t>2026-04-27 19:40:20</t>
  </si>
  <si>
    <t>LUCERO PURIHUAMAN</t>
  </si>
  <si>
    <t>2000-07-02</t>
  </si>
  <si>
    <t>SALAS</t>
  </si>
  <si>
    <t>CASERIO EL BANCO</t>
  </si>
  <si>
    <t>2026-04-27 20:43:40</t>
  </si>
  <si>
    <t>ABELINO</t>
  </si>
  <si>
    <t>TICLAHUANCA TANTARICO</t>
  </si>
  <si>
    <t>2000-07-20</t>
  </si>
  <si>
    <t>SALLIQUE</t>
  </si>
  <si>
    <t>AV. JAÉN S/N</t>
  </si>
  <si>
    <t>2026-04-28 14:52:52</t>
  </si>
  <si>
    <t>HELGA KELLY</t>
  </si>
  <si>
    <t>CORDOVA LOPEZ</t>
  </si>
  <si>
    <t>helgacordocha@gmail.com</t>
  </si>
  <si>
    <t>1993-03-10</t>
  </si>
  <si>
    <t>AV FRANCISCO CUNEO SALAZAR Nº 1068</t>
  </si>
  <si>
    <t>2026-04-28 17:29:57</t>
  </si>
  <si>
    <t>DIAZ CARDOZO</t>
  </si>
  <si>
    <t>1999-06-13</t>
  </si>
  <si>
    <t>NICOLAS DE AYLLON 142</t>
  </si>
  <si>
    <t>2026-04-28 21:54:17</t>
  </si>
  <si>
    <t>RIOS CHAVEZ</t>
  </si>
  <si>
    <t>1986-12-08</t>
  </si>
  <si>
    <t>LUYA</t>
  </si>
  <si>
    <t>OCALLI</t>
  </si>
  <si>
    <t>CALLE15, MZN5LOTE 9</t>
  </si>
  <si>
    <t>2026-04-29 00:08:52</t>
  </si>
  <si>
    <t>JAIME ARMANDO</t>
  </si>
  <si>
    <t>GONZALES CHANAME</t>
  </si>
  <si>
    <t>jagch4@hotmail.com</t>
  </si>
  <si>
    <t>1980-09-18</t>
  </si>
  <si>
    <t>CALLE LOS ARQUEÓLOGOS 216</t>
  </si>
  <si>
    <t>2026-04-29 08:35:30</t>
  </si>
  <si>
    <t>SANCHEZ ARAMBULO</t>
  </si>
  <si>
    <t>1996-09-18</t>
  </si>
  <si>
    <t>ANDRÉS RÁZURI N°391 - CHICLAYO</t>
  </si>
  <si>
    <t>2026-04-29 15:28:42</t>
  </si>
  <si>
    <t>LAUREANO</t>
  </si>
  <si>
    <t>CCAHUANA DUEÑAS</t>
  </si>
  <si>
    <t>laureanoccahuana@gmail.com</t>
  </si>
  <si>
    <t>1960-07-04</t>
  </si>
  <si>
    <t>PUNO</t>
  </si>
  <si>
    <t>MELGAR</t>
  </si>
  <si>
    <t>AV.PACIFICO NO.112 KM.4.5 CARRETERA A PIMENTEL -LA GARITA PIMENTEL- PIMENTEL CHICLAYO.</t>
  </si>
  <si>
    <t>2026-04-29 15:43:04</t>
  </si>
  <si>
    <t>BARRUETO FALEN</t>
  </si>
  <si>
    <t>1981-12-14</t>
  </si>
  <si>
    <t>AV. SALAVERRY 1945. URB. 3 DE OCTUBRE - CHICLAYO.</t>
  </si>
  <si>
    <t>2026-04-30 10:12:19</t>
  </si>
  <si>
    <t>ERICKA MAGALY</t>
  </si>
  <si>
    <t>RUIZ ROMERO</t>
  </si>
  <si>
    <t>ericka22rr@gmail.com</t>
  </si>
  <si>
    <t>1999-04-22</t>
  </si>
  <si>
    <t>JARDINES 175</t>
  </si>
  <si>
    <t>2026-04-30 10:58:11</t>
  </si>
  <si>
    <t>RAMIREZ RAMIREZ</t>
  </si>
  <si>
    <t>1993-02-26</t>
  </si>
  <si>
    <t>LA COIPA</t>
  </si>
  <si>
    <t>JR. SAN MARTIN</t>
  </si>
  <si>
    <t>2026-04-30 12:18:49</t>
  </si>
  <si>
    <t>WILSON</t>
  </si>
  <si>
    <t>PEZANTES HERRERA</t>
  </si>
  <si>
    <t>1995-09-17</t>
  </si>
  <si>
    <t>AAHH. 18 DE FEBERO MZ. "J", LOTE "8"</t>
  </si>
  <si>
    <t>2026-04-30 15:17:57</t>
  </si>
  <si>
    <t>ALAN</t>
  </si>
  <si>
    <t>OBANDO CARLOS</t>
  </si>
  <si>
    <t>1986-01-20</t>
  </si>
  <si>
    <t>CENTRO POBLADO LA RAMADA - DISTRITO DE SALAS - PROVINCIA DE LAMBAYEQUE</t>
  </si>
  <si>
    <t>2026-05-01 11:48:49</t>
  </si>
  <si>
    <t>ROJAS LEYVA</t>
  </si>
  <si>
    <t>1998-08-07</t>
  </si>
  <si>
    <t>CPM CHACUPE ALTO MZ. A LT. 01</t>
  </si>
  <si>
    <t>2026-05-01 13:38:06</t>
  </si>
  <si>
    <t>ERIKA IVONE JESUS</t>
  </si>
  <si>
    <t>CASTAÑEDA ARCILA</t>
  </si>
  <si>
    <t>erika02_05@hotmail.com</t>
  </si>
  <si>
    <t>1983-05-02</t>
  </si>
  <si>
    <t>CALLE BACAMATTOS 451</t>
  </si>
  <si>
    <t>2026-05-03 19:28:32</t>
  </si>
  <si>
    <t>SIPION ZAMBRANO</t>
  </si>
  <si>
    <t>1996-07-10</t>
  </si>
  <si>
    <t>SAN ANTONIO N° 103 - PUEBLO JOVEN SAN MARTÍN</t>
  </si>
  <si>
    <t>2026-05-04 09:36:56</t>
  </si>
  <si>
    <t>VASQUEZ PEREZ</t>
  </si>
  <si>
    <t>1989-10-09</t>
  </si>
  <si>
    <t>AV. ANDRES AVELINO CACERES S/N MZ B LOTE 9</t>
  </si>
  <si>
    <t>2026-05-04 13:20:22</t>
  </si>
  <si>
    <t>FRANK</t>
  </si>
  <si>
    <t>MEDINA TORRES</t>
  </si>
  <si>
    <t>frank.medinatorres@gmail.com</t>
  </si>
  <si>
    <t>1983-01-01</t>
  </si>
  <si>
    <t>CALLE LAS MANDARINAS MZ. E-LOTE 3. URB. JARDINES DE SANTA ROSA</t>
  </si>
  <si>
    <t>2026-05-04 15:32:40</t>
  </si>
  <si>
    <t>DAVILA MONSALVE</t>
  </si>
  <si>
    <t>1987-01-25</t>
  </si>
  <si>
    <t>MZ. "B" LT 03 AA.HH VICTOR RAUL</t>
  </si>
  <si>
    <t>2026-05-04 15:33:46</t>
  </si>
  <si>
    <t>CIEZA HERRERA</t>
  </si>
  <si>
    <t>1999-08-13</t>
  </si>
  <si>
    <t>BLOCK 18 MZ. LT. 6B</t>
  </si>
  <si>
    <t>2026-05-04 15:58:47</t>
  </si>
  <si>
    <t>BOBADILLA SANCHEZ</t>
  </si>
  <si>
    <t>1987-02-01</t>
  </si>
  <si>
    <t>AV 9 DE OCTUBRE 1275 PJ 9 DE OCTUBRE</t>
  </si>
  <si>
    <t>2026-05-04 18:02:29</t>
  </si>
  <si>
    <t>NICOLAS ANDERSON</t>
  </si>
  <si>
    <t>CHUCAS IPANAQUE</t>
  </si>
  <si>
    <t>1998-03-02</t>
  </si>
  <si>
    <t>MZ G LOTE 8 PUEBLO JOVEN VISTA ALEGRE</t>
  </si>
  <si>
    <t>2026-05-04 21:44:42</t>
  </si>
  <si>
    <t>NELSON ADRIAN</t>
  </si>
  <si>
    <t>ROJAS ESPINOZA</t>
  </si>
  <si>
    <t>2000-08-20</t>
  </si>
  <si>
    <t>MANUEL SEOANE 770</t>
  </si>
  <si>
    <t>2026-05-04 21:53:15</t>
  </si>
  <si>
    <t>RUBY ARACELY</t>
  </si>
  <si>
    <t>FARFAN CARDENAS</t>
  </si>
  <si>
    <t>rubyfarfancardenas@gmail.com</t>
  </si>
  <si>
    <t>CALLE SAN CARLOS 354 - PUEBLO JOVEN SAN ANTONIO</t>
  </si>
  <si>
    <t>2026-05-05 00:56:19</t>
  </si>
  <si>
    <t>ZETA GUEVARA</t>
  </si>
  <si>
    <t>1995-09-20</t>
  </si>
  <si>
    <t>CALLE DOS DE MAYO 402</t>
  </si>
  <si>
    <t>2026-05-05 09:57:17</t>
  </si>
  <si>
    <t>ESPERANZA</t>
  </si>
  <si>
    <t>VEGA MIRES</t>
  </si>
  <si>
    <t>1972-08-24</t>
  </si>
  <si>
    <t>CALLE LOS MERMES 248 VILLA HERMOSA</t>
  </si>
  <si>
    <t>2026-05-05 11:12:42</t>
  </si>
  <si>
    <t>CESAR</t>
  </si>
  <si>
    <t>RIMARACHIN MANAY</t>
  </si>
  <si>
    <t>1987-08-30</t>
  </si>
  <si>
    <t>SAN PEDRO 158 C.P.M. LUJAN</t>
  </si>
  <si>
    <t>2026-05-05 13:04:33</t>
  </si>
  <si>
    <t>JHONANTAN ABEL</t>
  </si>
  <si>
    <t>DIAZ CALDERON</t>
  </si>
  <si>
    <t>1989-12-09</t>
  </si>
  <si>
    <t>AV. PROLONGACIÓN PACASMAYO Nº 751 - DPTO. 507 C - URB. VILLA DEL NORTE</t>
  </si>
  <si>
    <t>2026-05-05 17:44:04</t>
  </si>
  <si>
    <t>JOSE MERCEDES</t>
  </si>
  <si>
    <t>BRAVO SANDOVAL</t>
  </si>
  <si>
    <t>insytesac.jb@gmail.com</t>
  </si>
  <si>
    <t>1974-10-13</t>
  </si>
  <si>
    <t>CALLE COLOMBIA 209 PJ EL PORVENIR CHICLAYO</t>
  </si>
  <si>
    <t>2026-05-05 18:02:11</t>
  </si>
  <si>
    <t>JOSE ARQUIMEDES</t>
  </si>
  <si>
    <t>RIVADENEYRA CHUNGA</t>
  </si>
  <si>
    <t>jrivadeneyrachunga@gmail.com</t>
  </si>
  <si>
    <t>1989-02-24</t>
  </si>
  <si>
    <t>CALLE BERNABE COBOS N° 262 PJ 9 DE OCTUBRE</t>
  </si>
  <si>
    <t>2026-05-05 18:17:12</t>
  </si>
  <si>
    <t>CHUMACERO VARGAS</t>
  </si>
  <si>
    <t>2001-04-19</t>
  </si>
  <si>
    <t>URB LA PLATA-PIMENTEL</t>
  </si>
  <si>
    <t>2026-05-05 20:15:11</t>
  </si>
  <si>
    <t>NELSON</t>
  </si>
  <si>
    <t>CHUQUIHUANCA YACSAHUANCA</t>
  </si>
  <si>
    <t>nelch1608@gmail.com</t>
  </si>
  <si>
    <t>1979-08-16</t>
  </si>
  <si>
    <t>SULLANA</t>
  </si>
  <si>
    <t>URB. PEDRO SILVA ARÉVALO MANZANA D - LOTE 11</t>
  </si>
  <si>
    <t>2026-05-05 20:23:56</t>
  </si>
  <si>
    <t>BANCES INOÑAN</t>
  </si>
  <si>
    <t>2000-04-26</t>
  </si>
  <si>
    <t>DEMETRIO ACOSTA #778 P.J. SAN MARTIN - LAMBAYEQUE</t>
  </si>
  <si>
    <t>2026-05-05 20:26:37</t>
  </si>
  <si>
    <t>SUCLUPE SANCHEZ</t>
  </si>
  <si>
    <t>1990-11-11</t>
  </si>
  <si>
    <t>CALLE. FRANCISCO BOLOGNESI Nº 120 PUEBLO JOVEN FEDERICO VILLARREAL</t>
  </si>
  <si>
    <t>2026-05-05 23:04:02</t>
  </si>
  <si>
    <t>SERQUEN ALARCON</t>
  </si>
  <si>
    <t>1991-11-27</t>
  </si>
  <si>
    <t>LLOQUE YUPANQUI 1053</t>
  </si>
  <si>
    <t>2026-05-06 02:58:06</t>
  </si>
  <si>
    <t>CABANILLAS CIEZA</t>
  </si>
  <si>
    <t>1983-08-26</t>
  </si>
  <si>
    <t>CALLAO</t>
  </si>
  <si>
    <t>PLAYA RIMAC AV RAMON CASTILLA 404</t>
  </si>
  <si>
    <t>2026-05-06 09:07:39</t>
  </si>
  <si>
    <t>FLORES MUNDACA</t>
  </si>
  <si>
    <t>1998-08-21</t>
  </si>
  <si>
    <t>MZ A3 LOTE 27 - GALILEA SOL DE LAS LOMAS - CHICLAYO</t>
  </si>
  <si>
    <t>2026-05-06 10:40:13</t>
  </si>
  <si>
    <t>TUÑOQUE SERNAQUE</t>
  </si>
  <si>
    <t>2000-01-02</t>
  </si>
  <si>
    <t>CALLE JUSTO PEREZ FIGUEROLA 206</t>
  </si>
  <si>
    <t>2026-05-06 11:00:41</t>
  </si>
  <si>
    <t>SOSA RUBIÑOS</t>
  </si>
  <si>
    <t>2001-10-26</t>
  </si>
  <si>
    <t>AV PACHACUTEC 1261</t>
  </si>
  <si>
    <t>2026-05-06 12:23:35</t>
  </si>
  <si>
    <t>YACILA ENEQUE</t>
  </si>
  <si>
    <t>1990-06-27</t>
  </si>
  <si>
    <t>ANTENOR ORREGO 814</t>
  </si>
  <si>
    <t>2026-05-06 14:59:18</t>
  </si>
  <si>
    <t>JHONATAN</t>
  </si>
  <si>
    <t>ARROYO AYALA</t>
  </si>
  <si>
    <t>1994-04-14</t>
  </si>
  <si>
    <t>URB. SOL DE LAMBAYEQUE - MZ F5 - LT 01</t>
  </si>
  <si>
    <t>2026-05-06 15:05:09</t>
  </si>
  <si>
    <t>YARLAQUE BANCES</t>
  </si>
  <si>
    <t>1976-07-02</t>
  </si>
  <si>
    <t>LOS ZAPOTES 135 DEP 303 - URB. SANTA VICTORIA - CHICLAYO</t>
  </si>
  <si>
    <t>2026-05-06 23:48:28</t>
  </si>
  <si>
    <t>SAAVEDRA CAMACHO</t>
  </si>
  <si>
    <t>CALLE ARMANDO ALVA DÍAZ #137 - URB. LAS BRISAS</t>
  </si>
  <si>
    <t>2026-05-07 03:28:18</t>
  </si>
  <si>
    <t>SAAVEDRA TINEO</t>
  </si>
  <si>
    <t>1955-12-27</t>
  </si>
  <si>
    <t>AV PANAMERICANA S/N STA ROSA</t>
  </si>
  <si>
    <t>2026-05-07 07:21:29</t>
  </si>
  <si>
    <t>TARRILLO CHICOMA</t>
  </si>
  <si>
    <t>1969-04-23</t>
  </si>
  <si>
    <t>AV. GRAN CHIMÚ 1289 LA VICTORIA - CHICLAYO</t>
  </si>
  <si>
    <t>2026-05-07 10:33:57</t>
  </si>
  <si>
    <t>CARRANZA QUINTANA</t>
  </si>
  <si>
    <t>MZ A3 LOTE 27 GALILEA SOL DE LAS LOMAS CHICLAYO</t>
  </si>
  <si>
    <t>2026-05-07 10:48:25</t>
  </si>
  <si>
    <t>ABAD SEVILLANO</t>
  </si>
  <si>
    <t>1970-08-18</t>
  </si>
  <si>
    <t>CALLE LA BETANIA 551</t>
  </si>
  <si>
    <t>2026-05-07 16:04:06</t>
  </si>
  <si>
    <t>CRUZ FLORES</t>
  </si>
  <si>
    <t>1997-11-30</t>
  </si>
  <si>
    <t>CALLE PAUL HARRIS 1275</t>
  </si>
  <si>
    <t>2026-05-07 16:05:23</t>
  </si>
  <si>
    <t>FERNANDO MIGUEL</t>
  </si>
  <si>
    <t>COTRINA IZQUIERDO</t>
  </si>
  <si>
    <t>fernandocotrina7@gmail.com</t>
  </si>
  <si>
    <t>2001-05-02</t>
  </si>
  <si>
    <t>PSJE MANUEL SILVA 132</t>
  </si>
  <si>
    <t>2026-05-07 16:29:09</t>
  </si>
  <si>
    <t>SANTISTEBAN VIDAURRE</t>
  </si>
  <si>
    <t>2003-10-24</t>
  </si>
  <si>
    <t>ASENT. H. INDOAMERICA MZ. D LT. 14</t>
  </si>
  <si>
    <t>2026-05-07 17:00:52</t>
  </si>
  <si>
    <t>SERGIO</t>
  </si>
  <si>
    <t>VASQUEZ QUIROZ</t>
  </si>
  <si>
    <t>1975-06-11</t>
  </si>
  <si>
    <t>LLACANORA</t>
  </si>
  <si>
    <t>CALLE MIGEL GRAU 198</t>
  </si>
  <si>
    <t>2026-05-07 17:41:42</t>
  </si>
  <si>
    <t>CAMPOS ANGELES</t>
  </si>
  <si>
    <t>1997-11-22</t>
  </si>
  <si>
    <t>CALLE JUSTO PEREZ FIGUEROLA 160</t>
  </si>
  <si>
    <t>2026-05-07 17:47:43</t>
  </si>
  <si>
    <t>CUBAS VALLE</t>
  </si>
  <si>
    <t>1997-11-13</t>
  </si>
  <si>
    <t>PUEBLO JOVEN LOS ROSALES MZ "D" LT "22"</t>
  </si>
  <si>
    <t>2026-05-07 20:31:37</t>
  </si>
  <si>
    <t>VIERA RUIZ</t>
  </si>
  <si>
    <t>1996-03-31</t>
  </si>
  <si>
    <t>CALLE MADRE DE DIOS N°508</t>
  </si>
  <si>
    <t>2026-05-07 20:31:47</t>
  </si>
  <si>
    <t>KARLA PATRICIA</t>
  </si>
  <si>
    <t>PALOMINO MIJAHUANCA</t>
  </si>
  <si>
    <t>palominokarla75@gmail.com</t>
  </si>
  <si>
    <t>1998-04-15</t>
  </si>
  <si>
    <t>LOS PORTALES DE LAMBAYEQUE MZ H LOTE 15</t>
  </si>
  <si>
    <t>2026-05-07 22:05:36</t>
  </si>
  <si>
    <t>1999-04-10</t>
  </si>
  <si>
    <t>CALLE MADRE DE DIOS 508</t>
  </si>
  <si>
    <t>2026-05-07 23:14:49</t>
  </si>
  <si>
    <t>SANDOVAL MOROCHO</t>
  </si>
  <si>
    <t>1992-02-22</t>
  </si>
  <si>
    <t>VEINTISEIS DE OCTUBLE</t>
  </si>
  <si>
    <t>URB MICAELA BASTIDAS MZ D LOTE 32</t>
  </si>
  <si>
    <t>2026-05-07 23:57:24</t>
  </si>
  <si>
    <t>CESAR ANTONIO</t>
  </si>
  <si>
    <t>PERALTA CHIRA</t>
  </si>
  <si>
    <t>cean110202@gmail.com</t>
  </si>
  <si>
    <t>1991-02-11</t>
  </si>
  <si>
    <t>CALLE ARICA #1315</t>
  </si>
  <si>
    <t>2026-05-08 10:09:08</t>
  </si>
  <si>
    <t>BENAVIDES CAMPOS</t>
  </si>
  <si>
    <t>1994-06-22</t>
  </si>
  <si>
    <t>CALLE LOS OBREROS MZ. B LOTE 06 - PP.JJ. JUAN PABLO PEREGRINO - CHICLAYO.</t>
  </si>
  <si>
    <t>2026-05-08 13:43:53</t>
  </si>
  <si>
    <t>ANGELES ZURITA</t>
  </si>
  <si>
    <t>1999-06-21</t>
  </si>
  <si>
    <t>PICSI</t>
  </si>
  <si>
    <t>AV. MIGUEL GRAU #494</t>
  </si>
  <si>
    <t>2026-05-08 18:32:05</t>
  </si>
  <si>
    <t>GUZMAN BRAVO</t>
  </si>
  <si>
    <t>1995-08-31</t>
  </si>
  <si>
    <t>PROLONGACIÓN PASTAZA LOTE 2 MANZANA ÚNICA -SATÉLITE</t>
  </si>
  <si>
    <t>2026-05-08 19:03:15</t>
  </si>
  <si>
    <t>CORONADO BUSTAMANTE</t>
  </si>
  <si>
    <t>1990-03-20</t>
  </si>
  <si>
    <t>MANUEL SEOANE 231</t>
  </si>
  <si>
    <t>2026-05-08 20:59:23</t>
  </si>
  <si>
    <t>CASIMIRO FERNANDEZ</t>
  </si>
  <si>
    <t>2000-02-21</t>
  </si>
  <si>
    <t>JHON F KENNEDY #340 - P.J SAN MARTIN</t>
  </si>
  <si>
    <t>2026-05-09 13:40:51</t>
  </si>
  <si>
    <t>CASTILLO OROZCO</t>
  </si>
  <si>
    <t>1998-01-01</t>
  </si>
  <si>
    <t>INCA ATAHUALPA #496 - MOTUPE</t>
  </si>
  <si>
    <t>2026-05-09 23:06:25</t>
  </si>
  <si>
    <t>VICTORIA</t>
  </si>
  <si>
    <t>CHAFLOQUE MONTENEGRO</t>
  </si>
  <si>
    <t>1983-06-26</t>
  </si>
  <si>
    <t>PACO YUNQUE N°230 UPIS CESAR VALLEJOS CHICLAYO</t>
  </si>
  <si>
    <t>2026-05-10 17:30:06</t>
  </si>
  <si>
    <t>REYES BALDEON</t>
  </si>
  <si>
    <t>1999-01-26</t>
  </si>
  <si>
    <t>CALLE MESONES MURO 442.</t>
  </si>
  <si>
    <t>2026-05-10 20:15:56</t>
  </si>
  <si>
    <t>REYES NÚÑEZ</t>
  </si>
  <si>
    <t>1991-03-24</t>
  </si>
  <si>
    <t>URB. DERRAMA MAGISTERIAL MZ I1 LOTE 8</t>
  </si>
  <si>
    <t>2026-05-11 08:31:24</t>
  </si>
  <si>
    <t>HEBERT ENRIQUE</t>
  </si>
  <si>
    <t>TEJADA ESPINOZA</t>
  </si>
  <si>
    <t>hebert.tejadaes@gmail.com</t>
  </si>
  <si>
    <t>1989-09-12</t>
  </si>
  <si>
    <t>PROLONGACIÓN PACASMAYO 751</t>
  </si>
  <si>
    <t>2026-05-11 08:53:16</t>
  </si>
  <si>
    <t>RACCHUMI CHAMBERGO</t>
  </si>
  <si>
    <t>1975-05-08</t>
  </si>
  <si>
    <t>CALLE SAN MARTIN N° 117</t>
  </si>
  <si>
    <t>2026-05-11 09:08:29</t>
  </si>
  <si>
    <t>DIEGO JOSE</t>
  </si>
  <si>
    <t>SALSACHIN SANTAMARIA</t>
  </si>
  <si>
    <t>2003-06-05</t>
  </si>
  <si>
    <t>CALLE 16 DE FEBRERO #344</t>
  </si>
  <si>
    <t>2026-05-11 09:11:57</t>
  </si>
  <si>
    <t>GIANMARCOS</t>
  </si>
  <si>
    <t>IZQUIERDO ZELADA</t>
  </si>
  <si>
    <t>1992-08-28</t>
  </si>
  <si>
    <t>LA LIBERTAD</t>
  </si>
  <si>
    <t>CHEPEN</t>
  </si>
  <si>
    <t>AV. EXEQUIEL GONZALES CÁCEDA 1231</t>
  </si>
  <si>
    <t>2026-05-11 09:19:16</t>
  </si>
  <si>
    <t>ABILDES</t>
  </si>
  <si>
    <t>DIAZ CARRANZA</t>
  </si>
  <si>
    <t>1970-06-06</t>
  </si>
  <si>
    <t>MZ. F1, LOTE 9, URB. LOS SAUCES II ETAPA</t>
  </si>
  <si>
    <t>2026-05-11 09:31:09</t>
  </si>
  <si>
    <t>GISSELLA MARGOTH</t>
  </si>
  <si>
    <t>ORTIZ DEZA</t>
  </si>
  <si>
    <t>dezagissella@gmail.com</t>
  </si>
  <si>
    <t>1990-12-29</t>
  </si>
  <si>
    <t>MZ. J-LT.8 PUEBLO JOVEN ANTONIO RAYMONDI</t>
  </si>
  <si>
    <t>2026-05-11 10:01:11</t>
  </si>
  <si>
    <t>JAIME RICARDO</t>
  </si>
  <si>
    <t>ALEJANDRIA GARCIA</t>
  </si>
  <si>
    <t>jai_911@hotmail.com</t>
  </si>
  <si>
    <t>1991-05-06</t>
  </si>
  <si>
    <t>BAGUA</t>
  </si>
  <si>
    <t>JR COMERCIO 913</t>
  </si>
  <si>
    <t>2026-05-11 10:06:11</t>
  </si>
  <si>
    <t>CARLOS ALFONSO</t>
  </si>
  <si>
    <t>LI SCARPATI</t>
  </si>
  <si>
    <t>arq.liscarpati@gmail.com</t>
  </si>
  <si>
    <t>1980-02-20</t>
  </si>
  <si>
    <t>LAS ACACIAS 166 SANTA VICTORIA</t>
  </si>
  <si>
    <t>2026-05-11 10:16:01</t>
  </si>
  <si>
    <t>JOSE EFRAIN</t>
  </si>
  <si>
    <t>PISFIL LLONTOP</t>
  </si>
  <si>
    <t>jpisfill@gmail.com</t>
  </si>
  <si>
    <t>1957-05-12</t>
  </si>
  <si>
    <t>MZ A1, LOTE 8, SEGUNDA ETAPA URB. LOS SAUCES, PIMENTEL</t>
  </si>
  <si>
    <t>Gestión Ambiental - VIRTUAL</t>
  </si>
  <si>
    <t>2026-05-11 11:08:01</t>
  </si>
  <si>
    <t>TIZNADO ASENJO</t>
  </si>
  <si>
    <t>1983-09-17</t>
  </si>
  <si>
    <t>CONDOMINIO LOS PARQUES DE SAN GABRIEL EDIFICIO N° 10- DPTO 602- URBANIZACION REMIGIO SILVA</t>
  </si>
  <si>
    <t>2026-05-11 12:02:24</t>
  </si>
  <si>
    <t>ROJAS CERNA</t>
  </si>
  <si>
    <t>1981-08-16</t>
  </si>
  <si>
    <t>URB. GARZAS DE VILLE E-24</t>
  </si>
  <si>
    <t>2026-05-11 12:41:25</t>
  </si>
  <si>
    <t>VASQUEZ VENTURA</t>
  </si>
  <si>
    <t>1993-01-16</t>
  </si>
  <si>
    <t>CALLE 28 DE JULIO MZ D LT 07 HAB. URBANA LOS PINOS - LA VICTORIA</t>
  </si>
  <si>
    <t>2026-05-11 12:50:58</t>
  </si>
  <si>
    <t>SHIRLEY GERALDINE</t>
  </si>
  <si>
    <t>TRELLES RAMIREZ</t>
  </si>
  <si>
    <t>shirleytr2023@gmail.com</t>
  </si>
  <si>
    <t>2000-07-18</t>
  </si>
  <si>
    <t>MZ D LOTE 11 URB 7 DE AGOSTO</t>
  </si>
  <si>
    <t>2026-05-11 12:51:46</t>
  </si>
  <si>
    <t>SILVA MORI</t>
  </si>
  <si>
    <t>1988-07-28</t>
  </si>
  <si>
    <t>CALLE JUDÁ MZ. G, LT. 36 - URB. MIRAFLORES II ETAPA</t>
  </si>
  <si>
    <t>2026-05-11 12:59:46</t>
  </si>
  <si>
    <t>GENARO EDINSON</t>
  </si>
  <si>
    <t>SAENZ BERNAL</t>
  </si>
  <si>
    <t>genariello@gmail.com</t>
  </si>
  <si>
    <t>1986-07-30</t>
  </si>
  <si>
    <t>LUIS OYARCE 186 URB. LA PRIMAVERA</t>
  </si>
  <si>
    <t>2026-05-11 14:10:26</t>
  </si>
  <si>
    <t>ACUÑA LLONTOP</t>
  </si>
  <si>
    <t>2000-01-18</t>
  </si>
  <si>
    <t>HERALDOS NEGROS 135</t>
  </si>
  <si>
    <t>2026-05-11 14:35:51</t>
  </si>
  <si>
    <t>SANCHEZ GONZALES</t>
  </si>
  <si>
    <t>2000-12-28</t>
  </si>
  <si>
    <t>MAYTA CAPAC 1333</t>
  </si>
  <si>
    <t>2026-05-11 15:08:46</t>
  </si>
  <si>
    <t>MOYANO MUÑOZ</t>
  </si>
  <si>
    <t>1988-01-19</t>
  </si>
  <si>
    <t>SOL DE PIMENTEL MZ C LT. 18 / GALILEA-PIMENTEL</t>
  </si>
  <si>
    <t>2026-05-11 16:02:00</t>
  </si>
  <si>
    <t>VILMA KARINY</t>
  </si>
  <si>
    <t>CAJUSOL RIVADENEIRA</t>
  </si>
  <si>
    <t>cajusolvilma972@gmail.com</t>
  </si>
  <si>
    <t>1982-02-28</t>
  </si>
  <si>
    <t>PACORA</t>
  </si>
  <si>
    <t>CALLE REVOLUCION 208 PP.JJ SANTA VICTORIA</t>
  </si>
  <si>
    <t>2026-05-11 16:25:46</t>
  </si>
  <si>
    <t>EMELI MILAGROS</t>
  </si>
  <si>
    <t>CARRASCO CARRANZA</t>
  </si>
  <si>
    <t>milagros12031996@gmail.com</t>
  </si>
  <si>
    <t>2000-10-10</t>
  </si>
  <si>
    <t>JORGE BASADRE 208</t>
  </si>
  <si>
    <t>2026-05-11 16:53:52</t>
  </si>
  <si>
    <t>HERNANDEZ MECHAN</t>
  </si>
  <si>
    <t>2000-11-26</t>
  </si>
  <si>
    <t>URB. LA FLORIDA MZ B LT 32</t>
  </si>
  <si>
    <t>2026-05-11 18:03:04</t>
  </si>
  <si>
    <t>RANGEL RIVERA</t>
  </si>
  <si>
    <t>1985-01-01</t>
  </si>
  <si>
    <t>URBANIZACION SANTA ANA MZ  O LOTE 29</t>
  </si>
  <si>
    <t>2026-05-11 18:03:10</t>
  </si>
  <si>
    <t>AVILA ACOSTA</t>
  </si>
  <si>
    <t>1995-04-25</t>
  </si>
  <si>
    <t>LURIN</t>
  </si>
  <si>
    <t>JIRON 28 DE JULIO CUADRA 01 S/N</t>
  </si>
  <si>
    <t>2026-05-11 18:53:44</t>
  </si>
  <si>
    <t>ZURITA CERVERA</t>
  </si>
  <si>
    <t>1980-05-22</t>
  </si>
  <si>
    <t>AV. MANUEL SEOANE 660</t>
  </si>
  <si>
    <t>2026-05-11 20:09:37</t>
  </si>
  <si>
    <t>DELVIS</t>
  </si>
  <si>
    <t>SANCHEZ DIAZ</t>
  </si>
  <si>
    <t>2000-07-12</t>
  </si>
  <si>
    <t>CALLE E GARCÍA Y GARCÍA LAMBAYEQUE 14013</t>
  </si>
  <si>
    <t>2026-05-11 22:25:25</t>
  </si>
  <si>
    <t>SILVA CHIRINOS</t>
  </si>
  <si>
    <t>1991-07-24</t>
  </si>
  <si>
    <t>CALLE MIGUEL PASCO 301</t>
  </si>
  <si>
    <t>2026-05-11 22:34:12</t>
  </si>
  <si>
    <t>CHOZO SANTISTEBAN</t>
  </si>
  <si>
    <t>2003-06-28</t>
  </si>
  <si>
    <t>EL PADRE</t>
  </si>
  <si>
    <t>2026-05-12 00:10:17</t>
  </si>
  <si>
    <t>ALARCON OLANO</t>
  </si>
  <si>
    <t>1999-05-15</t>
  </si>
  <si>
    <t>ROOSEVELT 1897</t>
  </si>
  <si>
    <t>2026-05-12 06:07:04</t>
  </si>
  <si>
    <t>WILVER</t>
  </si>
  <si>
    <t>MORALES CESPEDES</t>
  </si>
  <si>
    <t>1968-06-09</t>
  </si>
  <si>
    <t>JIRON TAYABAMBA 291</t>
  </si>
  <si>
    <t>2026-05-12 09:00:28</t>
  </si>
  <si>
    <t>DIAZ DELGADO</t>
  </si>
  <si>
    <t>1986-10-25</t>
  </si>
  <si>
    <t>CALLE DEMOCRACIA 920- URB. SAN CARLOS- SOJE LEONARDO ORTIZ</t>
  </si>
  <si>
    <t>2026-05-12 09:28:34</t>
  </si>
  <si>
    <t>MONTALVAN VELIZ</t>
  </si>
  <si>
    <t>1994-07-21</t>
  </si>
  <si>
    <t>CALLE MIGUEL GRAU 850 PJOVEN FEDERICO VILLARREAL</t>
  </si>
  <si>
    <t>2026-05-12 10:35:03</t>
  </si>
  <si>
    <t>CAMASCA GUERRERO</t>
  </si>
  <si>
    <t>1984-11-14</t>
  </si>
  <si>
    <t>CALLE TARAPACA 234</t>
  </si>
  <si>
    <t>2026-05-12 11:24:41</t>
  </si>
  <si>
    <t>AQUILES</t>
  </si>
  <si>
    <t>SAAVEDRA RUIZ</t>
  </si>
  <si>
    <t>1989-12-15</t>
  </si>
  <si>
    <t>CENTRO POBLADO EL CHORRO - S/N POMALCA</t>
  </si>
  <si>
    <t>2026-05-12 11:35:55</t>
  </si>
  <si>
    <t>ENRIQUE MARTIN</t>
  </si>
  <si>
    <t>CARRASCO TORRES</t>
  </si>
  <si>
    <t>emct.2000.27@gmail.com</t>
  </si>
  <si>
    <t>1981-02-27</t>
  </si>
  <si>
    <t>NICANOR CARMONA  N° 890</t>
  </si>
  <si>
    <t>2026-05-12 11:46:37</t>
  </si>
  <si>
    <t>FERNANDEZ RODRIGUEZ</t>
  </si>
  <si>
    <t>1990-11-26</t>
  </si>
  <si>
    <t>MIGUEL PASCO 301</t>
  </si>
  <si>
    <t>2026-05-12 12:23:44</t>
  </si>
  <si>
    <t>SANCHEZ BERNILLA</t>
  </si>
  <si>
    <t>1998-03-07</t>
  </si>
  <si>
    <t>URB. LAS DUNAS MZ. E L-04</t>
  </si>
  <si>
    <t>2026-05-12 12:39:56</t>
  </si>
  <si>
    <t>RAMOS VASQUEZ</t>
  </si>
  <si>
    <t>1977-04-30</t>
  </si>
  <si>
    <t>U.V. - INDOAMERICA MZ. D LT.2B</t>
  </si>
  <si>
    <t>2026-05-12 12:43:36</t>
  </si>
  <si>
    <t>CARLOS JOHANN</t>
  </si>
  <si>
    <t>PALACIOS MARIÑO</t>
  </si>
  <si>
    <t>cpalaciosma@unprg.edu.pe</t>
  </si>
  <si>
    <t>1981-10-12</t>
  </si>
  <si>
    <t>AV. PACHACUTEC MZ. 03 LOTE 12, URB. STA. ROSA PNP, LA VICTORIA - CHICLAYO, LAMBAYEQUE</t>
  </si>
  <si>
    <t>2026-05-12 13:48:24</t>
  </si>
  <si>
    <t>LIZANO SILVA</t>
  </si>
  <si>
    <t>1997-03-18</t>
  </si>
  <si>
    <t>AV PERU - FRANCIA MZ A1 LT 1</t>
  </si>
  <si>
    <t>2026-05-12 14:05:18</t>
  </si>
  <si>
    <t>GUZMAN DIAZ</t>
  </si>
  <si>
    <t>1979-11-08</t>
  </si>
  <si>
    <t>URBANIZACION SAN JOSE CALLE 3 # 1509</t>
  </si>
  <si>
    <t>2026-05-12 14:09:22</t>
  </si>
  <si>
    <t>FLORES MAQUEN</t>
  </si>
  <si>
    <t>1974-09-27</t>
  </si>
  <si>
    <t>LAS ESMERALDAS 1579</t>
  </si>
  <si>
    <t>2026-05-12 14:12:11</t>
  </si>
  <si>
    <t>CALVAY ORTIZ</t>
  </si>
  <si>
    <t>1963-10-19</t>
  </si>
  <si>
    <t>AV. ELVIRA GARCIA GARCIA 920- DPTO 303 URB. PATAZCA - CHICLAYO</t>
  </si>
  <si>
    <t>2026-05-12 14:29:12</t>
  </si>
  <si>
    <t>ALEXANDER</t>
  </si>
  <si>
    <t>BECERRA DIAZ</t>
  </si>
  <si>
    <t>1998-11-17</t>
  </si>
  <si>
    <t>CHONTALI</t>
  </si>
  <si>
    <t>CASERIO LA LIBERTAD</t>
  </si>
  <si>
    <t>2026-05-12 14:33:12</t>
  </si>
  <si>
    <t>JUAREZ VIDALON</t>
  </si>
  <si>
    <t>1980-12-08</t>
  </si>
  <si>
    <t>PASAJE GARCILAZO DE LA VEGA 175 PJ MURO</t>
  </si>
  <si>
    <t>2026-05-12 14:56:54</t>
  </si>
  <si>
    <t>ELMER</t>
  </si>
  <si>
    <t>MEJIA NUÑEZ</t>
  </si>
  <si>
    <t>1979-04-14</t>
  </si>
  <si>
    <t>MZ A LOTE 11 URBANIZACION VISTA ALEGRE -I ETAPA</t>
  </si>
  <si>
    <t>2026-05-12 16:22:02</t>
  </si>
  <si>
    <t>CHUMIOQUE CHARCAPE</t>
  </si>
  <si>
    <t>2000-08-04</t>
  </si>
  <si>
    <t>ANCASH</t>
  </si>
  <si>
    <t>CHIMBOTE</t>
  </si>
  <si>
    <t>JR. SAN MARTIN 568 MIRAFLORES ALTO 568</t>
  </si>
  <si>
    <t>2026-05-12 16:34:46</t>
  </si>
  <si>
    <t>ELIANNY GUADALUPE</t>
  </si>
  <si>
    <t>LEIVA MOTA</t>
  </si>
  <si>
    <t>eliannyleiva2004@gmail.com</t>
  </si>
  <si>
    <t>2000-08-24</t>
  </si>
  <si>
    <t>AV SANTA VICTORIA N°673</t>
  </si>
  <si>
    <t>2026-05-12 17:30:41</t>
  </si>
  <si>
    <t>MAURICIO ALEJANDRO</t>
  </si>
  <si>
    <t>CASTILLO SORIANO</t>
  </si>
  <si>
    <t>macs_05_08@hotmail.com</t>
  </si>
  <si>
    <t>1988-08-14</t>
  </si>
  <si>
    <t>CASTILLA</t>
  </si>
  <si>
    <t>MZ. L LOTE 4 - 1RA ETAPA URB. MONTEVERDE</t>
  </si>
  <si>
    <t>Ciencias con mención en Ingeniería de Procesos Industriales</t>
  </si>
  <si>
    <t>2026-05-12 18:00:55</t>
  </si>
  <si>
    <t>VALDIVIEZO CARHUAPOMA</t>
  </si>
  <si>
    <t>1997-08-23</t>
  </si>
  <si>
    <t>CASERÍO CÁTALA</t>
  </si>
  <si>
    <t>2026-05-12 18:14:08</t>
  </si>
  <si>
    <t>GLEDI SOLIS</t>
  </si>
  <si>
    <t>MIRES VASQUEZ</t>
  </si>
  <si>
    <t>solismires@hotmail.com</t>
  </si>
  <si>
    <t>1983-07-28</t>
  </si>
  <si>
    <t>CALLE NICOLAS GUTIERREZ N°217 URB. SANTA MARIA II-  JAEN</t>
  </si>
  <si>
    <t>2026-05-12 18:23:55</t>
  </si>
  <si>
    <t>GUTIERREZ BALTAZAR</t>
  </si>
  <si>
    <t>2000-10-01</t>
  </si>
  <si>
    <t>AA. HH. NUEVO EDEN MZ. B LT. 5</t>
  </si>
  <si>
    <t>2026-05-12 19:03:34</t>
  </si>
  <si>
    <t>ALDANA ELERA</t>
  </si>
  <si>
    <t>1979-02-02</t>
  </si>
  <si>
    <t>CALLE 14 MZ B10 LOTE 5, URB. SOL DE PIURA</t>
  </si>
  <si>
    <t>2026-05-12 19:05:27</t>
  </si>
  <si>
    <t>SCHWARTZ AGUILAR</t>
  </si>
  <si>
    <t>1968-08-22</t>
  </si>
  <si>
    <t>CALLE EL CARMEN 477 URB. SANTA ROSA</t>
  </si>
  <si>
    <t>2026-05-12 19:09:15</t>
  </si>
  <si>
    <t>DENNY JESUS</t>
  </si>
  <si>
    <t>GASTELO MESONES</t>
  </si>
  <si>
    <t>1991-12-25</t>
  </si>
  <si>
    <t>TARAPACÁ 435 - CAMPODÓNICO</t>
  </si>
  <si>
    <t>2026-05-12 19:38:18</t>
  </si>
  <si>
    <t>REQUEJO LLATAS</t>
  </si>
  <si>
    <t>1989-10-02</t>
  </si>
  <si>
    <t>LOS DIAMANTES 145</t>
  </si>
  <si>
    <t>2026-05-12 20:39:46</t>
  </si>
  <si>
    <t>ROJAS MORENO</t>
  </si>
  <si>
    <t>1988-12-26</t>
  </si>
  <si>
    <t>CALLE LAMBAYEQUE #860 P.J SANTA ROSA</t>
  </si>
  <si>
    <t>2026-05-12 20:39:49</t>
  </si>
  <si>
    <t>SAAVEDRA ECHEVERRE</t>
  </si>
  <si>
    <t>2000-05-12</t>
  </si>
  <si>
    <t>CALLE MACHU PICCHU N°1129</t>
  </si>
  <si>
    <t>2026-05-12 21:46:48</t>
  </si>
  <si>
    <t>DE LA CRUZ ALEGRE</t>
  </si>
  <si>
    <t>2003-04-08</t>
  </si>
  <si>
    <t>NUEVO CHIMBOTE</t>
  </si>
  <si>
    <t>PRIMERO DE MAYO JR CUSCO MZ-G LT-4</t>
  </si>
  <si>
    <t>2026-05-12 22:02:16</t>
  </si>
  <si>
    <t>VELASQUEZ SAAVEDRA</t>
  </si>
  <si>
    <t>1973-08-22</t>
  </si>
  <si>
    <t>CONDOMINIOS LOS PARQUES DE SAN GABRIEL - DPTO.501- TORRE 31</t>
  </si>
  <si>
    <t>2026-05-12 22:23:26</t>
  </si>
  <si>
    <t>ROSA ESTELA</t>
  </si>
  <si>
    <t>GONZALES ZAPATA</t>
  </si>
  <si>
    <t>1990-02-22</t>
  </si>
  <si>
    <t>CALLE SAN MARTIN N° 600</t>
  </si>
  <si>
    <t>2026-05-12 23:15:06</t>
  </si>
  <si>
    <t>PERCY EDWAR</t>
  </si>
  <si>
    <t>NIÑO VASQUEZ</t>
  </si>
  <si>
    <t>percynv@gmail.com</t>
  </si>
  <si>
    <t>1977-12-16</t>
  </si>
  <si>
    <t>URB VILLA DEL NORTE, MZ H LOTE 9 EDIF. B DPTO 201</t>
  </si>
  <si>
    <t>2026-05-12 23:43:08</t>
  </si>
  <si>
    <t>ARCE GARCIA</t>
  </si>
  <si>
    <t>1995-10-25</t>
  </si>
  <si>
    <t>SANTA CRUZ</t>
  </si>
  <si>
    <t>JIRON SANTA ROSA 310</t>
  </si>
  <si>
    <t>2026-05-13 00:11:59</t>
  </si>
  <si>
    <t>AREVALO CORONEL</t>
  </si>
  <si>
    <t>1985-06-05</t>
  </si>
  <si>
    <t>CA. WIRACOCHA N° 667-2DO PISO</t>
  </si>
  <si>
    <t>2026-05-13 01:08:04</t>
  </si>
  <si>
    <t>YNOÑAN CHAVARRIA</t>
  </si>
  <si>
    <t>1993-10-30</t>
  </si>
  <si>
    <t>ATAHUALPA 1025</t>
  </si>
  <si>
    <t>2026-05-13 02:43:27</t>
  </si>
  <si>
    <t>MUSAYON MARTELL</t>
  </si>
  <si>
    <t>1997-04-02</t>
  </si>
  <si>
    <t>AVENIDA LOS INCAS 191-193 CONDOMINIO ALAMEDA LOS INKAS BLOCK C 308</t>
  </si>
  <si>
    <t>2026-05-13 07:18:03</t>
  </si>
  <si>
    <t>CORNEJO CHIRINOS</t>
  </si>
  <si>
    <t>1996-04-22</t>
  </si>
  <si>
    <t>AV. MIGUEL GRA N°647-URB. SANTA VICTORIA-CHICLAYO</t>
  </si>
  <si>
    <t>2026-05-13 09:09:30</t>
  </si>
  <si>
    <t>CHICOMA RAMIREZ</t>
  </si>
  <si>
    <t>1999-09-15</t>
  </si>
  <si>
    <t>CA. EMILIANO NIÑO</t>
  </si>
  <si>
    <t>2026-05-13 09:42:19</t>
  </si>
  <si>
    <t>ASALDE YUPTON</t>
  </si>
  <si>
    <t>1986-05-02</t>
  </si>
  <si>
    <t>BACA MATTOS 602 - URBANZACION MIRAFLORES</t>
  </si>
  <si>
    <t>2026-05-13 09:46:14</t>
  </si>
  <si>
    <t>GIANNINA</t>
  </si>
  <si>
    <t>DEL AGUILA SABOYA</t>
  </si>
  <si>
    <t>1992-08-02</t>
  </si>
  <si>
    <t>LOS ROSALES 421, PIMENTEL</t>
  </si>
  <si>
    <t>2026-05-13 09:50:08</t>
  </si>
  <si>
    <t>ULISES PEDRO</t>
  </si>
  <si>
    <t>HUAROTO SILVA</t>
  </si>
  <si>
    <t>uhuaroto@unprg.edu.pe</t>
  </si>
  <si>
    <t>1984-11-04</t>
  </si>
  <si>
    <t>PASAJE DANIEL ALCIDES CARRION 260</t>
  </si>
  <si>
    <t>2026-05-13 09:50:40</t>
  </si>
  <si>
    <t>QUIROZ VILLALOBOS</t>
  </si>
  <si>
    <t>1972-06-05</t>
  </si>
  <si>
    <t>URB. MONTERRICO II, MZ C, LOTE 4</t>
  </si>
  <si>
    <t>2026-05-13 10:01:40</t>
  </si>
  <si>
    <t>REYES CIGUEÑAS</t>
  </si>
  <si>
    <t>1980-09-06</t>
  </si>
  <si>
    <t>MANUEL MARÍA IZAGA 629 - MONSEFÚ</t>
  </si>
  <si>
    <t>2026-05-13 10:03:29</t>
  </si>
  <si>
    <t>LIZARZABURU GUTIERREZ</t>
  </si>
  <si>
    <t>2000-04-03</t>
  </si>
  <si>
    <t>CALLE LAS OSTRAS 27</t>
  </si>
  <si>
    <t>2026-05-13 10:12:58</t>
  </si>
  <si>
    <t>ALTAMIRANO CUSMA</t>
  </si>
  <si>
    <t>2003-04-14</t>
  </si>
  <si>
    <t>PUERTAS DEL SOL GALILEA MZ H LOTE 06</t>
  </si>
  <si>
    <t>2026-05-13 10:25:14</t>
  </si>
  <si>
    <t>BUSTAMANTE AQUINO</t>
  </si>
  <si>
    <t>1986-06-02</t>
  </si>
  <si>
    <t>CALLE 28 DE JULIO # 366</t>
  </si>
  <si>
    <t>2026-05-13 10:45:03</t>
  </si>
  <si>
    <t>MARTINEZ FERNANDEZ</t>
  </si>
  <si>
    <t>URB. CARMEN ANGELICA MZ. A LT 16</t>
  </si>
  <si>
    <t>2026-05-13 11:00:06</t>
  </si>
  <si>
    <t>ESCALANTE MEDINA</t>
  </si>
  <si>
    <t>1982-10-07</t>
  </si>
  <si>
    <t>CALLE LOS TULIPANES N°280 URB. LOS PARQUES</t>
  </si>
  <si>
    <t>2026-05-13 11:02:26</t>
  </si>
  <si>
    <t>ROMER JOHNSON</t>
  </si>
  <si>
    <t>SAMAME SANCHEZ</t>
  </si>
  <si>
    <t>romersamame@gmail.com</t>
  </si>
  <si>
    <t>1987-08-25</t>
  </si>
  <si>
    <t>CALLE SAN MARTIN 1560-JAEN</t>
  </si>
  <si>
    <t>2026-05-13 11:02:31</t>
  </si>
  <si>
    <t>2000-03-10</t>
  </si>
  <si>
    <t>AVENIDA LOS INCAS 191, CONDOMINIO ALAMEDA LOS INCAS, BLOCK C - 308</t>
  </si>
  <si>
    <t>2026-05-13 11:03:16</t>
  </si>
  <si>
    <t>EFFIO BUSTAMANTE</t>
  </si>
  <si>
    <t>1994-04-16</t>
  </si>
  <si>
    <t>CA. ANDRES AVELINO CACEREZ 859. URB. DIEGO FERRE</t>
  </si>
  <si>
    <t>2026-05-13 11:12:04</t>
  </si>
  <si>
    <t>PAIVA CHERO</t>
  </si>
  <si>
    <t>1980-08-30</t>
  </si>
  <si>
    <t>PSJE. SAN MARTIN N°506</t>
  </si>
  <si>
    <t>2026-05-13 11:13:16</t>
  </si>
  <si>
    <t>STEPHANIE FIORELLA</t>
  </si>
  <si>
    <t>MONTERROSO PEREZ</t>
  </si>
  <si>
    <t>stephaniemonterrosoperez@gmail.com</t>
  </si>
  <si>
    <t>1991-11-01</t>
  </si>
  <si>
    <t>CA. LOS MANGOS N° 46 BATANGRANDE</t>
  </si>
  <si>
    <t>2026-05-13 11:14:47</t>
  </si>
  <si>
    <t>ROYNER ADERSON</t>
  </si>
  <si>
    <t>DIAZ FERNANDEZ</t>
  </si>
  <si>
    <t>2026-05-13 12:25:42</t>
  </si>
  <si>
    <t>VANESSA DEL PILAR</t>
  </si>
  <si>
    <t>SAMAME LUCERO</t>
  </si>
  <si>
    <t>vanesamamelucero@gmail.com</t>
  </si>
  <si>
    <t>1984-03-23</t>
  </si>
  <si>
    <t>MANGLARES 125, URB. FEDERICO VILLARREAL</t>
  </si>
  <si>
    <t>2026-05-13 12:33:04</t>
  </si>
  <si>
    <t>ISABEL</t>
  </si>
  <si>
    <t>GARCIA CORDOVA</t>
  </si>
  <si>
    <t>chavellycordova@gmail.com</t>
  </si>
  <si>
    <t>1996-09-11</t>
  </si>
  <si>
    <t>JR CUZCO 217 - SAN IGNACIO</t>
  </si>
  <si>
    <t>2026-05-13 12:37:30</t>
  </si>
  <si>
    <t>VASQUEZ VERA</t>
  </si>
  <si>
    <t>2000-07-03</t>
  </si>
  <si>
    <t>CALLE SANTA LUCÍA MZ A1 LOTE 1 URB. LA PURÍSIMA</t>
  </si>
  <si>
    <t>2026-05-13 12:46:33</t>
  </si>
  <si>
    <t>EINSTEN YORDI</t>
  </si>
  <si>
    <t>PALOMINO IZQUIERDO</t>
  </si>
  <si>
    <t>1997-02-11</t>
  </si>
  <si>
    <t>YAUYUCAN</t>
  </si>
  <si>
    <t>AVENIDA PERÚ N° S/N, MZ - LTE -, KM -, - CIUDAD DE YAUYUCÁN - REF</t>
  </si>
  <si>
    <t>2026-05-13 13:22:32</t>
  </si>
  <si>
    <t>GIPSON GEANCARLO</t>
  </si>
  <si>
    <t>PEREZ FERNANDEZ</t>
  </si>
  <si>
    <t>1998-02-17</t>
  </si>
  <si>
    <t>SAN MARTIN</t>
  </si>
  <si>
    <t>MOYOBAMBA</t>
  </si>
  <si>
    <t>JR. DOS DE MAYO Nº837</t>
  </si>
  <si>
    <t>2026-05-13 13:42:26</t>
  </si>
  <si>
    <t>CESPEDES RINZA</t>
  </si>
  <si>
    <t>1996-11-14</t>
  </si>
  <si>
    <t>AV. LUIS ABELARDO TAKAHASHI 669</t>
  </si>
  <si>
    <t>2026-05-13 13:47:12</t>
  </si>
  <si>
    <t>MERLO JAVE</t>
  </si>
  <si>
    <t>1996-12-29</t>
  </si>
  <si>
    <t>ROOSVELT 1406 URRUNAGA</t>
  </si>
  <si>
    <t>2026-05-13 14:14:54</t>
  </si>
  <si>
    <t>CABREJOS SAHUMA</t>
  </si>
  <si>
    <t>2002-05-07</t>
  </si>
  <si>
    <t>CALLE MAYNAS #218 URB. PATAZCA</t>
  </si>
  <si>
    <t>2026-05-13 14:18:07</t>
  </si>
  <si>
    <t>JOSE GABRIEL</t>
  </si>
  <si>
    <t>GUEVARA RODRIGUEZ</t>
  </si>
  <si>
    <t>jrodrick_2@hotmail.com</t>
  </si>
  <si>
    <t>1989-05-05</t>
  </si>
  <si>
    <t>CALLE PANAMERICANA 301</t>
  </si>
  <si>
    <t>2026-05-13 14:18:38</t>
  </si>
  <si>
    <t>VILLALOBOS ELERA</t>
  </si>
  <si>
    <t>1996-04-02</t>
  </si>
  <si>
    <t>LAS CUCARDAS 270 - LOPEZ ALBUJAR</t>
  </si>
  <si>
    <t>2026-05-13 14:36:37</t>
  </si>
  <si>
    <t>ROQUE RINZA</t>
  </si>
  <si>
    <t>1988-09-23</t>
  </si>
  <si>
    <t>CALLE CESAR VALLEJO MZ Q1 LT 24</t>
  </si>
  <si>
    <t>2026-05-13 14:52:05</t>
  </si>
  <si>
    <t>EDSON DENILSON</t>
  </si>
  <si>
    <t>DIAZ SANDOVAL</t>
  </si>
  <si>
    <t>1997-04-25</t>
  </si>
  <si>
    <t>CALLES LAS DALIAS N°263, PUEBLO JOVEN MILAGRO DE DIOS</t>
  </si>
  <si>
    <t>2026-05-13 15:02:53</t>
  </si>
  <si>
    <t>SANTOS CHAPOÑAN</t>
  </si>
  <si>
    <t>1999-10-31</t>
  </si>
  <si>
    <t>CASERIO HUAMANTANGA</t>
  </si>
  <si>
    <t>2026-05-13 15:10:29</t>
  </si>
  <si>
    <t>INOÑAN VIDAURRE</t>
  </si>
  <si>
    <t>1990-06-24</t>
  </si>
  <si>
    <t>CALLE SAN NTONIO N° 123</t>
  </si>
  <si>
    <t>2026-05-13 15:51:04</t>
  </si>
  <si>
    <t>ARELLANO SANCHEZ</t>
  </si>
  <si>
    <t>1985-02-15</t>
  </si>
  <si>
    <t>CALLE ANTONIO MONSALVE BACA #244-PJ SANTA ROSA</t>
  </si>
  <si>
    <t>2026-05-13 15:54:23</t>
  </si>
  <si>
    <t>LABURIANO VASQUEZ</t>
  </si>
  <si>
    <t>1994-02-17</t>
  </si>
  <si>
    <t>PPJJ SANTO TORIBIO DE MOGROVEJO MZA Q LOTE 15</t>
  </si>
  <si>
    <t>2026-05-13 16:48:22</t>
  </si>
  <si>
    <t>REGALADO GONZALES</t>
  </si>
  <si>
    <t>1974-10-01</t>
  </si>
  <si>
    <t>MZ H LOTE 20 URB. LOS ALAMOS LA VICTORIA</t>
  </si>
  <si>
    <t>2026-05-13 16:55:58</t>
  </si>
  <si>
    <t>PERALES CASTILLO</t>
  </si>
  <si>
    <t>1997-04-29</t>
  </si>
  <si>
    <t>AVENIDA UNIVERSIDAD DE LIMA Y PASAJE SAN AGUSTIN MZ. M LT 5</t>
  </si>
  <si>
    <t>2026-05-13 16:57:14</t>
  </si>
  <si>
    <t>JERALDINE DEL CARMEN</t>
  </si>
  <si>
    <t>REYES LLONTOP</t>
  </si>
  <si>
    <t>jeraldinereyesllontop@gmail.com</t>
  </si>
  <si>
    <t>1993-08-17</t>
  </si>
  <si>
    <t>MIGUEL GRAU 435</t>
  </si>
  <si>
    <t>2026-05-13 17:25:57</t>
  </si>
  <si>
    <t>GUERREROS SALAZAR</t>
  </si>
  <si>
    <t>1996-03-09</t>
  </si>
  <si>
    <t>INDEPENDENCIA 725</t>
  </si>
  <si>
    <t>2026-05-13 18:11:04</t>
  </si>
  <si>
    <t>INOÑAN BANCES</t>
  </si>
  <si>
    <t>1993-06-19</t>
  </si>
  <si>
    <t>AV. SAN JOSE N°206 C.P. LA COLORADA - MORROPE</t>
  </si>
  <si>
    <t>2026-05-13 18:52:06</t>
  </si>
  <si>
    <t>KLEIDI ELIANA</t>
  </si>
  <si>
    <t>DELGADO VASQUEZ</t>
  </si>
  <si>
    <t>KLEIDI.DELGADO14@GMAIL.COM</t>
  </si>
  <si>
    <t>1998-04-14</t>
  </si>
  <si>
    <t>CALLE JOSÉ OLAYA MZ Z, LT 15</t>
  </si>
  <si>
    <t>2026-05-13 19:07:47</t>
  </si>
  <si>
    <t>REGALADO ROJAS</t>
  </si>
  <si>
    <t>1998-09-12</t>
  </si>
  <si>
    <t>SECTOR C</t>
  </si>
  <si>
    <t>2026-05-13 19:11:52</t>
  </si>
  <si>
    <t>DIANA MABEL</t>
  </si>
  <si>
    <t>BANCES GUEVARA</t>
  </si>
  <si>
    <t>dmbg092601@gmail.com</t>
  </si>
  <si>
    <t>2001-09-26</t>
  </si>
  <si>
    <t>CASERIO TRAPICHE BRONCE</t>
  </si>
  <si>
    <t>2026-05-13 19:41:32</t>
  </si>
  <si>
    <t>JULIO CESAR</t>
  </si>
  <si>
    <t>CAMPOS VASQUEZ</t>
  </si>
  <si>
    <t>jcesar.campos23v@gmail.com</t>
  </si>
  <si>
    <t>1980-09-21</t>
  </si>
  <si>
    <t>CALLE MESONES MURO S/N</t>
  </si>
  <si>
    <t>2026-05-13 20:04:01</t>
  </si>
  <si>
    <t>JUANITA ZADETH</t>
  </si>
  <si>
    <t>MONTENEGRO VILLEGAS</t>
  </si>
  <si>
    <t>zadeth4@gmail.com</t>
  </si>
  <si>
    <t>1993-09-04</t>
  </si>
  <si>
    <t>LOS QUIPUS 1742</t>
  </si>
  <si>
    <t>2026-05-13 20:09:00</t>
  </si>
  <si>
    <t>VICTOR RAUL</t>
  </si>
  <si>
    <t>CARUANAMBO CORTEZ</t>
  </si>
  <si>
    <t>1991-07-07</t>
  </si>
  <si>
    <t>ENCAÑADA</t>
  </si>
  <si>
    <t>JR CAJAMARCA SN</t>
  </si>
  <si>
    <t>2026-05-13 20:09:50</t>
  </si>
  <si>
    <t>JIMMY JENRRY</t>
  </si>
  <si>
    <t>CUSTODIO ARBULU</t>
  </si>
  <si>
    <t>jcustodio@cajapiura.pe</t>
  </si>
  <si>
    <t>1981-08-01</t>
  </si>
  <si>
    <t>CA. LOS NARANJOS 431 P.J. NUEVE DE OCTUBRE</t>
  </si>
  <si>
    <t>2026-05-13 20:15:59</t>
  </si>
  <si>
    <t>GUEVARA PORTILLO</t>
  </si>
  <si>
    <t>1995-07-13</t>
  </si>
  <si>
    <t>CALLE LOS PETALOS 299 - URB. CARLOS STEIN</t>
  </si>
  <si>
    <t>2026-05-13 20:44:18</t>
  </si>
  <si>
    <t>CAUTI QUILCARO</t>
  </si>
  <si>
    <t>1995-12-15</t>
  </si>
  <si>
    <t>AYACUCHO</t>
  </si>
  <si>
    <t>HUAMANGA</t>
  </si>
  <si>
    <t>AV. INDEPENDENCIA URB. LUIS CARRANZA MZ A LT 9</t>
  </si>
  <si>
    <t>2026-05-13 21:02:21</t>
  </si>
  <si>
    <t>OJEDA CAPUÑAY</t>
  </si>
  <si>
    <t>1998-04-03</t>
  </si>
  <si>
    <t>TUPAC AMARU #300 - P.J. SANTA ROSA</t>
  </si>
  <si>
    <t>2026-05-13 21:02:39</t>
  </si>
  <si>
    <t>ESPINOZA ARBULU</t>
  </si>
  <si>
    <t>1988-08-06</t>
  </si>
  <si>
    <t>PASAJE CHINO #158. 1ERA CUADRA 7 DE ENERO -CHICLAYO</t>
  </si>
  <si>
    <t>2026-05-13 21:15:12</t>
  </si>
  <si>
    <t>OLIVER</t>
  </si>
  <si>
    <t>VENTURA ATALAYA</t>
  </si>
  <si>
    <t>1998-12-30</t>
  </si>
  <si>
    <t>PACASMAYO</t>
  </si>
  <si>
    <t>GUADALUPE</t>
  </si>
  <si>
    <t>CL VICTOR RAUL 191 BARRIO SAN AGUSTIN</t>
  </si>
  <si>
    <t>2026-05-13 21:17:07</t>
  </si>
  <si>
    <t>GONZALES LIZANA</t>
  </si>
  <si>
    <t>1994-05-10</t>
  </si>
  <si>
    <t>AVENIDA MEXICO 3564</t>
  </si>
  <si>
    <t>2026-05-13 21:27:28</t>
  </si>
  <si>
    <t>JESSY</t>
  </si>
  <si>
    <t>SOLANO HURTADO</t>
  </si>
  <si>
    <t>1974-08-15</t>
  </si>
  <si>
    <t>1080 AV. MIGUEL GRAU 1080</t>
  </si>
  <si>
    <t>2026-05-13 21:29:09</t>
  </si>
  <si>
    <t>CORONEL GARCIA</t>
  </si>
  <si>
    <t>1989-07-16</t>
  </si>
  <si>
    <t>CALLE LAS TUNAS 128 PUEBLO JOVEN LOS OLIVOS</t>
  </si>
  <si>
    <t>2026-05-13 22:15:20</t>
  </si>
  <si>
    <t>GALAN SALAZAR</t>
  </si>
  <si>
    <t>1993-05-09</t>
  </si>
  <si>
    <t>AVENIDA 9 DE OCTUBRE 1287 - PUEBLO JOVEN 9 DE OCTUBRE</t>
  </si>
  <si>
    <t>2026-05-13 22:27:21</t>
  </si>
  <si>
    <t>VILCHERRES ORTIZ</t>
  </si>
  <si>
    <t>1990-09-18</t>
  </si>
  <si>
    <t>AV. PEDRO CIEZA DE LEON 512. URB. LAS BRISAS</t>
  </si>
  <si>
    <t>2026-05-13 22:56:57</t>
  </si>
  <si>
    <t>CIEZA GAMONAL</t>
  </si>
  <si>
    <t>1998-11-19</t>
  </si>
  <si>
    <t>AV. HUMBOLDT Y SAN CARLOS N°364</t>
  </si>
  <si>
    <t>2026-05-14 02:23:47</t>
  </si>
  <si>
    <t>SHARON</t>
  </si>
  <si>
    <t>GOMEZ VALENCIA</t>
  </si>
  <si>
    <t>brithanysh@gmail.com</t>
  </si>
  <si>
    <t>1983-01-07</t>
  </si>
  <si>
    <t>AV. ELVIRA GARCIA Y GARCIA 165A URB. LOS PARQUES- CHICLAYO</t>
  </si>
  <si>
    <t>2026-05-14 08:33:52</t>
  </si>
  <si>
    <t>ROMARIO BRAYAR</t>
  </si>
  <si>
    <t>LLONTOP VENTURA</t>
  </si>
  <si>
    <t>bllontopv@unprg.edu.pe</t>
  </si>
  <si>
    <t>1998-12-21</t>
  </si>
  <si>
    <t>CALLE MARISCAL CASTILLA 141</t>
  </si>
  <si>
    <t>2026-05-14 09:24:09</t>
  </si>
  <si>
    <t>DANTE ARLYN</t>
  </si>
  <si>
    <t>GONZALES SANCHEZ</t>
  </si>
  <si>
    <t>danteagonzaless@gmail.com</t>
  </si>
  <si>
    <t>1977-06-28</t>
  </si>
  <si>
    <t>JR GREGORIO MALCA #884</t>
  </si>
  <si>
    <t>2026-05-14 09:26:30</t>
  </si>
  <si>
    <t>CARLOS FERNANDO</t>
  </si>
  <si>
    <t>ROJAS MEDINA</t>
  </si>
  <si>
    <t>CROJASM@UNPRG.EDU.PE</t>
  </si>
  <si>
    <t>1997-10-23</t>
  </si>
  <si>
    <t>URB. REMIGIO SILVA, PSJE LUIS LA PUERTA352</t>
  </si>
  <si>
    <t>2026-05-14 09:30:55</t>
  </si>
  <si>
    <t>VALDERA CHAFLOQUE</t>
  </si>
  <si>
    <t>1994-09-24</t>
  </si>
  <si>
    <t>SOL DE LA ALAMEDA REAL IV DE LAMBAYEQUE</t>
  </si>
  <si>
    <t>2026-05-14 10:21:27</t>
  </si>
  <si>
    <t>SAAVEDRA AGUILAR</t>
  </si>
  <si>
    <t>1992-09-03</t>
  </si>
  <si>
    <t>AV. BALTA 1793 - CHICLAYO</t>
  </si>
  <si>
    <t>2026-05-14 10:35:22</t>
  </si>
  <si>
    <t>SILVA DELGADO</t>
  </si>
  <si>
    <t>1986-12-06</t>
  </si>
  <si>
    <t>MZ -B  LOTE  11</t>
  </si>
  <si>
    <t>2026-05-14 10:57:10</t>
  </si>
  <si>
    <t>RAVELLO AVALOS</t>
  </si>
  <si>
    <t>1986-06-03</t>
  </si>
  <si>
    <t>TRUJILLO</t>
  </si>
  <si>
    <t>URB.LAS PLAMERAS DE L VALLE MZ-M LT.03-SAN ISIDRO</t>
  </si>
  <si>
    <t>2026-05-14 11:13:43</t>
  </si>
  <si>
    <t>LLONTOP SANTAMARIA</t>
  </si>
  <si>
    <t>MOCHUMI</t>
  </si>
  <si>
    <t>CALLE PASCUAL SACO 444 MOCHUMI</t>
  </si>
  <si>
    <t>2026-05-14 11:39:46</t>
  </si>
  <si>
    <t>ERLAND PAUL</t>
  </si>
  <si>
    <t>sanchezdiazerland@gmail.com</t>
  </si>
  <si>
    <t>1975-10-07</t>
  </si>
  <si>
    <t>CALLE LA PINTA 176</t>
  </si>
  <si>
    <t>2026-05-14 12:31:16</t>
  </si>
  <si>
    <t>BALLENA VIDAL</t>
  </si>
  <si>
    <t>2000-09-06</t>
  </si>
  <si>
    <t>BLOCK 14 1422A</t>
  </si>
  <si>
    <t>2026-05-14 12:48:23</t>
  </si>
  <si>
    <t>SALDAÑA DAVILA</t>
  </si>
  <si>
    <t>1997-07-16</t>
  </si>
  <si>
    <t>JR 18 DE ABRIL 354</t>
  </si>
  <si>
    <t>2026-05-14 12:48:31</t>
  </si>
  <si>
    <t>ARBOLEDA IMAN</t>
  </si>
  <si>
    <t>1996-01-03</t>
  </si>
  <si>
    <t>ARENALES 638 DIEGO FERRE</t>
  </si>
  <si>
    <t>2026-05-14 13:14:57</t>
  </si>
  <si>
    <t>AYEN MEGO</t>
  </si>
  <si>
    <t>1992-05-20</t>
  </si>
  <si>
    <t>URB GUARDIA REPUBLICANA MZ FLT 14</t>
  </si>
  <si>
    <t>2026-05-14 15:14:49</t>
  </si>
  <si>
    <t>DIAZ CHICLAYO</t>
  </si>
  <si>
    <t>1992-04-10</t>
  </si>
  <si>
    <t>LAS MAGNOLIAS 440 URB LOS PARQUES</t>
  </si>
  <si>
    <t>2026-05-14 15:48:53</t>
  </si>
  <si>
    <t>MORE CASTELLANOS</t>
  </si>
  <si>
    <t>1994-09-04</t>
  </si>
  <si>
    <t>PIURA 809</t>
  </si>
  <si>
    <t>2026-05-14 16:31:13</t>
  </si>
  <si>
    <t>LUIS ANTONIO</t>
  </si>
  <si>
    <t>BELICOSO SANCHEZ</t>
  </si>
  <si>
    <t>abelicososanchez@gmail.com</t>
  </si>
  <si>
    <t>1997-09-10</t>
  </si>
  <si>
    <t>PJ. CRUZ DE LA ESPERANZA - AV. ISABEL LA CATOLICA #430 - CHICLAYO</t>
  </si>
  <si>
    <t>2026-05-14 16:40:12</t>
  </si>
  <si>
    <t>HUILLCA BRIONES</t>
  </si>
  <si>
    <t>1991-08-18</t>
  </si>
  <si>
    <t>ELIAS AGUIRRE 947</t>
  </si>
  <si>
    <t>2026-05-14 17:01:25</t>
  </si>
  <si>
    <t>ANTON HOYOS</t>
  </si>
  <si>
    <t>1979-06-04</t>
  </si>
  <si>
    <t>URB. LOS ROBLES MZ. "H" LOTE 03</t>
  </si>
  <si>
    <t>2026-05-14 19:47:37</t>
  </si>
  <si>
    <t>FERNANDO</t>
  </si>
  <si>
    <t>RODRIGUEZ CERQUEN</t>
  </si>
  <si>
    <t>1989-08-18</t>
  </si>
  <si>
    <t>CALLE NAZCA 352</t>
  </si>
  <si>
    <t>2026-05-14 20:26:54</t>
  </si>
  <si>
    <t>CARLOS CESPEDES</t>
  </si>
  <si>
    <t>1997-01-12</t>
  </si>
  <si>
    <t>SANTO TORIBIO DE MOGROVEJO MZ L LOTE 39</t>
  </si>
  <si>
    <t>2026-05-14 21:32:04</t>
  </si>
  <si>
    <t>MIGUEL</t>
  </si>
  <si>
    <t>SAAVEDRA REGALADO</t>
  </si>
  <si>
    <t>1975-08-31</t>
  </si>
  <si>
    <t>CALLE TUPAC AMARU 108 POSOPE ALTO PATAPO</t>
  </si>
  <si>
    <t>2026-05-15 09:38:10</t>
  </si>
  <si>
    <t>CARLOMAGNO</t>
  </si>
  <si>
    <t>LLONTOP SANTA MARIA</t>
  </si>
  <si>
    <t>1983-11-30</t>
  </si>
  <si>
    <t>CALLE ZURITA NRO. 217</t>
  </si>
  <si>
    <t>2026-05-15 12:02:04</t>
  </si>
  <si>
    <t>DELGADO NAMUCHE</t>
  </si>
  <si>
    <t>1976-09-02</t>
  </si>
  <si>
    <t>CONQUISTA1136</t>
  </si>
  <si>
    <t>2026-05-15 20:15:09</t>
  </si>
  <si>
    <t>HUAYTALLA YARANGA</t>
  </si>
  <si>
    <t>SAN JUAN DE LURIGANCHO</t>
  </si>
  <si>
    <t>JR ALHUCEMAS 1718 COOP LAS FLORES DE PRIMAVERA</t>
  </si>
  <si>
    <t>2026-05-16 09:21:22</t>
  </si>
  <si>
    <t>EDGARDO FERNANDO PAUL</t>
  </si>
  <si>
    <t>MURO BARON</t>
  </si>
  <si>
    <t>Fernandomuro.arq.org@gmail.com</t>
  </si>
  <si>
    <t>1980-11-12</t>
  </si>
  <si>
    <t>CALLE LOS GLADIOLOS 382 URB.LOS PARQUES</t>
  </si>
  <si>
    <t>2026-05-17 10:10:47</t>
  </si>
  <si>
    <t>CALMET VILLEGAS</t>
  </si>
  <si>
    <t>1995-01-31</t>
  </si>
  <si>
    <t>AV GRAU 650 URB. CAMPODÓNICO</t>
  </si>
  <si>
    <t>2026-05-18 11:35:42</t>
  </si>
  <si>
    <t>MARLON MIGUEL</t>
  </si>
  <si>
    <t>CASTRO SALAZAR</t>
  </si>
  <si>
    <t>marloncastrosalazar@gmail.com</t>
  </si>
  <si>
    <t>1995-09-04</t>
  </si>
  <si>
    <t>MZ P2 LOTE4 7MA ETAPA - URBANIZACIÓN LAS DELICIAS - REQUE</t>
  </si>
  <si>
    <t>2026-05-18 16:05:52</t>
  </si>
  <si>
    <t>GIANCARLO</t>
  </si>
  <si>
    <t>CHAPOÑAN MOYANO</t>
  </si>
  <si>
    <t>gchaponanm@unprg.edu.pe</t>
  </si>
  <si>
    <t>1979-12-24</t>
  </si>
  <si>
    <t>JESUS MARIA</t>
  </si>
  <si>
    <t>CONDOMINO LOS PARQUES DE SAN GABRIEL TORRE 33 DPTO 802</t>
  </si>
  <si>
    <t>2026-05-19 00:15:06</t>
  </si>
  <si>
    <t>CARRASCO SAAVEDRA</t>
  </si>
  <si>
    <t>2004-02-17</t>
  </si>
  <si>
    <t>CLLE NICOLAS DE AYLLON 454</t>
  </si>
  <si>
    <t>2026-05-19 13:59:53</t>
  </si>
  <si>
    <t>JUAN RAMON</t>
  </si>
  <si>
    <t>BAQUEDANO BANCES</t>
  </si>
  <si>
    <t>ecoabdel@gmail.com</t>
  </si>
  <si>
    <t>1958-08-31</t>
  </si>
  <si>
    <t>CALLE LOS GIRASOLES 278 PUEBLO JOVEN SANTA ROSA</t>
  </si>
  <si>
    <t>2026-05-19 19:51:55</t>
  </si>
  <si>
    <t>ARTEMIO</t>
  </si>
  <si>
    <t>CALDERON PEREZ</t>
  </si>
  <si>
    <t>1978-12-16</t>
  </si>
  <si>
    <t>VILLA MARIA DEL TRIUNFO</t>
  </si>
  <si>
    <t>CALLE COMANDANTE CARLOS DELLEPIANE 164 - 2DO PISO - HOGAR POLICIAL SEGUNDA ETAPA</t>
  </si>
  <si>
    <t>2026-05-25 15:41:50</t>
  </si>
  <si>
    <t>DUEÑAS SANCHEZ</t>
  </si>
  <si>
    <t>1996-02-16</t>
  </si>
  <si>
    <t>CALLE ARCO DE VILLA MZ A LT 35 LAMBAYEQUE</t>
  </si>
  <si>
    <t>2026-05-26 15:39:45</t>
  </si>
  <si>
    <t>SEMPERTIGUE LIBAQUE</t>
  </si>
  <si>
    <t>1973-09-02</t>
  </si>
  <si>
    <t>CALLE FILIPINAS MZ 21 LOTE 4 - URB. SANTA ROSA - LA VICTORIA</t>
  </si>
  <si>
    <t>2026-05-26 18:26:52</t>
  </si>
  <si>
    <t>SANTISTEBAN CHAPOÑAN</t>
  </si>
  <si>
    <t>1997-05-09</t>
  </si>
  <si>
    <t>CALLE 29 DE MAYO 244</t>
  </si>
  <si>
    <t>2026-05-26 20:25:26</t>
  </si>
  <si>
    <t>HURTADO ROJAS</t>
  </si>
  <si>
    <t>1997-12-05</t>
  </si>
  <si>
    <t>2026-05-30 09:56:37</t>
  </si>
  <si>
    <t>MENDOZA CRUZ</t>
  </si>
  <si>
    <t>1990-08-15</t>
  </si>
  <si>
    <t>CA. FRANCISCO BOLOGNESI</t>
  </si>
  <si>
    <t>2026-06-01 12:15:34</t>
  </si>
  <si>
    <t>AZAÑERO BURGA</t>
  </si>
  <si>
    <t>1988-04-28</t>
  </si>
  <si>
    <t>SAN ANTONIO MZ C LT 10</t>
  </si>
  <si>
    <t>2026-06-02 12:47:47</t>
  </si>
  <si>
    <t>CAPUÑAY GONZALES</t>
  </si>
  <si>
    <t>2000-10-15</t>
  </si>
  <si>
    <t>LOTZ.SAN JOSE L12 MF MONSEFÚ</t>
  </si>
  <si>
    <t>2026-06-02 16:44:51</t>
  </si>
  <si>
    <t>DEYVIS</t>
  </si>
  <si>
    <t>HERRERA VASQUEZ</t>
  </si>
  <si>
    <t>1996-06-02</t>
  </si>
  <si>
    <t>RIOJA</t>
  </si>
  <si>
    <t>NUEVA CAJAMARCA</t>
  </si>
  <si>
    <t>JR. CAJAMARCA S/N C. POBLADO NARANJILLO</t>
  </si>
  <si>
    <t>2026-06-02 18:43:57</t>
  </si>
  <si>
    <t>CAMAN BAÑOS</t>
  </si>
  <si>
    <t>1977-08-08</t>
  </si>
  <si>
    <t>AV LEGUIA 189</t>
  </si>
  <si>
    <t>2026-06-03 15:37:12</t>
  </si>
  <si>
    <t>COPIA PEREZ</t>
  </si>
  <si>
    <t>2002-04-01</t>
  </si>
  <si>
    <t>MZ Q LOTE 26 PUEBLO JOVEN SANTO TORIBIO DE MOGROVEJO</t>
  </si>
  <si>
    <t>2026-06-03 19:32:14</t>
  </si>
  <si>
    <t>MIRANDA VILCHEZ</t>
  </si>
  <si>
    <t>1968-06-30</t>
  </si>
  <si>
    <t>JR. AYACUCHO 1312, JOSÉ LEONARDO ORTÍZ</t>
  </si>
  <si>
    <t>2026-06-04 01:03:39</t>
  </si>
  <si>
    <t>DICK HENRY</t>
  </si>
  <si>
    <t>CHINCHAY ZELADA</t>
  </si>
  <si>
    <t>dick_henry2012@hotmail.com</t>
  </si>
  <si>
    <t>1987-10-28</t>
  </si>
  <si>
    <t>VÍCTOR RAÚL HAYA DE LA TORRE MZ B L22</t>
  </si>
  <si>
    <t>2026-06-04 19:14:36</t>
  </si>
  <si>
    <t>JUAN RAFAEL</t>
  </si>
  <si>
    <t>juan_raffael@hotmail.com</t>
  </si>
  <si>
    <t>1980-02-03</t>
  </si>
  <si>
    <t>CA. WIRACOCHA N°667</t>
  </si>
  <si>
    <t>2026-06-05 10:39:26</t>
  </si>
  <si>
    <t>DANIEL</t>
  </si>
  <si>
    <t>SILVA PERALTA</t>
  </si>
  <si>
    <t>2000-03-29</t>
  </si>
  <si>
    <t>SEC.20 DE ENERO MZ. 23., LT 03</t>
  </si>
  <si>
    <t>2026-06-05 22:33:48</t>
  </si>
  <si>
    <t>QUISPE BAZALAR</t>
  </si>
  <si>
    <t>1980-09-17</t>
  </si>
  <si>
    <t>CALLE COIS 654</t>
  </si>
  <si>
    <t>2026-06-08 20:51:28</t>
  </si>
  <si>
    <t>COTRINA VELASQUEZ</t>
  </si>
  <si>
    <t>1986-12-14</t>
  </si>
  <si>
    <t>CALLE EL AYLLU 575 - LA VICTORIA-CHICLAYO - LAMBAYEQUE</t>
  </si>
  <si>
    <t>2026-06-11 10:00:18</t>
  </si>
  <si>
    <t>ZUMAETA VIGIL</t>
  </si>
  <si>
    <t>2000-09-05</t>
  </si>
  <si>
    <t>CA. LEONCIO PRADO N°1457</t>
  </si>
  <si>
    <t>2026-06-11 16:32:25</t>
  </si>
  <si>
    <t>MORENO WONG</t>
  </si>
  <si>
    <t>1976-02-14</t>
  </si>
  <si>
    <t>MIGUEL DE CERVANTES SAAVEDRA N°120</t>
  </si>
  <si>
    <t>2026-06-12 00:01:13</t>
  </si>
  <si>
    <t>GALECIO JULCA</t>
  </si>
  <si>
    <t>1965-01-02</t>
  </si>
  <si>
    <t>URB. AVIFAP- MAZ. C LOTE 6 II- ETAPA PIURA</t>
  </si>
  <si>
    <t>2026-06-12 13:37:02</t>
  </si>
  <si>
    <t>DAMIAN AMAYA</t>
  </si>
  <si>
    <t>1970-09-15</t>
  </si>
  <si>
    <t>CALLE FEDERICO VILLERREAL N° 863</t>
  </si>
  <si>
    <t>2026-06-12 18:57:50</t>
  </si>
  <si>
    <t>CORRALES CHAVARRI</t>
  </si>
  <si>
    <t>2002-09-15</t>
  </si>
  <si>
    <t>MZ U LT 15 URB. LA ESMERALDA</t>
  </si>
  <si>
    <t>2026-06-12 22:28:51</t>
  </si>
  <si>
    <t>TORO TELLO</t>
  </si>
  <si>
    <t>1986-01-05</t>
  </si>
  <si>
    <t>JR. COMERCIO 724</t>
  </si>
  <si>
    <t>2026-06-15 10:40:06</t>
  </si>
  <si>
    <t>LEONARDO MENDOZA</t>
  </si>
  <si>
    <t>1995-02-10</t>
  </si>
  <si>
    <t>CARRETERA CHICLAYO POMALCA KM 3.5 FRENTE AL GRIFO SEÑOR DE SIPAN</t>
  </si>
  <si>
    <t>2026-06-15 12:32:18</t>
  </si>
  <si>
    <t>NUNTON CANGO</t>
  </si>
  <si>
    <t>1996-09-17</t>
  </si>
  <si>
    <t>HABILITACIÓN URBANA MUNICIPAL MZ. A LT. 7</t>
  </si>
  <si>
    <t>2026-06-15 15:36:19</t>
  </si>
  <si>
    <t>LLAJA LLONTOP</t>
  </si>
  <si>
    <t>1986-12-03</t>
  </si>
  <si>
    <t>CALLE ANTONIO MONSALVE BACA 868</t>
  </si>
  <si>
    <t>2026-06-16 12:04:33</t>
  </si>
  <si>
    <t>ALDANA MACO</t>
  </si>
  <si>
    <t>1995-05-04</t>
  </si>
  <si>
    <t>OLMOS</t>
  </si>
  <si>
    <t>CASERIO PLAYA DE CASCAJAL</t>
  </si>
  <si>
    <t>2026-06-16 12:13:51</t>
  </si>
  <si>
    <t>TIMOTEO</t>
  </si>
  <si>
    <t>FERNANDEZ HUAMAN</t>
  </si>
  <si>
    <t>1992-04-28</t>
  </si>
  <si>
    <t>PACCHA</t>
  </si>
  <si>
    <t>JR. EDILBERTO CARUAJULCA S/N</t>
  </si>
  <si>
    <t>2026-06-16 17:09:36</t>
  </si>
  <si>
    <t>CHAVEZ RAMIREZ</t>
  </si>
  <si>
    <t>1998-01-13</t>
  </si>
  <si>
    <t>AV CIRCUNVALACION 1687</t>
  </si>
  <si>
    <t>2026-06-16 17:25:47</t>
  </si>
  <si>
    <t>GRAUS TORRES</t>
  </si>
  <si>
    <t>2000-09-27</t>
  </si>
  <si>
    <t>CAL. EMILIANO NIÑO N°512</t>
  </si>
  <si>
    <t>2026-06-17 10:58:04</t>
  </si>
  <si>
    <t>ALDANA CUSTODIO</t>
  </si>
  <si>
    <t>1997-09-12</t>
  </si>
  <si>
    <t>JOSÉ OLAYA N°537</t>
  </si>
  <si>
    <t>2026-06-17 13:15:52</t>
  </si>
  <si>
    <t>SAUCEDO LINARES</t>
  </si>
  <si>
    <t>1999-02-10</t>
  </si>
  <si>
    <t>JR. JOSÉ SALINAS N° 269 - CHOTA</t>
  </si>
  <si>
    <t>2026-06-17 14:22:38</t>
  </si>
  <si>
    <t>NESTOR OSWALDO</t>
  </si>
  <si>
    <t>MEJIA SIGÜEÑAS</t>
  </si>
  <si>
    <t>nestormesi@gmail.com</t>
  </si>
  <si>
    <t>1993-05-21</t>
  </si>
  <si>
    <t>UTCUBAMBA</t>
  </si>
  <si>
    <t>BAGUA GRANDE</t>
  </si>
  <si>
    <t>AVENIDA CHACHAPOYAS N°2376</t>
  </si>
  <si>
    <t>2026-06-18 11:28:06</t>
  </si>
  <si>
    <t>RODAS HUERTAS</t>
  </si>
  <si>
    <t>1978-05-03</t>
  </si>
  <si>
    <t>LA FLORIDA</t>
  </si>
  <si>
    <t>PASAAJE RIO MARAÑON N°190 MARIA PARADO DE BELLIDO - JLO - CHICLAYO</t>
  </si>
  <si>
    <t>2026-06-18 13:47:51</t>
  </si>
  <si>
    <t>DIAZ ROJAS</t>
  </si>
  <si>
    <t>1999-01-29</t>
  </si>
  <si>
    <t>MANCO CAPAC Nº 531 URB. SAN JUAN</t>
  </si>
  <si>
    <t>2026-06-19 12:28:22</t>
  </si>
  <si>
    <t>VENTURA CARDENAS</t>
  </si>
  <si>
    <t>1989-11-05</t>
  </si>
  <si>
    <t>AV. WILFREDO VALDIVIEZO 144 URB. LA PRIMAVERA II ETAPA CHICLAYO</t>
  </si>
  <si>
    <t>2026-06-19 15:27:26</t>
  </si>
  <si>
    <t>OCAMPOS SEMBRERA</t>
  </si>
  <si>
    <t>1970-01-28</t>
  </si>
  <si>
    <t>MORROPON</t>
  </si>
  <si>
    <t>CHULUCANAS</t>
  </si>
  <si>
    <t>JR. LIMA 611</t>
  </si>
  <si>
    <t>2026-06-21 22:35:16</t>
  </si>
  <si>
    <t>GONZALES TORRES</t>
  </si>
  <si>
    <t>2002-07-11</t>
  </si>
  <si>
    <t>AV. TACNA 1441 HECTOR AURISCH</t>
  </si>
  <si>
    <t>2026-06-22 08:49:22</t>
  </si>
  <si>
    <t>LUZ ELINA</t>
  </si>
  <si>
    <t>ZAMORA VILLALOBOS</t>
  </si>
  <si>
    <t>luzelinazamoravillalobos13@gmail.com</t>
  </si>
  <si>
    <t>1995-10-28</t>
  </si>
  <si>
    <t>AV: CHOTA S/N POSOPE ALTO</t>
  </si>
  <si>
    <t>2026-06-22 08:52:19</t>
  </si>
  <si>
    <t>LENIN</t>
  </si>
  <si>
    <t>MEGO CARRASCO</t>
  </si>
  <si>
    <t>1997-08-06</t>
  </si>
  <si>
    <t>PRIMERO DE JUNIO MZ. A - LT. 23</t>
  </si>
  <si>
    <t>2026-06-22 09:11:58</t>
  </si>
  <si>
    <t>CHAPOÑAN LLONTOP</t>
  </si>
  <si>
    <t>1980-02-21</t>
  </si>
  <si>
    <t>SOLF Y MURO 1677 P.J.SANTA ROSA</t>
  </si>
  <si>
    <t>2026-06-22 10:01:23</t>
  </si>
  <si>
    <t>YANIRA GERALDINE</t>
  </si>
  <si>
    <t>ALARCON MONTOYA</t>
  </si>
  <si>
    <t>yanirageraldinea@gmail.com</t>
  </si>
  <si>
    <t>2002-05-21</t>
  </si>
  <si>
    <t>LOTIZACIÓN CAHUIDE MZ B LT 7</t>
  </si>
  <si>
    <t>2026-06-22 12:58:05</t>
  </si>
  <si>
    <t>MANUEL</t>
  </si>
  <si>
    <t>FERNANDEZ MACO</t>
  </si>
  <si>
    <t>1955-11-14</t>
  </si>
  <si>
    <t>MANUEL SEOANE N°596 PUEBLO JOVEN SANTA ROSA - LAMBAYEQUE</t>
  </si>
  <si>
    <t>2026-06-22 13:44:06</t>
  </si>
  <si>
    <t>AMAMBAL PAUCAR</t>
  </si>
  <si>
    <t>1965-04-07</t>
  </si>
  <si>
    <t>SAN PABLO</t>
  </si>
  <si>
    <t>AV.EZEQUIEL GONZALES CÁCEDA N°2086 CHEPÉN LA LIBERTAD</t>
  </si>
  <si>
    <t>2026-06-22 16:45:11</t>
  </si>
  <si>
    <t>ADRIANZEN FLORES</t>
  </si>
  <si>
    <t>2000-02-07</t>
  </si>
  <si>
    <t>CALLE LOS CHASQUIS N°350 - EL HUITO</t>
  </si>
  <si>
    <t>2026-06-22 17:47:25</t>
  </si>
  <si>
    <t>VICTOR VALENTIN</t>
  </si>
  <si>
    <t>PINEDA SAMPEN</t>
  </si>
  <si>
    <t>vpineda19@hotmail.com</t>
  </si>
  <si>
    <t>1957-07-19</t>
  </si>
  <si>
    <t>MZ D LOTE 8 URB. BANCARIA II ETAPA- PIURA-PIURA PIURA</t>
  </si>
  <si>
    <t>2026-06-22 22:23:50</t>
  </si>
  <si>
    <t>LORENZO LOPEZ</t>
  </si>
  <si>
    <t>LOS QUIPOS 2132 LA VICTORIA</t>
  </si>
  <si>
    <t>2026-06-23 10:10:49</t>
  </si>
  <si>
    <t>LUCERO SANDOVAL</t>
  </si>
  <si>
    <t>2000-10-02</t>
  </si>
  <si>
    <t>A.H. CRUZ DEL ALGARROBO MZ. A, LT. 12</t>
  </si>
  <si>
    <t>2026-06-23 13:03:35</t>
  </si>
  <si>
    <t>BARTON GERVASI</t>
  </si>
  <si>
    <t>SAJAMÍ LUNA</t>
  </si>
  <si>
    <t>bartonsajami@hotmail.com</t>
  </si>
  <si>
    <t>1967-06-16</t>
  </si>
  <si>
    <t>RAMÓN CASTILLA 1140</t>
  </si>
  <si>
    <t>2026-06-23 13:12:34</t>
  </si>
  <si>
    <t>CORONEL GUEVARA</t>
  </si>
  <si>
    <t>1992-10-16</t>
  </si>
  <si>
    <t>RICARDO PALMA 239, JOSE LEONARDO ORTIZ-CHICLAYO</t>
  </si>
  <si>
    <t>2026-06-23 14:09:02</t>
  </si>
  <si>
    <t>JORGE</t>
  </si>
  <si>
    <t>TAVARA LLUNCOR</t>
  </si>
  <si>
    <t>jtavara.gebaude@gmail.com</t>
  </si>
  <si>
    <t>1982-02-27</t>
  </si>
  <si>
    <t>PSJ. GALVEZ Nº 151 URB. REMIGIO SILVA</t>
  </si>
  <si>
    <t>2026-06-23 14:27:44</t>
  </si>
  <si>
    <t>DAVILA BELLODAS</t>
  </si>
  <si>
    <t>1989-09-09</t>
  </si>
  <si>
    <t>ATAHUALPA 1052</t>
  </si>
  <si>
    <t>2026-06-23 15:30:56</t>
  </si>
  <si>
    <t>ALBUJAR ALVAREZ</t>
  </si>
  <si>
    <t>1984-11-30</t>
  </si>
  <si>
    <t>AV. AGUSTIN VALLEJOS ZAVALA N°269 - URB. EL PARAISO</t>
  </si>
  <si>
    <t>2026-06-23 15:35:25</t>
  </si>
  <si>
    <t>SANDOVAL DAMIAN</t>
  </si>
  <si>
    <t>1999-12-13</t>
  </si>
  <si>
    <t>CALLE FEDERICO VILLARREAL CDRA.11</t>
  </si>
  <si>
    <t>2026-06-23 15:48:17</t>
  </si>
  <si>
    <t>FLORES SONAPO</t>
  </si>
  <si>
    <t>1994-03-13</t>
  </si>
  <si>
    <t>AV. AGUSTIN VALLEJOS ZAVALA N° 269 - URB. EL PARAISO</t>
  </si>
  <si>
    <t>2026-06-23 16:13:24</t>
  </si>
  <si>
    <t>SECLEN SENCIO</t>
  </si>
  <si>
    <t>1999-03-19</t>
  </si>
  <si>
    <t>LUIS NEGREIROS # 4 S/N</t>
  </si>
  <si>
    <t>2026-06-23 16:24:48</t>
  </si>
  <si>
    <t>INGA ESPINOZA</t>
  </si>
  <si>
    <t>1995-08-21</t>
  </si>
  <si>
    <t>BUENOS AIRES #310,MANUEL GONZALES PRADA-FERREÑAFE</t>
  </si>
  <si>
    <t>2026-06-23 17:10:32</t>
  </si>
  <si>
    <t>SUCLUPE SANTISTEBAN</t>
  </si>
  <si>
    <t>1997-05-10</t>
  </si>
  <si>
    <t>CALLE SAN PEDRO #450</t>
  </si>
  <si>
    <t>2026-06-23 17:23:59</t>
  </si>
  <si>
    <t>TAVARA HURTADO</t>
  </si>
  <si>
    <t>1994-05-28</t>
  </si>
  <si>
    <t>CALLE EL AYLLU #331 DPTO 201 - LA VICTORIA</t>
  </si>
  <si>
    <t>2026-06-23 17:54:25</t>
  </si>
  <si>
    <t>TEYLU</t>
  </si>
  <si>
    <t>IMAN TORRES</t>
  </si>
  <si>
    <t>teyluimant@gmail.com</t>
  </si>
  <si>
    <t>1991-11-04</t>
  </si>
  <si>
    <t>JUAN MANUEL ITURREGUI 1580</t>
  </si>
  <si>
    <t>2026-06-23 21:50:08</t>
  </si>
  <si>
    <t>VELASQUEZ SALAZAR</t>
  </si>
  <si>
    <t>1957-11-05</t>
  </si>
  <si>
    <t>LAS AMAPOLAS MANZANA C-1 LOTE 16 URB. SAN RAMÓN - PIURA /PERÚ</t>
  </si>
  <si>
    <t>2026-06-23 22:46:16</t>
  </si>
  <si>
    <t>MAX DENIS</t>
  </si>
  <si>
    <t>BERNAL PALMA</t>
  </si>
  <si>
    <t>mbernal.asociados@gmail.com</t>
  </si>
  <si>
    <t>1986-04-21</t>
  </si>
  <si>
    <t>CALLE REAL 541</t>
  </si>
  <si>
    <t>2026-06-24 10:00:31</t>
  </si>
  <si>
    <t>LOPEZ NEVADO</t>
  </si>
  <si>
    <t>1987-05-16</t>
  </si>
  <si>
    <t>MZ F5 LT14 URBANIZACION SOL DE LAMBAYEQUE</t>
  </si>
  <si>
    <t>2026-06-24 10:02:08</t>
  </si>
  <si>
    <t>ELIO</t>
  </si>
  <si>
    <t>SAMAJEN JUWAG</t>
  </si>
  <si>
    <t>CONDORCANQUI</t>
  </si>
  <si>
    <t>NIEVA</t>
  </si>
  <si>
    <t>BIEJO BAJO</t>
  </si>
  <si>
    <t>2026-06-24 10:09:01</t>
  </si>
  <si>
    <t>LLAUCE SANTAMARIA</t>
  </si>
  <si>
    <t>1984-12-11</t>
  </si>
  <si>
    <t>AV. TUPAC AMARU 205</t>
  </si>
  <si>
    <t>2026-06-24 10:15:37</t>
  </si>
  <si>
    <t>TANTALEAN RUIZ</t>
  </si>
  <si>
    <t>2001-07-21</t>
  </si>
  <si>
    <t>SIMÓN BOLIVAR MZ5 LT3 – CHICLAYO, CHICLAYO, LAMBAYEQUE</t>
  </si>
  <si>
    <t>2026-06-24 10:18:12</t>
  </si>
  <si>
    <t>CAMPOS CHAVEZ</t>
  </si>
  <si>
    <t>1995-10-02</t>
  </si>
  <si>
    <t>ANEXO CAFETAL</t>
  </si>
  <si>
    <t>2026-06-24 10:23:46</t>
  </si>
  <si>
    <t>LIA ARACELY</t>
  </si>
  <si>
    <t>OYAGUE VILLAVERDE</t>
  </si>
  <si>
    <t>lianaracel@gmail.com</t>
  </si>
  <si>
    <t>1983-12-12</t>
  </si>
  <si>
    <t>AV. JUAN PABLO VIZCARDO GUSMÁN 786</t>
  </si>
  <si>
    <t>2026-06-24 10:28:35</t>
  </si>
  <si>
    <t>CAPUÑAY INCIO</t>
  </si>
  <si>
    <t>1969-06-22</t>
  </si>
  <si>
    <t>CALLE JUAN FRANCISCO UGAZ 233 - SUAZO</t>
  </si>
  <si>
    <t>2026-06-24 10:30:30</t>
  </si>
  <si>
    <t>WILFREDO</t>
  </si>
  <si>
    <t>CORDOVA GUARNIZ</t>
  </si>
  <si>
    <t>1992-10-10</t>
  </si>
  <si>
    <t>C. POBLADO ROSARIO DE CHINGAMA</t>
  </si>
  <si>
    <t>2026-06-24 10:40:10</t>
  </si>
  <si>
    <t>CARRANZA MENDOZA</t>
  </si>
  <si>
    <t>jaldocarranza@hotmail.com</t>
  </si>
  <si>
    <t>1976-10-17</t>
  </si>
  <si>
    <t>LOS RELATOS  P.J.  DE OCTUBRE</t>
  </si>
  <si>
    <t>2026-06-24 11:08:09</t>
  </si>
  <si>
    <t>CHUNGA BERMEJO</t>
  </si>
  <si>
    <t>1980-02-28</t>
  </si>
  <si>
    <t>PAITA</t>
  </si>
  <si>
    <t>AAHH MIGUEL GRAU MZ L LOTE 5</t>
  </si>
  <si>
    <t>2026-06-24 11:49:04</t>
  </si>
  <si>
    <t>MAGNA</t>
  </si>
  <si>
    <t>ALVAN ZAMORA</t>
  </si>
  <si>
    <t>1981-09-27</t>
  </si>
  <si>
    <t>URB VILLA DEL NORTE</t>
  </si>
  <si>
    <t>2026-06-24 12:08:01</t>
  </si>
  <si>
    <t>KRYSTAL</t>
  </si>
  <si>
    <t>COLCHADO CHEVEZ</t>
  </si>
  <si>
    <t>1986-11-03</t>
  </si>
  <si>
    <t>URBANIZACIÓN PUERTA AZÚL MZ A LOTE 18-B</t>
  </si>
  <si>
    <t>2026-06-24 13:43:36</t>
  </si>
  <si>
    <t>LUCUMI LLUNCOR</t>
  </si>
  <si>
    <t>1983-02-02</t>
  </si>
  <si>
    <t>AV. LA UNION 646</t>
  </si>
  <si>
    <t>2026-06-24 13:53:53</t>
  </si>
  <si>
    <t>VELA REQUEJO</t>
  </si>
  <si>
    <t>CALLE MANTARO 250, PJ SAN NICOLAS</t>
  </si>
  <si>
    <t>2026-06-24 14:01:21</t>
  </si>
  <si>
    <t>LUCIA MARIELA</t>
  </si>
  <si>
    <t>ACOSTA QUIROZ</t>
  </si>
  <si>
    <t>1989-12-17</t>
  </si>
  <si>
    <t>AAHH PEDRO RUIZ GALLO MZ C1 LT06</t>
  </si>
  <si>
    <t>2026-06-24 14:56:47</t>
  </si>
  <si>
    <t>POLICARPIO CACHAY</t>
  </si>
  <si>
    <t>1983-02-20</t>
  </si>
  <si>
    <t>ANCASH 402</t>
  </si>
  <si>
    <t>2026-06-24 16:16:14</t>
  </si>
  <si>
    <t>MACALOPU YPANAQUE</t>
  </si>
  <si>
    <t>CALLE SANTA ROSA 131, PJ SANTA ROSA</t>
  </si>
  <si>
    <t>2026-06-24 16:28:01</t>
  </si>
  <si>
    <t>REYES DE LA CRUZ</t>
  </si>
  <si>
    <t>1992-10-23</t>
  </si>
  <si>
    <t>MZ Q LOTE Nº 06 CIUDAD DEL CHOFER</t>
  </si>
  <si>
    <t>2026-06-24 17:12:36</t>
  </si>
  <si>
    <t>CARRERO DAVILA</t>
  </si>
  <si>
    <t>1982-11-17</t>
  </si>
  <si>
    <t>JR. ARMANDO DE LOS RÍOS 230 - 4 CENTRO CUTERVO</t>
  </si>
  <si>
    <t>2026-06-24 17:13:31</t>
  </si>
  <si>
    <t>CRUZ GARCIA</t>
  </si>
  <si>
    <t>1975-08-29</t>
  </si>
  <si>
    <t>PANAMERICANA NORTE KM782 FUNDO MOCCE LAMBAYEQUE</t>
  </si>
  <si>
    <t>2026-06-24 17:45:14</t>
  </si>
  <si>
    <t>ALVAREZ GONZALES</t>
  </si>
  <si>
    <t>1975-10-04</t>
  </si>
  <si>
    <t>MZ A LT3 URB CARMEN ANGELICA</t>
  </si>
  <si>
    <t>2026-06-24 17:55:00</t>
  </si>
  <si>
    <t>ROSA LILIANA</t>
  </si>
  <si>
    <t>SALAZAR CHERO</t>
  </si>
  <si>
    <t>1987-05-14</t>
  </si>
  <si>
    <t>SANTO TORIBIO 172</t>
  </si>
  <si>
    <t>2026-06-24 20:01:55</t>
  </si>
  <si>
    <t>CINTHIA JAQUELIN</t>
  </si>
  <si>
    <t>CORONADO LOPEZ</t>
  </si>
  <si>
    <t>coronadopez@gmail.com</t>
  </si>
  <si>
    <t>1995-11-13</t>
  </si>
  <si>
    <t>CALLE LUIS NEGREIROS PUEBLO JOVEN SAN MARTIN MZ C LT. 1</t>
  </si>
  <si>
    <t>2026-06-24 20:12:40</t>
  </si>
  <si>
    <t>MIMBELA OSORIO</t>
  </si>
  <si>
    <t>1997-10-20</t>
  </si>
  <si>
    <t>AVENIDA ZARUMILLA 840</t>
  </si>
  <si>
    <t>2026-06-24 21:04:05</t>
  </si>
  <si>
    <t>ORO DE LOS SANTOS</t>
  </si>
  <si>
    <t>1984-09-03</t>
  </si>
  <si>
    <t>JR. ARMANDO DE LOS RÍOS 230-4 CENTRO CUTERVO</t>
  </si>
  <si>
    <t>2026-06-24 22:10:43</t>
  </si>
  <si>
    <t>RIVADENEIRA ROMERO</t>
  </si>
  <si>
    <t>2000-02-09</t>
  </si>
  <si>
    <t>CALLE SOBERANÍA 447</t>
  </si>
  <si>
    <t>2026-06-24 22:35:39</t>
  </si>
  <si>
    <t>WILBER</t>
  </si>
  <si>
    <t>CHILCON MONTENEGRO</t>
  </si>
  <si>
    <t>1996-04-08</t>
  </si>
  <si>
    <t>CASERIO EL ARENAL</t>
  </si>
  <si>
    <t>2026-06-24 22:41:22</t>
  </si>
  <si>
    <t>MARTINEZ GUEVARA</t>
  </si>
  <si>
    <t>1987-06-03</t>
  </si>
  <si>
    <t>AVENIDA UNION N°590 - SAN JOSE DEL HUITO</t>
  </si>
  <si>
    <t>2026-06-24 23:12:55</t>
  </si>
  <si>
    <t>CALLACNA SENCIO</t>
  </si>
  <si>
    <t>1976-12-06</t>
  </si>
  <si>
    <t>PROLONGACIÓN LIBERTAD MZ K LOTE 3 URB. SANTA TERESA</t>
  </si>
  <si>
    <t>2026-06-25 01:17:45</t>
  </si>
  <si>
    <t>VENTURA MENDOZA</t>
  </si>
  <si>
    <t>1993-09-21</t>
  </si>
  <si>
    <t>AVENIDA GONZALES CACEDA Nª 526 - CHEPÈN</t>
  </si>
  <si>
    <t>2026-06-25 07:16:51</t>
  </si>
  <si>
    <t>MONZÓN PINGLO</t>
  </si>
  <si>
    <t>1988-01-11</t>
  </si>
  <si>
    <t>CALLE TORRRES PAZ 539</t>
  </si>
  <si>
    <t>2026-06-25 09:25:17</t>
  </si>
  <si>
    <t>LLONTOP EFFIO</t>
  </si>
  <si>
    <t>1979-05-31</t>
  </si>
  <si>
    <t>CALLE FRANCISCO CABRERA N°1151</t>
  </si>
  <si>
    <t>2026-06-25 10:13:42</t>
  </si>
  <si>
    <t>QUIROZ CRUZ</t>
  </si>
  <si>
    <t>2000-02-06</t>
  </si>
  <si>
    <t>LLAMPAYEC MF5LT03 PUEBLO JOVEN SAN MARTIN LAS DUNAS</t>
  </si>
  <si>
    <t>2026-06-25 10:40:20</t>
  </si>
  <si>
    <t>NELSON ALEXANDER</t>
  </si>
  <si>
    <t>MOROCHO SOSA</t>
  </si>
  <si>
    <t>nelsonmorochos1992@gmail.com</t>
  </si>
  <si>
    <t>1992-05-09</t>
  </si>
  <si>
    <t>CALLE RAUL JIMENEZ MZ 142 LT 30A PPJJ ANTONIO RAYMONDI</t>
  </si>
  <si>
    <t>2026-06-25 11:28:24</t>
  </si>
  <si>
    <t>ZEÑA GONZALES</t>
  </si>
  <si>
    <t>1992-08-18</t>
  </si>
  <si>
    <t>CALLE LOS GLADIOLOS 306 URB. LOS PARQUES</t>
  </si>
  <si>
    <t>2026-06-25 11:30:22</t>
  </si>
  <si>
    <t>EDUAR YONNY</t>
  </si>
  <si>
    <t>DELGADO IGNACIO</t>
  </si>
  <si>
    <t>yodexterno@gmail.com</t>
  </si>
  <si>
    <t>AV SAENZ PEÑA N° 1441 - CHICLAYO</t>
  </si>
  <si>
    <t>2026-06-25 11:51:45</t>
  </si>
  <si>
    <t>SHAKESPEARE VOLTAIRE</t>
  </si>
  <si>
    <t>CRUZ IPANAQUE</t>
  </si>
  <si>
    <t>1985-09-01</t>
  </si>
  <si>
    <t>CALLE SIMON BOLIVAR 239, SEGUNDO PISO</t>
  </si>
  <si>
    <t>2026-06-25 12:08:18</t>
  </si>
  <si>
    <t>DERMALI</t>
  </si>
  <si>
    <t>RUBIO RAMIREZ</t>
  </si>
  <si>
    <t>1978-01-09</t>
  </si>
  <si>
    <t>CALLE TUPAC AMARU 18</t>
  </si>
  <si>
    <t>2026-06-25 12:44:05</t>
  </si>
  <si>
    <t>ZEÑA COICO</t>
  </si>
  <si>
    <t>1974-08-30</t>
  </si>
  <si>
    <t>CALLE UNION N° 125 PACORA</t>
  </si>
  <si>
    <t>2026-06-25 12:48:35</t>
  </si>
  <si>
    <t>ZEÑA SAMPEN</t>
  </si>
  <si>
    <t>1987-04-08</t>
  </si>
  <si>
    <t>CALLE MANUEL PARDO 674 URB. SAN LUIS</t>
  </si>
  <si>
    <t>2026-06-25 13:21:42</t>
  </si>
  <si>
    <t>MEGO SANTISTEBAN</t>
  </si>
  <si>
    <t>1973-09-06</t>
  </si>
  <si>
    <t>SOTO MARTINEZ N° 158- GC FEDERICO VILLARREAL</t>
  </si>
  <si>
    <t>2026-06-25 13:25:56</t>
  </si>
  <si>
    <t>NISSIDA EVELYN</t>
  </si>
  <si>
    <t>VALDERA BRAVO</t>
  </si>
  <si>
    <t>nvalderab@unprg.edu.pe</t>
  </si>
  <si>
    <t>1996-12-08</t>
  </si>
  <si>
    <t>CALLE VICTOR ANDRES BELAUNDE - TUCUME</t>
  </si>
  <si>
    <t>2026-06-25 13:40:46</t>
  </si>
  <si>
    <t>AREVALO FRIAS</t>
  </si>
  <si>
    <t>1994-09-20</t>
  </si>
  <si>
    <t>CALLE: JUDA MZ:L LOTE:6 URB.MIRAFLORES II - LAMBAYEQUE – CHICLAYO</t>
  </si>
  <si>
    <t>2026-06-25 13:46:09</t>
  </si>
  <si>
    <t>LUIS ARMANDO</t>
  </si>
  <si>
    <t>DE LA CRUZ DE LA CRUZ</t>
  </si>
  <si>
    <t>1997-09-14</t>
  </si>
  <si>
    <t>PUEBLO JOVEN SAN JUAN MZ D LT N°3-CHICLAYO</t>
  </si>
  <si>
    <t>2026-06-25 15:03:09</t>
  </si>
  <si>
    <t>UCHOFEN MORALES</t>
  </si>
  <si>
    <t>1976-11-29</t>
  </si>
  <si>
    <t>CONDOMINIO JOCKEY MZ G LOTE  14</t>
  </si>
  <si>
    <t>2026-06-25 15:47:11</t>
  </si>
  <si>
    <t>WILMER</t>
  </si>
  <si>
    <t>VASQUEZ MENDOZA</t>
  </si>
  <si>
    <t>1976-01-12</t>
  </si>
  <si>
    <t>CALLE. DIEGO FERRE N° 175-JAYANCA</t>
  </si>
  <si>
    <t>2026-06-25 16:54:39</t>
  </si>
  <si>
    <t>ALVARO</t>
  </si>
  <si>
    <t>VASQUEZ HOYOS</t>
  </si>
  <si>
    <t>1979-04-10</t>
  </si>
  <si>
    <t>CALLE VIRU - LA VICTORIA - CHICLAYO</t>
  </si>
  <si>
    <t>2026-06-25 18:11:06</t>
  </si>
  <si>
    <t>INES VANESSA</t>
  </si>
  <si>
    <t>URIARTE BACA</t>
  </si>
  <si>
    <t>casiopeauriarte@hotmail.es</t>
  </si>
  <si>
    <t>1981-09-04</t>
  </si>
  <si>
    <t>MZ E, LT 07 URBANIZACIÓN FERMÍN ÁVILA MORÓN</t>
  </si>
  <si>
    <t>2026-06-25 19:42:27</t>
  </si>
  <si>
    <t>MONTALVO MACEDA</t>
  </si>
  <si>
    <t>1982-03-25</t>
  </si>
  <si>
    <t>BACA MATOS Y SAN ANTONIO</t>
  </si>
  <si>
    <t>2026-06-25 20:02:18</t>
  </si>
  <si>
    <t>PEREZ VALDERA</t>
  </si>
  <si>
    <t>1973-03-04</t>
  </si>
  <si>
    <t>AV. 9 DE OCTUBRE 754</t>
  </si>
  <si>
    <t>2026-06-25 20:45:24</t>
  </si>
  <si>
    <t>WILLIAM MANUEL</t>
  </si>
  <si>
    <t>BERNABE BARRUETO</t>
  </si>
  <si>
    <t>wbernabe@cip.org.pe</t>
  </si>
  <si>
    <t>1988-03-29</t>
  </si>
  <si>
    <t>AV CARLOS CONRROY N° 257</t>
  </si>
  <si>
    <t>2026-06-25 23:46:55</t>
  </si>
  <si>
    <t>LLAMO DIAZ</t>
  </si>
  <si>
    <t>1999-02-25</t>
  </si>
  <si>
    <t>ANEXO CRUCE LAS CANTERAS S/N</t>
  </si>
  <si>
    <t>2026-06-26 08:44:18</t>
  </si>
  <si>
    <t>CORREA CHILON</t>
  </si>
  <si>
    <t>1980-04-13</t>
  </si>
  <si>
    <t>AV. IMPERIO 975, LA VICTORIA, CHICLAYO, LAMBAYEQUE</t>
  </si>
  <si>
    <t>2026-06-26 09:34:45</t>
  </si>
  <si>
    <t>MARIO</t>
  </si>
  <si>
    <t>VALENCIA HERNANDEZ</t>
  </si>
  <si>
    <t>1974-02-11</t>
  </si>
  <si>
    <t>AV. UNION 456 BLOQUE Q DPTO 301</t>
  </si>
  <si>
    <t>2026-06-26 10:52:47</t>
  </si>
  <si>
    <t>OCHOA NEIRA</t>
  </si>
  <si>
    <t>1994-05-22</t>
  </si>
  <si>
    <t>MARIANO MELGAR 111- PJ. RICARDO PALMA- CHICLAYO</t>
  </si>
  <si>
    <t>2026-06-26 11:48:34</t>
  </si>
  <si>
    <t>YAFAC GUERRERO</t>
  </si>
  <si>
    <t>1974-09-26</t>
  </si>
  <si>
    <t>LOS JASMINES #365 - URB. FEDERICO VILLAREAL</t>
  </si>
  <si>
    <t>2026-06-26 12:26:03</t>
  </si>
  <si>
    <t>HUAMANCHUMO CERNA</t>
  </si>
  <si>
    <t>1988-05-29</t>
  </si>
  <si>
    <t>ELIAS AGUIRRE 105</t>
  </si>
  <si>
    <t>2026-06-26 12:43:28</t>
  </si>
  <si>
    <t>HUMBO LIMA</t>
  </si>
  <si>
    <t>1982-06-18</t>
  </si>
  <si>
    <t>CALLE BIZNAGUIILAS R-18 COUNTRY CLUB MIRAFLORES - CASTILLA - PIURA</t>
  </si>
  <si>
    <t>2026-06-26 13:05:12</t>
  </si>
  <si>
    <t>VASQUEZ SANCHEZ</t>
  </si>
  <si>
    <t>1982-03-03</t>
  </si>
  <si>
    <t>CENTRO POBLADO SAN JOSE - DISTRITO DE PICSI</t>
  </si>
  <si>
    <t>2026-06-26 13:51:32</t>
  </si>
  <si>
    <t>HEREDIA SILVA</t>
  </si>
  <si>
    <t>1998-03-03</t>
  </si>
  <si>
    <t>SAN JUAN N°188</t>
  </si>
  <si>
    <t>2026-06-26 15:25:21</t>
  </si>
  <si>
    <t>DE LA CRUZ SAMANIEGO</t>
  </si>
  <si>
    <t>1991-05-02</t>
  </si>
  <si>
    <t>PSJ. MIGUELITO S/N PUEBLO NUEVO</t>
  </si>
  <si>
    <t>2026-06-26 16:59:31</t>
  </si>
  <si>
    <t>DAMIAN ESPINO</t>
  </si>
  <si>
    <t>1973-08-04</t>
  </si>
  <si>
    <t>CARLOS STEIN MZ I , LT 18, JOSÉ LEONARDO ORTIZ</t>
  </si>
  <si>
    <t>2026-06-26 23:13:39</t>
  </si>
  <si>
    <t>PALOMINO PEREZ</t>
  </si>
  <si>
    <t>1996-12-04</t>
  </si>
  <si>
    <t>HIPOLITO UNANUE #760</t>
  </si>
  <si>
    <t>2026-06-27 10:55:09</t>
  </si>
  <si>
    <t>PERSI</t>
  </si>
  <si>
    <t>VASQUEZ SILVA</t>
  </si>
  <si>
    <t>1992-09-22</t>
  </si>
  <si>
    <t>QUEROCOTILLO</t>
  </si>
  <si>
    <t>CASERIO PAJURILLO</t>
  </si>
  <si>
    <t>2026-06-27 13:05:41</t>
  </si>
  <si>
    <t>ROJAS BARBOZA</t>
  </si>
  <si>
    <t>1981-05-16</t>
  </si>
  <si>
    <t>URB. MIRAFLORES II ETAPA MZ. LT T 9</t>
  </si>
  <si>
    <t>2026-06-27 13:52:50</t>
  </si>
  <si>
    <t>FLORES VENTURA</t>
  </si>
  <si>
    <t>1985-08-30</t>
  </si>
  <si>
    <t>LOS TUMBOS 155 -URB SANTA VICTORIA 155</t>
  </si>
  <si>
    <t>2026-06-27 14:00:06</t>
  </si>
  <si>
    <t>YHEYSON</t>
  </si>
  <si>
    <t>DIAZ ARTEAGA</t>
  </si>
  <si>
    <t>1990-01-03</t>
  </si>
  <si>
    <t>SANTA ROSA CDRA 12</t>
  </si>
  <si>
    <t>2026-06-27 14:13:41</t>
  </si>
  <si>
    <t>CHAPOÑAN VASQUEZ</t>
  </si>
  <si>
    <t>1986-06-22</t>
  </si>
  <si>
    <t>CALLE SANTA ROSA N°165</t>
  </si>
  <si>
    <t>2026-06-27 14:50:04</t>
  </si>
  <si>
    <t>BUSTAMANTE CARRASCO</t>
  </si>
  <si>
    <t>1998-12-12</t>
  </si>
  <si>
    <t>JOSÉ GÁLVEZ 210</t>
  </si>
  <si>
    <t>2026-06-27 15:51:08</t>
  </si>
  <si>
    <t>ÑOPO CORONEL</t>
  </si>
  <si>
    <t>2001-10-25</t>
  </si>
  <si>
    <t>CALLE ELIAS AGUIRRE 637</t>
  </si>
  <si>
    <t>2026-06-27 16:07:08</t>
  </si>
  <si>
    <t>ZUÑE MONTALVO</t>
  </si>
  <si>
    <t>1971-09-12</t>
  </si>
  <si>
    <t>AV. FRANCISCO BOLOGNESI 472</t>
  </si>
  <si>
    <t>2026-06-27 16:56:21</t>
  </si>
  <si>
    <t>TERRONES CHAYAN</t>
  </si>
  <si>
    <t>1994-12-31</t>
  </si>
  <si>
    <t>CALLE ESMERALDA 1599 PUEBLO JOVEN SANTA ROSA</t>
  </si>
  <si>
    <t>2026-06-27 21:32:17</t>
  </si>
  <si>
    <t>YZAGA VIDAURRE</t>
  </si>
  <si>
    <t>1967-04-14</t>
  </si>
  <si>
    <t>CALLE PEDRO RUIZ 1396</t>
  </si>
  <si>
    <t>2026-06-28 08:41:47</t>
  </si>
  <si>
    <t>TONGO BRIONES</t>
  </si>
  <si>
    <t>1996-06-24</t>
  </si>
  <si>
    <t>MZ. 23 LT. 43 SECTOR EL PALMA</t>
  </si>
  <si>
    <t>2026-06-30 14:02:56</t>
  </si>
  <si>
    <t>PRADA CALDERON</t>
  </si>
  <si>
    <t>1966-08-16</t>
  </si>
  <si>
    <t>DEMETRI ACOSTA N° 724 PJ. SAN MARTIN</t>
  </si>
  <si>
    <t>2026-07-01 09:05:07</t>
  </si>
  <si>
    <t>RAMIREZ HERRERA</t>
  </si>
  <si>
    <t>OYOTUN</t>
  </si>
  <si>
    <t>INT. 2 TUMAN CENTRO MZ 21 LT 4</t>
  </si>
  <si>
    <t>2026-07-01 22:28:28</t>
  </si>
  <si>
    <t>JAVIER</t>
  </si>
  <si>
    <t>SANTISTEBAN AYALA</t>
  </si>
  <si>
    <t>1992-10-25</t>
  </si>
  <si>
    <t>CASERIO SOLECAPE</t>
  </si>
  <si>
    <t>2026-07-02 21:34:03</t>
  </si>
  <si>
    <t>CRUZALINA</t>
  </si>
  <si>
    <t>JIMENEZ LIVIA</t>
  </si>
  <si>
    <t>1973-12-06</t>
  </si>
  <si>
    <t>LA LIBERTAD #231 URB.CARLOS STEIN</t>
  </si>
  <si>
    <t>2026-07-02 23:15:02</t>
  </si>
  <si>
    <t>FLORES VIDAURRE</t>
  </si>
  <si>
    <t>1989-09-28</t>
  </si>
  <si>
    <t>CALLE SUCRE S/N PUEBLO JOVEN SAN MATIN</t>
  </si>
  <si>
    <t>2026-07-03 09:19:02</t>
  </si>
  <si>
    <t>PINGLO PEÑA</t>
  </si>
  <si>
    <t>1997-01-26</t>
  </si>
  <si>
    <t>P.J AMPLIACION VICTOR RAUL HAYA DE LA TORRE MZ. C LT. 05 REF. P.J. PARQUE ZONAL</t>
  </si>
  <si>
    <t>2026-07-03 11:58:46</t>
  </si>
  <si>
    <t>ELIBERTO</t>
  </si>
  <si>
    <t>BALLENA CUZMA</t>
  </si>
  <si>
    <t>1969-11-04</t>
  </si>
  <si>
    <t>CALLE EL PORVENIR 112</t>
  </si>
  <si>
    <t>2026-07-03 12:45:07</t>
  </si>
  <si>
    <t>FARROÑAN VALDERA</t>
  </si>
  <si>
    <t>1996-10-12</t>
  </si>
  <si>
    <t>CASERIO TRANCA FANUPE</t>
  </si>
  <si>
    <t>2026-07-03 17:23:06</t>
  </si>
  <si>
    <t>U</t>
  </si>
  <si>
    <t>75363208</t>
  </si>
  <si>
    <t>71491689</t>
  </si>
  <si>
    <t>44666269</t>
  </si>
  <si>
    <t>73462669</t>
  </si>
  <si>
    <t>71396806</t>
  </si>
  <si>
    <t>43111414</t>
  </si>
  <si>
    <t>60258953</t>
  </si>
  <si>
    <t>73025102</t>
  </si>
  <si>
    <t>75720372</t>
  </si>
  <si>
    <t>46135037</t>
  </si>
  <si>
    <t>48199611</t>
  </si>
  <si>
    <t>73514125</t>
  </si>
  <si>
    <t>43774455</t>
  </si>
  <si>
    <t>29542684</t>
  </si>
  <si>
    <t>72841146</t>
  </si>
  <si>
    <t>74212099</t>
  </si>
  <si>
    <t>72740097</t>
  </si>
  <si>
    <t>43636883</t>
  </si>
  <si>
    <t>74720963</t>
  </si>
  <si>
    <t>73977233</t>
  </si>
  <si>
    <t>72705857</t>
  </si>
  <si>
    <t>76557578</t>
  </si>
  <si>
    <t>73532196</t>
  </si>
  <si>
    <t>44346477</t>
  </si>
  <si>
    <t>70673235</t>
  </si>
  <si>
    <t>73704207</t>
  </si>
  <si>
    <t>71323716</t>
  </si>
  <si>
    <t>72329588</t>
  </si>
  <si>
    <t>41154905</t>
  </si>
  <si>
    <t>73699282</t>
  </si>
  <si>
    <t>45586127</t>
  </si>
  <si>
    <t>72729965</t>
  </si>
  <si>
    <t>77036935</t>
  </si>
  <si>
    <t>47186679</t>
  </si>
  <si>
    <t>71089422</t>
  </si>
  <si>
    <t>71524448</t>
  </si>
  <si>
    <t>46876752</t>
  </si>
  <si>
    <t>75875291</t>
  </si>
  <si>
    <t>47409507</t>
  </si>
  <si>
    <t>76458509</t>
  </si>
  <si>
    <t>46445208</t>
  </si>
  <si>
    <t>70382269</t>
  </si>
  <si>
    <t>47193453</t>
  </si>
  <si>
    <t>71577882</t>
  </si>
  <si>
    <t>78007600</t>
  </si>
  <si>
    <t>71997323</t>
  </si>
  <si>
    <t>47786848</t>
  </si>
  <si>
    <t>72936235</t>
  </si>
  <si>
    <t>73778331</t>
  </si>
  <si>
    <t>75652596</t>
  </si>
  <si>
    <t>72329597</t>
  </si>
  <si>
    <t>77380711</t>
  </si>
  <si>
    <t>45711302</t>
  </si>
  <si>
    <t>73018843</t>
  </si>
  <si>
    <t>44291488</t>
  </si>
  <si>
    <t>73004270</t>
  </si>
  <si>
    <t>72842158</t>
  </si>
  <si>
    <t>77567953</t>
  </si>
  <si>
    <t>76446303</t>
  </si>
  <si>
    <t>73262743</t>
  </si>
  <si>
    <t>72840362</t>
  </si>
  <si>
    <t>73881546</t>
  </si>
  <si>
    <t>74774492</t>
  </si>
  <si>
    <t>46356337</t>
  </si>
  <si>
    <t>74587230</t>
  </si>
  <si>
    <t>44750307</t>
  </si>
  <si>
    <t>17632519</t>
  </si>
  <si>
    <t>76388252</t>
  </si>
  <si>
    <t>76457342</t>
  </si>
  <si>
    <t>41732773</t>
  </si>
  <si>
    <t>72729980</t>
  </si>
  <si>
    <t>70768967</t>
  </si>
  <si>
    <t>16714301</t>
  </si>
  <si>
    <t>76767502</t>
  </si>
  <si>
    <t>27424102</t>
  </si>
  <si>
    <t>71038489</t>
  </si>
  <si>
    <t>74475031</t>
  </si>
  <si>
    <t>76377028</t>
  </si>
  <si>
    <t>70069728</t>
  </si>
  <si>
    <t>72127985</t>
  </si>
  <si>
    <t>43895655</t>
  </si>
  <si>
    <t>40769239</t>
  </si>
  <si>
    <t>72449188</t>
  </si>
  <si>
    <t>17522586</t>
  </si>
  <si>
    <t>73484734</t>
  </si>
  <si>
    <t>17520944</t>
  </si>
  <si>
    <t>77353656</t>
  </si>
  <si>
    <t>16756045</t>
  </si>
  <si>
    <t>17624843</t>
  </si>
  <si>
    <t>42830102</t>
  </si>
  <si>
    <t>43227051</t>
  </si>
  <si>
    <t>40055451</t>
  </si>
  <si>
    <t>40674116</t>
  </si>
  <si>
    <t>46690196</t>
  </si>
  <si>
    <t>74567191</t>
  </si>
  <si>
    <t>47251908</t>
  </si>
  <si>
    <t>73865043</t>
  </si>
  <si>
    <t>43502190</t>
  </si>
  <si>
    <t>74825859</t>
  </si>
  <si>
    <t>47660746</t>
  </si>
  <si>
    <t>45194887</t>
  </si>
  <si>
    <t>46413153</t>
  </si>
  <si>
    <t>45465030</t>
  </si>
  <si>
    <t>80214918</t>
  </si>
  <si>
    <t>76475807</t>
  </si>
  <si>
    <t>46329807</t>
  </si>
  <si>
    <t>77434930</t>
  </si>
  <si>
    <t>71615638</t>
  </si>
  <si>
    <t>75915522</t>
  </si>
  <si>
    <t>76055110</t>
  </si>
  <si>
    <t>16721931</t>
  </si>
  <si>
    <t>75860731</t>
  </si>
  <si>
    <t>75826160</t>
  </si>
  <si>
    <t>73302661</t>
  </si>
  <si>
    <t>71521433</t>
  </si>
  <si>
    <t>72120310</t>
  </si>
  <si>
    <t>72032293</t>
  </si>
  <si>
    <t>75439954</t>
  </si>
  <si>
    <t>71576811</t>
  </si>
  <si>
    <t>70843479</t>
  </si>
  <si>
    <t>40481231</t>
  </si>
  <si>
    <t>76085949</t>
  </si>
  <si>
    <t>73104437</t>
  </si>
  <si>
    <t>75923762</t>
  </si>
  <si>
    <t>47203374</t>
  </si>
  <si>
    <t>46872048</t>
  </si>
  <si>
    <t>73465205</t>
  </si>
  <si>
    <t>41937598</t>
  </si>
  <si>
    <t>74072585</t>
  </si>
  <si>
    <t>74952726</t>
  </si>
  <si>
    <t>75771350</t>
  </si>
  <si>
    <t>48285822</t>
  </si>
  <si>
    <t>45099926</t>
  </si>
  <si>
    <t>71448388</t>
  </si>
  <si>
    <t>48171415</t>
  </si>
  <si>
    <t>46087150</t>
  </si>
  <si>
    <t>73201951</t>
  </si>
  <si>
    <t>42116941</t>
  </si>
  <si>
    <t>60473276</t>
  </si>
  <si>
    <t>76288246</t>
  </si>
  <si>
    <t>45223140</t>
  </si>
  <si>
    <t>43247575</t>
  </si>
  <si>
    <t>73138434</t>
  </si>
  <si>
    <t>75786227</t>
  </si>
  <si>
    <t>48575206</t>
  </si>
  <si>
    <t>47660995</t>
  </si>
  <si>
    <t>80587570</t>
  </si>
  <si>
    <t>47570515</t>
  </si>
  <si>
    <t>40053650</t>
  </si>
  <si>
    <t>42739000</t>
  </si>
  <si>
    <t>76222247</t>
  </si>
  <si>
    <t>16761481</t>
  </si>
  <si>
    <t>40477335</t>
  </si>
  <si>
    <t>43880198</t>
  </si>
  <si>
    <t>17603712</t>
  </si>
  <si>
    <t>16736360</t>
  </si>
  <si>
    <t>47898287</t>
  </si>
  <si>
    <t>71570678</t>
  </si>
  <si>
    <t>45426428</t>
  </si>
  <si>
    <t>47933687</t>
  </si>
  <si>
    <t>70484804</t>
  </si>
  <si>
    <t>41151914</t>
  </si>
  <si>
    <t>40201777</t>
  </si>
  <si>
    <t>72023928</t>
  </si>
  <si>
    <t>46060832</t>
  </si>
  <si>
    <t>73262781</t>
  </si>
  <si>
    <t>3886801</t>
  </si>
  <si>
    <t>47248891</t>
  </si>
  <si>
    <t>43984489</t>
  </si>
  <si>
    <t>71077059</t>
  </si>
  <si>
    <t>72023455</t>
  </si>
  <si>
    <t>44197041</t>
  </si>
  <si>
    <t>45401537</t>
  </si>
  <si>
    <t>47660655</t>
  </si>
  <si>
    <t>47289823</t>
  </si>
  <si>
    <t>70473446</t>
  </si>
  <si>
    <t>60893958</t>
  </si>
  <si>
    <t>72482012</t>
  </si>
  <si>
    <t>46043232</t>
  </si>
  <si>
    <t>75753060</t>
  </si>
  <si>
    <t>76778993</t>
  </si>
  <si>
    <t>75984029</t>
  </si>
  <si>
    <t>41575219</t>
  </si>
  <si>
    <t>71789940</t>
  </si>
  <si>
    <t>75754825</t>
  </si>
  <si>
    <t>72367013</t>
  </si>
  <si>
    <t>48093786</t>
  </si>
  <si>
    <t>10429599</t>
  </si>
  <si>
    <t>80518197</t>
  </si>
  <si>
    <t>44807764</t>
  </si>
  <si>
    <t>47390896</t>
  </si>
  <si>
    <t>71819726</t>
  </si>
  <si>
    <t>73527759</t>
  </si>
  <si>
    <t>44378022</t>
  </si>
  <si>
    <t>44089297</t>
  </si>
  <si>
    <t>48074428</t>
  </si>
  <si>
    <t>16784162</t>
  </si>
  <si>
    <t>72895043</t>
  </si>
  <si>
    <t>75791458</t>
  </si>
  <si>
    <t>71004749</t>
  </si>
  <si>
    <t>47987149</t>
  </si>
  <si>
    <t>76959064</t>
  </si>
  <si>
    <t>16774611</t>
  </si>
  <si>
    <t>2843308</t>
  </si>
  <si>
    <t>8385207</t>
  </si>
  <si>
    <t>16691936</t>
  </si>
  <si>
    <t>72523216</t>
  </si>
  <si>
    <t>42870365</t>
  </si>
  <si>
    <t>72928145</t>
  </si>
  <si>
    <t>70840720</t>
  </si>
  <si>
    <t>42062400</t>
  </si>
  <si>
    <t>45038251</t>
  </si>
  <si>
    <t>43734675</t>
  </si>
  <si>
    <t>71415312</t>
  </si>
  <si>
    <t>45907492</t>
  </si>
  <si>
    <t>73698834</t>
  </si>
  <si>
    <t>41685511</t>
  </si>
  <si>
    <t>46754829</t>
  </si>
  <si>
    <t>77673877</t>
  </si>
  <si>
    <t>78023368</t>
  </si>
  <si>
    <t>45104844</t>
  </si>
  <si>
    <t>45433760</t>
  </si>
  <si>
    <t>71429766</t>
  </si>
  <si>
    <t>71097159</t>
  </si>
  <si>
    <t>48266249</t>
  </si>
  <si>
    <t>46707327</t>
  </si>
  <si>
    <t>46523234</t>
  </si>
  <si>
    <t>45975051</t>
  </si>
  <si>
    <t>45603991</t>
  </si>
  <si>
    <t>16751697</t>
  </si>
  <si>
    <t>46065119</t>
  </si>
  <si>
    <t>44099523</t>
  </si>
  <si>
    <t>16739819</t>
  </si>
  <si>
    <t>17633334</t>
  </si>
  <si>
    <t>73761346</t>
  </si>
  <si>
    <t>75364168</t>
  </si>
  <si>
    <t>75482574</t>
  </si>
  <si>
    <t>73201193</t>
  </si>
  <si>
    <t>45736499</t>
  </si>
  <si>
    <t>73419883</t>
  </si>
  <si>
    <t>16788853</t>
  </si>
  <si>
    <t>16632843</t>
  </si>
  <si>
    <t>16756816</t>
  </si>
  <si>
    <t>44939571</t>
  </si>
  <si>
    <t>75479020</t>
  </si>
  <si>
    <t>75608382</t>
  </si>
  <si>
    <t>75459300</t>
  </si>
  <si>
    <t>70042427</t>
  </si>
  <si>
    <t>75194516</t>
  </si>
  <si>
    <t>44858163</t>
  </si>
  <si>
    <t>42656845</t>
  </si>
  <si>
    <t>46327997</t>
  </si>
  <si>
    <t>77341510</t>
  </si>
  <si>
    <t>71894605</t>
  </si>
  <si>
    <t>77294821</t>
  </si>
  <si>
    <t>70914357</t>
  </si>
  <si>
    <t>16717925</t>
  </si>
  <si>
    <t>70072077</t>
  </si>
  <si>
    <t>74820040</t>
  </si>
  <si>
    <t>42822148</t>
  </si>
  <si>
    <t>47466869</t>
  </si>
  <si>
    <t>26706589</t>
  </si>
  <si>
    <t>16716019</t>
  </si>
  <si>
    <t>42056550</t>
  </si>
  <si>
    <t>3700601</t>
  </si>
  <si>
    <t>40564392</t>
  </si>
  <si>
    <t>16676613</t>
  </si>
  <si>
    <t>70060478</t>
  </si>
  <si>
    <t>16656814</t>
  </si>
  <si>
    <t>16719569</t>
  </si>
  <si>
    <t>45695320</t>
  </si>
  <si>
    <t>19219053</t>
  </si>
  <si>
    <t>71291418</t>
  </si>
  <si>
    <t>43674308</t>
  </si>
  <si>
    <t>17451203</t>
  </si>
  <si>
    <t>72747940</t>
  </si>
  <si>
    <t>45620610</t>
  </si>
  <si>
    <t>46093910</t>
  </si>
  <si>
    <t>23012904</t>
  </si>
  <si>
    <t>41107329</t>
  </si>
  <si>
    <t>17629020</t>
  </si>
  <si>
    <t>42910566</t>
  </si>
  <si>
    <t>47570029</t>
  </si>
  <si>
    <t>40419542</t>
  </si>
  <si>
    <t>77917975</t>
  </si>
  <si>
    <t>40443151</t>
  </si>
  <si>
    <t>73201583</t>
  </si>
  <si>
    <t>72418564</t>
  </si>
  <si>
    <t>46543374</t>
  </si>
  <si>
    <t>72429350</t>
  </si>
  <si>
    <t>40682987</t>
  </si>
  <si>
    <t>76371681</t>
  </si>
  <si>
    <t>40526435</t>
  </si>
  <si>
    <t>17447604</t>
  </si>
  <si>
    <t>46602449</t>
  </si>
  <si>
    <t>46166550</t>
  </si>
  <si>
    <t>71961884</t>
  </si>
  <si>
    <t>47153347</t>
  </si>
  <si>
    <t>47472434</t>
  </si>
  <si>
    <t>42631304</t>
  </si>
  <si>
    <t>10267454</t>
  </si>
  <si>
    <t>25869444</t>
  </si>
  <si>
    <t>2811678</t>
  </si>
  <si>
    <t>16707822</t>
  </si>
  <si>
    <t>44453453</t>
  </si>
  <si>
    <t>46720707</t>
  </si>
  <si>
    <t>45437477</t>
  </si>
  <si>
    <t>44314825</t>
  </si>
  <si>
    <t>41923767</t>
  </si>
  <si>
    <t>45016415</t>
  </si>
  <si>
    <t>46528893</t>
  </si>
  <si>
    <t>41379898</t>
  </si>
  <si>
    <t>44685921</t>
  </si>
  <si>
    <t>41600624</t>
  </si>
  <si>
    <t>48318009</t>
  </si>
  <si>
    <t>71075038</t>
  </si>
  <si>
    <t>42883961</t>
  </si>
  <si>
    <t>43300428</t>
  </si>
  <si>
    <t>47960065</t>
  </si>
  <si>
    <t>40788603</t>
  </si>
  <si>
    <t>33592009</t>
  </si>
  <si>
    <t>16734916</t>
  </si>
  <si>
    <t>72086966</t>
  </si>
  <si>
    <t>23008546</t>
  </si>
  <si>
    <t>46041762</t>
  </si>
  <si>
    <t>17540369</t>
  </si>
  <si>
    <t>19196040</t>
  </si>
  <si>
    <t>76069023</t>
  </si>
  <si>
    <t>72515720</t>
  </si>
  <si>
    <t>43470708</t>
  </si>
  <si>
    <t>47267644</t>
  </si>
  <si>
    <t>44390443</t>
  </si>
  <si>
    <t>41160658</t>
  </si>
  <si>
    <t>9796909</t>
  </si>
  <si>
    <t>40366179</t>
  </si>
  <si>
    <t>47515394</t>
  </si>
  <si>
    <t>48042572</t>
  </si>
  <si>
    <t>80612579</t>
  </si>
  <si>
    <t>75879465</t>
  </si>
  <si>
    <t>16718184</t>
  </si>
  <si>
    <t>42707881</t>
  </si>
  <si>
    <t>75475198</t>
  </si>
  <si>
    <t>45810268</t>
  </si>
  <si>
    <t>47373478</t>
  </si>
  <si>
    <t>44842913</t>
  </si>
  <si>
    <t>40021177</t>
  </si>
  <si>
    <t>2626994</t>
  </si>
  <si>
    <t>44249936</t>
  </si>
  <si>
    <t>46558332</t>
  </si>
  <si>
    <t>77355069</t>
  </si>
  <si>
    <t>9304638</t>
  </si>
  <si>
    <t>41203836</t>
  </si>
  <si>
    <t>42091229</t>
  </si>
  <si>
    <t>72044190</t>
  </si>
  <si>
    <t>75796634</t>
  </si>
  <si>
    <t>71643302</t>
  </si>
  <si>
    <t>41891142</t>
  </si>
  <si>
    <t>75397174</t>
  </si>
  <si>
    <t>16688080</t>
  </si>
  <si>
    <t>70822466</t>
  </si>
  <si>
    <t>16694733</t>
  </si>
  <si>
    <t>74226566</t>
  </si>
  <si>
    <t>75357455</t>
  </si>
  <si>
    <t>75822747</t>
  </si>
  <si>
    <t>77148412</t>
  </si>
  <si>
    <t>74243164</t>
  </si>
  <si>
    <t>47571093</t>
  </si>
  <si>
    <t>40472061</t>
  </si>
  <si>
    <t>45674376</t>
  </si>
  <si>
    <t>75209895</t>
  </si>
  <si>
    <t>43871941</t>
  </si>
  <si>
    <t>16742508</t>
  </si>
  <si>
    <t>17614550</t>
  </si>
  <si>
    <t>72023858</t>
  </si>
  <si>
    <t>16672714</t>
  </si>
  <si>
    <t>40564490</t>
  </si>
  <si>
    <t>72931068</t>
  </si>
  <si>
    <t>47366638</t>
  </si>
  <si>
    <t>70040696</t>
  </si>
  <si>
    <t>47368239</t>
  </si>
  <si>
    <t>75765882</t>
  </si>
  <si>
    <t>74294310</t>
  </si>
  <si>
    <t>17640756</t>
  </si>
  <si>
    <t>46208428</t>
  </si>
  <si>
    <t>41524559</t>
  </si>
  <si>
    <t>16722503</t>
  </si>
  <si>
    <t>76462525</t>
  </si>
  <si>
    <t>16706577</t>
  </si>
  <si>
    <t>42760176</t>
  </si>
  <si>
    <t>44346504</t>
  </si>
  <si>
    <t>16770070</t>
  </si>
  <si>
    <t>47406981</t>
  </si>
  <si>
    <t>47226710</t>
  </si>
  <si>
    <t>48284094</t>
  </si>
  <si>
    <t>73582499</t>
  </si>
  <si>
    <t>44750425</t>
  </si>
  <si>
    <t>47425819</t>
  </si>
  <si>
    <t>72805329</t>
  </si>
  <si>
    <t>10728493</t>
  </si>
  <si>
    <t>46178371</t>
  </si>
  <si>
    <t>44390020</t>
  </si>
  <si>
    <t>46143909</t>
  </si>
  <si>
    <t>74071354</t>
  </si>
  <si>
    <t>77336541</t>
  </si>
  <si>
    <t>77376960</t>
  </si>
  <si>
    <t>47074230</t>
  </si>
  <si>
    <t>40746985</t>
  </si>
  <si>
    <t>16662100</t>
  </si>
  <si>
    <t>47825525</t>
  </si>
  <si>
    <t>73195235</t>
  </si>
  <si>
    <t>45373514</t>
  </si>
  <si>
    <t>16737789</t>
  </si>
  <si>
    <t>71594168</t>
  </si>
  <si>
    <t>72032483</t>
  </si>
  <si>
    <t>75577626</t>
  </si>
  <si>
    <t>71880811</t>
  </si>
  <si>
    <t>44614904</t>
  </si>
  <si>
    <t>43415038</t>
  </si>
  <si>
    <t>73541556</t>
  </si>
  <si>
    <t>44846664</t>
  </si>
  <si>
    <t>73976793</t>
  </si>
  <si>
    <t>40802823</t>
  </si>
  <si>
    <t>29666325</t>
  </si>
  <si>
    <t>75374980</t>
  </si>
  <si>
    <t>44973638</t>
  </si>
  <si>
    <t>42081951</t>
  </si>
  <si>
    <t>72842637</t>
  </si>
  <si>
    <t>73011536</t>
  </si>
  <si>
    <t>45464982</t>
  </si>
  <si>
    <t>46245628</t>
  </si>
  <si>
    <t>16741051</t>
  </si>
  <si>
    <t>45841031</t>
  </si>
  <si>
    <t>40716870</t>
  </si>
  <si>
    <t>71772975</t>
  </si>
  <si>
    <t>75126098</t>
  </si>
  <si>
    <t>70800187</t>
  </si>
  <si>
    <t>45914714</t>
  </si>
  <si>
    <t>72664440</t>
  </si>
  <si>
    <t>46993419</t>
  </si>
  <si>
    <t>47193378</t>
  </si>
  <si>
    <t>40509393</t>
  </si>
  <si>
    <t>16553145</t>
  </si>
  <si>
    <t>72841607</t>
  </si>
  <si>
    <t>44639630</t>
  </si>
  <si>
    <t>41215513</t>
  </si>
  <si>
    <t>70926425</t>
  </si>
  <si>
    <t>74209427</t>
  </si>
  <si>
    <t>40849197</t>
  </si>
  <si>
    <t>41609005</t>
  </si>
  <si>
    <t>81704409</t>
  </si>
  <si>
    <t>45427795</t>
  </si>
  <si>
    <t>41986581</t>
  </si>
  <si>
    <t>70523246</t>
  </si>
  <si>
    <t>70800189</t>
  </si>
  <si>
    <t>16796041</t>
  </si>
  <si>
    <t>42685847</t>
  </si>
  <si>
    <t>44459068</t>
  </si>
  <si>
    <t>47130117</t>
  </si>
  <si>
    <t>76371544</t>
  </si>
  <si>
    <t>42303668</t>
  </si>
  <si>
    <t>73467131</t>
  </si>
  <si>
    <t>71646998</t>
  </si>
  <si>
    <t>75673491</t>
  </si>
  <si>
    <t>45803390</t>
  </si>
  <si>
    <t>72845372</t>
  </si>
  <si>
    <t>73331926</t>
  </si>
  <si>
    <t>72024379</t>
  </si>
  <si>
    <t>74970952</t>
  </si>
  <si>
    <t>41059503</t>
  </si>
  <si>
    <t>71584518</t>
  </si>
  <si>
    <t>47152114</t>
  </si>
  <si>
    <t>41051470</t>
  </si>
  <si>
    <t>41866272</t>
  </si>
  <si>
    <t>74147875</t>
  </si>
  <si>
    <t>27433299</t>
  </si>
  <si>
    <t>72320643</t>
  </si>
  <si>
    <t>3700891</t>
  </si>
  <si>
    <t>77665326</t>
  </si>
  <si>
    <t>40769188</t>
  </si>
  <si>
    <t>71566001</t>
  </si>
  <si>
    <t>40937032</t>
  </si>
  <si>
    <t>16674963</t>
  </si>
  <si>
    <t>44584546</t>
  </si>
  <si>
    <t>40954989</t>
  </si>
  <si>
    <t>72680869</t>
  </si>
  <si>
    <t>76672277</t>
  </si>
  <si>
    <t>75111875</t>
  </si>
  <si>
    <t>16727920</t>
  </si>
  <si>
    <t>17540444</t>
  </si>
  <si>
    <t>41554349</t>
  </si>
  <si>
    <t>47793691</t>
  </si>
  <si>
    <t>43532919</t>
  </si>
  <si>
    <t>42181270</t>
  </si>
  <si>
    <t>16683138</t>
  </si>
  <si>
    <t>16766146</t>
  </si>
  <si>
    <t>46153917</t>
  </si>
  <si>
    <t>44617382</t>
  </si>
  <si>
    <t>75509847</t>
  </si>
  <si>
    <t>47203111</t>
  </si>
  <si>
    <t>42776178</t>
  </si>
  <si>
    <t>43189679</t>
  </si>
  <si>
    <t>75566190</t>
  </si>
  <si>
    <t>41054977</t>
  </si>
  <si>
    <t>45075603</t>
  </si>
  <si>
    <t>Sexo1</t>
  </si>
  <si>
    <t>0000-00-00</t>
  </si>
  <si>
    <t>V</t>
  </si>
  <si>
    <t>XIII</t>
  </si>
  <si>
    <t>VIII</t>
  </si>
  <si>
    <t>XIV</t>
  </si>
  <si>
    <t>III</t>
  </si>
  <si>
    <t>I</t>
  </si>
  <si>
    <t>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</si>
</sst>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FFFFFF"/>
      <name val="Calibri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rgb="FF007BFF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 applyAlignment="1">
      <alignment horizontal="left"/>
    </xf>
    <xf numFmtId="0" fontId="2" fillId="4" borderId="0" xfId="0" applyFont="1" applyFill="1" applyAlignment="1">
      <alignment horizontal="left"/>
    </xf>
    <xf numFmtId="0" fontId="0" fillId="5" borderId="0" xfId="0" applyFill="1" applyAlignment="1">
      <alignment horizontal="left"/>
    </xf>
    <xf numFmtId="0" fontId="2" fillId="5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0" fillId="6" borderId="0" xfId="0" applyFill="1" applyAlignment="1">
      <alignment horizontal="left"/>
    </xf>
    <xf numFmtId="0" fontId="2" fillId="6" borderId="0" xfId="0" applyFont="1" applyFill="1" applyAlignment="1">
      <alignment horizontal="left"/>
    </xf>
    <xf numFmtId="0" fontId="2" fillId="0" borderId="0" xfId="0" applyFont="1"/>
    <xf numFmtId="0" fontId="0" fillId="7" borderId="0" xfId="0" applyFill="1" applyAlignment="1">
      <alignment horizontal="left"/>
    </xf>
    <xf numFmtId="0" fontId="2" fillId="7" borderId="0" xfId="0" applyFont="1" applyFill="1" applyAlignment="1">
      <alignment horizontal="left"/>
    </xf>
    <xf numFmtId="0" fontId="0" fillId="8" borderId="0" xfId="0" applyFill="1" applyAlignment="1">
      <alignment horizontal="left"/>
    </xf>
    <xf numFmtId="0" fontId="2" fillId="8" borderId="0" xfId="0" applyFont="1" applyFill="1" applyAlignment="1">
      <alignment horizontal="left"/>
    </xf>
    <xf numFmtId="0" fontId="0" fillId="9" borderId="0" xfId="0" applyFill="1" applyAlignment="1">
      <alignment horizontal="left"/>
    </xf>
    <xf numFmtId="0" fontId="2" fillId="9" borderId="0" xfId="0" applyFont="1" applyFill="1" applyAlignment="1">
      <alignment horizontal="left"/>
    </xf>
    <xf numFmtId="0" fontId="0" fillId="10" borderId="0" xfId="0" applyFill="1" applyAlignment="1">
      <alignment horizontal="left"/>
    </xf>
    <xf numFmtId="0" fontId="2" fillId="10" borderId="0" xfId="0" applyFont="1" applyFill="1" applyAlignment="1">
      <alignment horizontal="left"/>
    </xf>
    <xf numFmtId="0" fontId="0" fillId="11" borderId="0" xfId="0" applyFill="1" applyAlignment="1">
      <alignment horizontal="left"/>
    </xf>
    <xf numFmtId="0" fontId="2" fillId="11" borderId="0" xfId="0" applyFont="1" applyFill="1" applyAlignment="1">
      <alignment horizontal="left"/>
    </xf>
    <xf numFmtId="0" fontId="0" fillId="12" borderId="0" xfId="0" applyFill="1" applyAlignment="1">
      <alignment horizontal="left"/>
    </xf>
    <xf numFmtId="0" fontId="2" fillId="12" borderId="0" xfId="0" applyFont="1" applyFill="1" applyAlignment="1">
      <alignment horizontal="left"/>
    </xf>
    <xf numFmtId="0" fontId="0" fillId="13" borderId="0" xfId="0" applyFill="1" applyAlignment="1">
      <alignment horizontal="left"/>
    </xf>
    <xf numFmtId="0" fontId="2" fillId="13" borderId="0" xfId="0" applyFont="1" applyFill="1" applyAlignment="1">
      <alignment horizontal="left"/>
    </xf>
    <xf numFmtId="0" fontId="0" fillId="14" borderId="0" xfId="0" applyFill="1" applyAlignment="1">
      <alignment horizontal="left"/>
    </xf>
    <xf numFmtId="0" fontId="2" fillId="14" borderId="0" xfId="0" applyFont="1" applyFill="1" applyAlignment="1">
      <alignment horizontal="left"/>
    </xf>
    <xf numFmtId="0" fontId="0" fillId="15" borderId="0" xfId="0" applyFill="1" applyAlignment="1">
      <alignment horizontal="left"/>
    </xf>
    <xf numFmtId="0" fontId="2" fillId="15" borderId="0" xfId="0" applyFont="1" applyFill="1" applyAlignment="1">
      <alignment horizontal="left"/>
    </xf>
    <xf numFmtId="0" fontId="0" fillId="16" borderId="0" xfId="0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0" borderId="0" xfId="0" applyFont="1"/>
    <xf numFmtId="0" fontId="4" fillId="4" borderId="0" xfId="0" applyFont="1" applyFill="1" applyAlignment="1">
      <alignment horizontal="left"/>
    </xf>
    <xf numFmtId="0" fontId="4" fillId="4" borderId="0" xfId="0" quotePrefix="1" applyFont="1" applyFill="1" applyAlignment="1">
      <alignment horizontal="left"/>
    </xf>
    <xf numFmtId="0" fontId="2" fillId="16" borderId="0" xfId="0" applyFont="1" applyFill="1"/>
    <xf numFmtId="0" fontId="0" fillId="4" borderId="0" xfId="0" applyFont="1" applyFill="1" applyAlignment="1">
      <alignment horizontal="left"/>
    </xf>
    <xf numFmtId="49" fontId="4" fillId="0" borderId="0" xfId="0" applyNumberFormat="1" applyFont="1"/>
    <xf numFmtId="49" fontId="0" fillId="0" borderId="0" xfId="0" applyNumberFormat="1" applyAlignment="1">
      <alignment horizontal="left"/>
    </xf>
    <xf numFmtId="49" fontId="0" fillId="4" borderId="0" xfId="0" applyNumberFormat="1" applyFill="1" applyAlignment="1">
      <alignment horizontal="left"/>
    </xf>
    <xf numFmtId="49" fontId="0" fillId="13" borderId="0" xfId="0" applyNumberFormat="1" applyFill="1" applyAlignment="1">
      <alignment horizontal="left"/>
    </xf>
    <xf numFmtId="49" fontId="0" fillId="14" borderId="0" xfId="0" applyNumberFormat="1" applyFill="1" applyAlignment="1">
      <alignment horizontal="left"/>
    </xf>
    <xf numFmtId="49" fontId="0" fillId="11" borderId="0" xfId="0" applyNumberFormat="1" applyFill="1" applyAlignment="1">
      <alignment horizontal="left"/>
    </xf>
    <xf numFmtId="49" fontId="0" fillId="12" borderId="0" xfId="0" applyNumberFormat="1" applyFill="1" applyAlignment="1">
      <alignment horizontal="left"/>
    </xf>
    <xf numFmtId="49" fontId="0" fillId="7" borderId="0" xfId="0" applyNumberFormat="1" applyFill="1" applyAlignment="1">
      <alignment horizontal="left"/>
    </xf>
    <xf numFmtId="49" fontId="0" fillId="9" borderId="0" xfId="0" applyNumberFormat="1" applyFill="1" applyAlignment="1">
      <alignment horizontal="left"/>
    </xf>
    <xf numFmtId="49" fontId="0" fillId="8" borderId="0" xfId="0" applyNumberFormat="1" applyFill="1" applyAlignment="1">
      <alignment horizontal="left"/>
    </xf>
    <xf numFmtId="49" fontId="0" fillId="6" borderId="0" xfId="0" applyNumberFormat="1" applyFill="1" applyAlignment="1">
      <alignment horizontal="left"/>
    </xf>
    <xf numFmtId="49" fontId="0" fillId="16" borderId="0" xfId="0" applyNumberFormat="1" applyFill="1" applyAlignment="1">
      <alignment horizontal="left"/>
    </xf>
    <xf numFmtId="49" fontId="0" fillId="10" borderId="0" xfId="0" applyNumberFormat="1" applyFill="1" applyAlignment="1">
      <alignment horizontal="left"/>
    </xf>
    <xf numFmtId="49" fontId="0" fillId="3" borderId="0" xfId="0" applyNumberFormat="1" applyFill="1" applyAlignment="1">
      <alignment horizontal="left"/>
    </xf>
    <xf numFmtId="49" fontId="0" fillId="15" borderId="0" xfId="0" applyNumberFormat="1" applyFill="1" applyAlignment="1">
      <alignment horizontal="left"/>
    </xf>
    <xf numFmtId="49" fontId="0" fillId="5" borderId="0" xfId="0" applyNumberFormat="1" applyFill="1" applyAlignment="1">
      <alignment horizontal="left"/>
    </xf>
    <xf numFmtId="49" fontId="4" fillId="4" borderId="0" xfId="0" applyNumberFormat="1" applyFont="1" applyFill="1" applyAlignment="1">
      <alignment horizontal="left"/>
    </xf>
    <xf numFmtId="49" fontId="4" fillId="0" borderId="0" xfId="0" applyNumberFormat="1" applyFont="1" applyAlignment="1">
      <alignment horizontal="left"/>
    </xf>
    <xf numFmtId="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10"/>
  <sheetViews>
    <sheetView zoomScale="90" zoomScaleNormal="90" workbookViewId="0">
      <selection activeCell="A2" sqref="A2:I410"/>
    </sheetView>
  </sheetViews>
  <sheetFormatPr baseColWidth="10" defaultColWidth="8.85546875" defaultRowHeight="15" x14ac:dyDescent="0.25"/>
  <cols>
    <col min="1" max="1" width="5" style="1" bestFit="1" customWidth="1"/>
    <col min="2" max="2" width="11.7109375" style="1" bestFit="1" customWidth="1"/>
    <col min="3" max="3" width="48" style="1" bestFit="1" customWidth="1"/>
    <col min="4" max="4" width="44" style="1" bestFit="1" customWidth="1"/>
    <col min="5" max="5" width="10" style="1" bestFit="1" customWidth="1"/>
    <col min="6" max="6" width="17.28515625" style="1" customWidth="1"/>
    <col min="7" max="7" width="83" style="1" customWidth="1"/>
    <col min="8" max="8" width="15.140625" style="1" bestFit="1" customWidth="1"/>
    <col min="9" max="9" width="22.28515625" style="1" bestFit="1" customWidth="1"/>
  </cols>
  <sheetData>
    <row r="1" spans="1:9" x14ac:dyDescent="0.25">
      <c r="A1" s="2" t="s">
        <v>852</v>
      </c>
      <c r="B1" s="2" t="s">
        <v>0</v>
      </c>
      <c r="C1" s="2" t="s">
        <v>1</v>
      </c>
      <c r="D1" s="2" t="s">
        <v>2</v>
      </c>
      <c r="E1" s="2" t="s">
        <v>851</v>
      </c>
      <c r="F1" s="2" t="s">
        <v>3</v>
      </c>
      <c r="G1" s="2" t="s">
        <v>4</v>
      </c>
      <c r="H1" s="2" t="s">
        <v>5</v>
      </c>
      <c r="I1" s="2" t="s">
        <v>6</v>
      </c>
    </row>
    <row r="2" spans="1:9" x14ac:dyDescent="0.25">
      <c r="A2" s="2" t="s">
        <v>852</v>
      </c>
      <c r="B2" s="2" t="s">
        <v>0</v>
      </c>
      <c r="C2" s="2" t="s">
        <v>1</v>
      </c>
      <c r="D2" s="2" t="s">
        <v>2</v>
      </c>
      <c r="E2" s="2" t="s">
        <v>851</v>
      </c>
      <c r="F2" s="2" t="s">
        <v>3</v>
      </c>
      <c r="G2" s="2" t="s">
        <v>4</v>
      </c>
      <c r="H2" s="2" t="s">
        <v>5</v>
      </c>
      <c r="I2" s="2" t="s">
        <v>6</v>
      </c>
    </row>
    <row r="3" spans="1:9" x14ac:dyDescent="0.25">
      <c r="A3" s="4">
        <v>9</v>
      </c>
      <c r="B3" s="4">
        <v>75363208</v>
      </c>
      <c r="C3" s="4" t="s">
        <v>133</v>
      </c>
      <c r="D3" s="4" t="s">
        <v>134</v>
      </c>
      <c r="E3" s="4">
        <v>955850651</v>
      </c>
      <c r="F3" s="4" t="s">
        <v>90</v>
      </c>
      <c r="G3" s="4" t="s">
        <v>135</v>
      </c>
      <c r="H3" s="4">
        <v>80.5</v>
      </c>
      <c r="I3" s="4" t="s">
        <v>11</v>
      </c>
    </row>
    <row r="4" spans="1:9" x14ac:dyDescent="0.25">
      <c r="A4" s="4">
        <v>18</v>
      </c>
      <c r="B4" s="4">
        <v>44666269</v>
      </c>
      <c r="C4" s="4" t="s">
        <v>136</v>
      </c>
      <c r="D4" s="4" t="s">
        <v>137</v>
      </c>
      <c r="E4" s="4">
        <v>926186587</v>
      </c>
      <c r="F4" s="4" t="s">
        <v>90</v>
      </c>
      <c r="G4" s="4" t="s">
        <v>135</v>
      </c>
      <c r="H4" s="4">
        <v>74.5</v>
      </c>
      <c r="I4" s="4" t="s">
        <v>11</v>
      </c>
    </row>
    <row r="5" spans="1:9" x14ac:dyDescent="0.25">
      <c r="A5" s="4">
        <v>3</v>
      </c>
      <c r="B5" s="4">
        <v>71491689</v>
      </c>
      <c r="C5" s="4" t="s">
        <v>138</v>
      </c>
      <c r="D5" s="4" t="s">
        <v>139</v>
      </c>
      <c r="E5" s="4">
        <v>968750910</v>
      </c>
      <c r="F5" s="4" t="s">
        <v>90</v>
      </c>
      <c r="G5" s="4" t="s">
        <v>135</v>
      </c>
      <c r="H5" s="4">
        <v>74</v>
      </c>
      <c r="I5" s="4" t="s">
        <v>11</v>
      </c>
    </row>
    <row r="6" spans="1:9" x14ac:dyDescent="0.25">
      <c r="A6" s="4">
        <v>17</v>
      </c>
      <c r="B6" s="4">
        <v>73462669</v>
      </c>
      <c r="C6" s="4" t="s">
        <v>140</v>
      </c>
      <c r="D6" s="4" t="s">
        <v>141</v>
      </c>
      <c r="E6" s="4">
        <v>975609988</v>
      </c>
      <c r="F6" s="4" t="s">
        <v>90</v>
      </c>
      <c r="G6" s="4" t="s">
        <v>135</v>
      </c>
      <c r="H6" s="4">
        <v>74</v>
      </c>
      <c r="I6" s="4" t="s">
        <v>11</v>
      </c>
    </row>
    <row r="7" spans="1:9" x14ac:dyDescent="0.25">
      <c r="A7" s="4">
        <v>1</v>
      </c>
      <c r="B7" s="4">
        <v>71396806</v>
      </c>
      <c r="C7" s="4" t="s">
        <v>142</v>
      </c>
      <c r="D7" s="4" t="s">
        <v>143</v>
      </c>
      <c r="E7" s="4">
        <v>972026173</v>
      </c>
      <c r="F7" s="4" t="s">
        <v>90</v>
      </c>
      <c r="G7" s="4" t="s">
        <v>135</v>
      </c>
      <c r="H7" s="4">
        <v>73.5</v>
      </c>
      <c r="I7" s="4" t="s">
        <v>11</v>
      </c>
    </row>
    <row r="8" spans="1:9" x14ac:dyDescent="0.25">
      <c r="A8" s="4">
        <v>2</v>
      </c>
      <c r="B8" s="4">
        <v>43111414</v>
      </c>
      <c r="C8" s="4" t="s">
        <v>144</v>
      </c>
      <c r="D8" s="4" t="s">
        <v>145</v>
      </c>
      <c r="E8" s="4">
        <v>939737207</v>
      </c>
      <c r="F8" s="4" t="s">
        <v>90</v>
      </c>
      <c r="G8" s="4" t="s">
        <v>135</v>
      </c>
      <c r="H8" s="4">
        <v>72.5</v>
      </c>
      <c r="I8" s="4" t="s">
        <v>11</v>
      </c>
    </row>
    <row r="9" spans="1:9" x14ac:dyDescent="0.25">
      <c r="A9" s="4">
        <v>5</v>
      </c>
      <c r="B9" s="4">
        <v>60258953</v>
      </c>
      <c r="C9" s="4" t="s">
        <v>146</v>
      </c>
      <c r="D9" s="4" t="s">
        <v>147</v>
      </c>
      <c r="E9" s="4">
        <v>990453660</v>
      </c>
      <c r="F9" s="4" t="s">
        <v>90</v>
      </c>
      <c r="G9" s="4" t="s">
        <v>135</v>
      </c>
      <c r="H9" s="4">
        <v>72.5</v>
      </c>
      <c r="I9" s="4" t="s">
        <v>11</v>
      </c>
    </row>
    <row r="10" spans="1:9" x14ac:dyDescent="0.25">
      <c r="A10" s="4">
        <v>12</v>
      </c>
      <c r="B10" s="4">
        <v>73025102</v>
      </c>
      <c r="C10" s="4" t="s">
        <v>148</v>
      </c>
      <c r="D10" s="4" t="s">
        <v>149</v>
      </c>
      <c r="E10" s="4">
        <v>963584802</v>
      </c>
      <c r="F10" s="4" t="s">
        <v>90</v>
      </c>
      <c r="G10" s="4" t="s">
        <v>135</v>
      </c>
      <c r="H10" s="4">
        <v>72.5</v>
      </c>
      <c r="I10" s="4" t="s">
        <v>11</v>
      </c>
    </row>
    <row r="11" spans="1:9" x14ac:dyDescent="0.25">
      <c r="A11" s="4">
        <v>7</v>
      </c>
      <c r="B11" s="4">
        <v>75720372</v>
      </c>
      <c r="C11" s="4" t="s">
        <v>150</v>
      </c>
      <c r="D11" s="4" t="s">
        <v>151</v>
      </c>
      <c r="E11" s="4">
        <v>941361826</v>
      </c>
      <c r="F11" s="4" t="s">
        <v>90</v>
      </c>
      <c r="G11" s="4" t="s">
        <v>135</v>
      </c>
      <c r="H11" s="4">
        <v>72</v>
      </c>
      <c r="I11" s="4" t="s">
        <v>11</v>
      </c>
    </row>
    <row r="12" spans="1:9" x14ac:dyDescent="0.25">
      <c r="A12" s="4">
        <v>15</v>
      </c>
      <c r="B12" s="4">
        <v>46135037</v>
      </c>
      <c r="C12" s="4" t="s">
        <v>152</v>
      </c>
      <c r="D12" s="4" t="s">
        <v>153</v>
      </c>
      <c r="E12" s="4">
        <v>918313510</v>
      </c>
      <c r="F12" s="4" t="s">
        <v>90</v>
      </c>
      <c r="G12" s="4" t="s">
        <v>135</v>
      </c>
      <c r="H12" s="4">
        <v>70</v>
      </c>
      <c r="I12" s="4" t="s">
        <v>11</v>
      </c>
    </row>
    <row r="13" spans="1:9" x14ac:dyDescent="0.25">
      <c r="A13" s="4">
        <v>10</v>
      </c>
      <c r="B13" s="4">
        <v>48199611</v>
      </c>
      <c r="C13" s="4" t="s">
        <v>154</v>
      </c>
      <c r="D13" s="4" t="s">
        <v>155</v>
      </c>
      <c r="E13" s="4">
        <v>925882492</v>
      </c>
      <c r="F13" s="4" t="s">
        <v>90</v>
      </c>
      <c r="G13" s="4" t="s">
        <v>135</v>
      </c>
      <c r="H13" s="4">
        <v>68.5</v>
      </c>
      <c r="I13" s="4" t="s">
        <v>11</v>
      </c>
    </row>
    <row r="14" spans="1:9" x14ac:dyDescent="0.25">
      <c r="A14" s="4">
        <v>4</v>
      </c>
      <c r="B14" s="4">
        <v>73514125</v>
      </c>
      <c r="C14" s="4" t="s">
        <v>156</v>
      </c>
      <c r="D14" s="4" t="s">
        <v>157</v>
      </c>
      <c r="E14" s="4">
        <v>973854830</v>
      </c>
      <c r="F14" s="4" t="s">
        <v>90</v>
      </c>
      <c r="G14" s="4" t="s">
        <v>135</v>
      </c>
      <c r="H14" s="4">
        <v>67.5</v>
      </c>
      <c r="I14" s="4" t="s">
        <v>11</v>
      </c>
    </row>
    <row r="15" spans="1:9" x14ac:dyDescent="0.25">
      <c r="A15" s="4">
        <v>13</v>
      </c>
      <c r="B15" s="4">
        <v>43774455</v>
      </c>
      <c r="C15" s="4" t="s">
        <v>158</v>
      </c>
      <c r="D15" s="4" t="s">
        <v>159</v>
      </c>
      <c r="E15" s="4">
        <v>938289726</v>
      </c>
      <c r="F15" s="4" t="s">
        <v>90</v>
      </c>
      <c r="G15" s="4" t="s">
        <v>135</v>
      </c>
      <c r="H15" s="4">
        <v>66.5</v>
      </c>
      <c r="I15" s="4" t="s">
        <v>11</v>
      </c>
    </row>
    <row r="16" spans="1:9" x14ac:dyDescent="0.25">
      <c r="A16" s="4">
        <v>11</v>
      </c>
      <c r="B16" s="4">
        <v>29542684</v>
      </c>
      <c r="C16" s="4" t="s">
        <v>160</v>
      </c>
      <c r="D16" s="4" t="s">
        <v>161</v>
      </c>
      <c r="E16" s="4">
        <v>971168300</v>
      </c>
      <c r="F16" s="4" t="s">
        <v>90</v>
      </c>
      <c r="G16" s="4" t="s">
        <v>135</v>
      </c>
      <c r="H16" s="4">
        <v>65.5</v>
      </c>
      <c r="I16" s="4" t="s">
        <v>11</v>
      </c>
    </row>
    <row r="17" spans="1:9" x14ac:dyDescent="0.25">
      <c r="A17" s="4">
        <v>6</v>
      </c>
      <c r="B17" s="4">
        <v>72841146</v>
      </c>
      <c r="C17" s="4" t="s">
        <v>162</v>
      </c>
      <c r="D17" s="4" t="s">
        <v>163</v>
      </c>
      <c r="E17" s="4">
        <v>964522597</v>
      </c>
      <c r="F17" s="4" t="s">
        <v>90</v>
      </c>
      <c r="G17" s="4" t="s">
        <v>135</v>
      </c>
      <c r="H17" s="4">
        <v>64.5</v>
      </c>
      <c r="I17" s="4" t="s">
        <v>11</v>
      </c>
    </row>
    <row r="18" spans="1:9" x14ac:dyDescent="0.25">
      <c r="A18" s="4">
        <v>8</v>
      </c>
      <c r="B18" s="4">
        <v>74212099</v>
      </c>
      <c r="C18" s="4" t="s">
        <v>164</v>
      </c>
      <c r="D18" s="4" t="s">
        <v>165</v>
      </c>
      <c r="E18" s="4">
        <v>913428467</v>
      </c>
      <c r="F18" s="4" t="s">
        <v>90</v>
      </c>
      <c r="G18" s="4" t="s">
        <v>135</v>
      </c>
      <c r="H18" s="4">
        <v>64.5</v>
      </c>
      <c r="I18" s="4" t="s">
        <v>11</v>
      </c>
    </row>
    <row r="19" spans="1:9" x14ac:dyDescent="0.25">
      <c r="A19" s="4">
        <v>16</v>
      </c>
      <c r="B19" s="4">
        <v>72740097</v>
      </c>
      <c r="C19" s="4" t="s">
        <v>166</v>
      </c>
      <c r="D19" s="4" t="s">
        <v>167</v>
      </c>
      <c r="E19" s="4">
        <v>977489076</v>
      </c>
      <c r="F19" s="4" t="s">
        <v>90</v>
      </c>
      <c r="G19" s="4" t="s">
        <v>135</v>
      </c>
      <c r="H19" s="4">
        <v>61</v>
      </c>
      <c r="I19" s="4" t="s">
        <v>11</v>
      </c>
    </row>
    <row r="20" spans="1:9" x14ac:dyDescent="0.25">
      <c r="A20" s="4">
        <v>14</v>
      </c>
      <c r="B20" s="4">
        <v>43636883</v>
      </c>
      <c r="C20" s="4" t="s">
        <v>168</v>
      </c>
      <c r="D20" s="4" t="s">
        <v>169</v>
      </c>
      <c r="E20" s="4">
        <v>979258187</v>
      </c>
      <c r="F20" s="4" t="s">
        <v>90</v>
      </c>
      <c r="G20" s="4" t="s">
        <v>135</v>
      </c>
      <c r="H20" s="4">
        <v>58</v>
      </c>
      <c r="I20" s="4" t="s">
        <v>11</v>
      </c>
    </row>
    <row r="21" spans="1:9" x14ac:dyDescent="0.25">
      <c r="A21" s="5">
        <v>19</v>
      </c>
      <c r="B21" s="5">
        <v>47152114</v>
      </c>
      <c r="C21" s="5" t="s">
        <v>170</v>
      </c>
      <c r="D21" s="5" t="s">
        <v>171</v>
      </c>
      <c r="E21" s="5">
        <v>927874755</v>
      </c>
      <c r="F21" s="5" t="s">
        <v>90</v>
      </c>
      <c r="G21" s="5" t="s">
        <v>135</v>
      </c>
      <c r="H21" s="5">
        <v>7</v>
      </c>
      <c r="I21" s="5" t="s">
        <v>50</v>
      </c>
    </row>
    <row r="22" spans="1:9" x14ac:dyDescent="0.25">
      <c r="A22" s="5">
        <v>20</v>
      </c>
      <c r="B22" s="5">
        <v>70523246</v>
      </c>
      <c r="C22" s="5" t="s">
        <v>172</v>
      </c>
      <c r="D22" s="5" t="s">
        <v>173</v>
      </c>
      <c r="E22" s="5">
        <v>945801245</v>
      </c>
      <c r="F22" s="5" t="s">
        <v>90</v>
      </c>
      <c r="G22" s="5" t="s">
        <v>135</v>
      </c>
      <c r="H22" s="5">
        <v>5</v>
      </c>
      <c r="I22" s="5" t="s">
        <v>50</v>
      </c>
    </row>
    <row r="23" spans="1:9" x14ac:dyDescent="0.25">
      <c r="A23" s="6">
        <v>3</v>
      </c>
      <c r="B23" s="1">
        <v>74720963</v>
      </c>
      <c r="C23" s="1" t="s">
        <v>221</v>
      </c>
      <c r="D23" s="1" t="s">
        <v>222</v>
      </c>
      <c r="E23" s="1">
        <v>973086900</v>
      </c>
      <c r="F23" s="1" t="s">
        <v>90</v>
      </c>
      <c r="G23" s="1" t="s">
        <v>223</v>
      </c>
      <c r="H23" s="1">
        <v>79.099999999999994</v>
      </c>
      <c r="I23" s="1" t="s">
        <v>11</v>
      </c>
    </row>
    <row r="24" spans="1:9" x14ac:dyDescent="0.25">
      <c r="A24" s="6">
        <v>22</v>
      </c>
      <c r="B24" s="1">
        <v>73977233</v>
      </c>
      <c r="C24" s="1" t="s">
        <v>224</v>
      </c>
      <c r="D24" s="1" t="s">
        <v>225</v>
      </c>
      <c r="E24" s="1">
        <v>921092300</v>
      </c>
      <c r="F24" s="1" t="s">
        <v>90</v>
      </c>
      <c r="G24" s="1" t="s">
        <v>223</v>
      </c>
      <c r="H24" s="1">
        <v>77</v>
      </c>
      <c r="I24" s="1" t="s">
        <v>11</v>
      </c>
    </row>
    <row r="25" spans="1:9" x14ac:dyDescent="0.25">
      <c r="A25" s="6">
        <v>18</v>
      </c>
      <c r="B25" s="1">
        <v>72705857</v>
      </c>
      <c r="C25" s="1" t="s">
        <v>226</v>
      </c>
      <c r="D25" s="1" t="s">
        <v>227</v>
      </c>
      <c r="E25" s="1">
        <v>923075704</v>
      </c>
      <c r="F25" s="1" t="s">
        <v>90</v>
      </c>
      <c r="G25" s="1" t="s">
        <v>223</v>
      </c>
      <c r="H25" s="1">
        <v>74.400000000000006</v>
      </c>
      <c r="I25" s="1" t="s">
        <v>11</v>
      </c>
    </row>
    <row r="26" spans="1:9" x14ac:dyDescent="0.25">
      <c r="A26" s="6">
        <v>1</v>
      </c>
      <c r="B26" s="1">
        <v>76557578</v>
      </c>
      <c r="C26" s="1" t="s">
        <v>228</v>
      </c>
      <c r="D26" s="1" t="s">
        <v>229</v>
      </c>
      <c r="E26" s="1">
        <v>927503554</v>
      </c>
      <c r="F26" s="1" t="s">
        <v>90</v>
      </c>
      <c r="G26" s="1" t="s">
        <v>223</v>
      </c>
      <c r="H26" s="1">
        <v>72</v>
      </c>
      <c r="I26" s="1" t="s">
        <v>11</v>
      </c>
    </row>
    <row r="27" spans="1:9" x14ac:dyDescent="0.25">
      <c r="A27" s="6">
        <v>10</v>
      </c>
      <c r="B27" s="1">
        <v>73532196</v>
      </c>
      <c r="C27" s="1" t="s">
        <v>230</v>
      </c>
      <c r="D27" s="1" t="s">
        <v>231</v>
      </c>
      <c r="E27" s="1">
        <v>979743526</v>
      </c>
      <c r="F27" s="1" t="s">
        <v>90</v>
      </c>
      <c r="G27" s="1" t="s">
        <v>223</v>
      </c>
      <c r="H27" s="1">
        <v>71</v>
      </c>
      <c r="I27" s="1" t="s">
        <v>11</v>
      </c>
    </row>
    <row r="28" spans="1:9" x14ac:dyDescent="0.25">
      <c r="A28" s="6">
        <v>4</v>
      </c>
      <c r="B28" s="1">
        <v>44346477</v>
      </c>
      <c r="C28" s="1" t="s">
        <v>232</v>
      </c>
      <c r="D28" s="1" t="s">
        <v>233</v>
      </c>
      <c r="E28" s="1">
        <v>940462464</v>
      </c>
      <c r="F28" s="1" t="s">
        <v>90</v>
      </c>
      <c r="G28" s="1" t="s">
        <v>223</v>
      </c>
      <c r="H28" s="1">
        <v>69.5</v>
      </c>
      <c r="I28" s="1" t="s">
        <v>11</v>
      </c>
    </row>
    <row r="29" spans="1:9" x14ac:dyDescent="0.25">
      <c r="A29" s="6">
        <v>8</v>
      </c>
      <c r="B29" s="1">
        <v>70673235</v>
      </c>
      <c r="C29" s="1" t="s">
        <v>234</v>
      </c>
      <c r="D29" s="1" t="s">
        <v>235</v>
      </c>
      <c r="E29" s="1">
        <v>903358427</v>
      </c>
      <c r="F29" s="1" t="s">
        <v>90</v>
      </c>
      <c r="G29" s="1" t="s">
        <v>223</v>
      </c>
      <c r="H29" s="1">
        <v>69.5</v>
      </c>
      <c r="I29" s="1" t="s">
        <v>11</v>
      </c>
    </row>
    <row r="30" spans="1:9" x14ac:dyDescent="0.25">
      <c r="A30" s="6">
        <v>21</v>
      </c>
      <c r="B30" s="1">
        <v>73704207</v>
      </c>
      <c r="C30" s="1" t="s">
        <v>236</v>
      </c>
      <c r="D30" s="1" t="s">
        <v>237</v>
      </c>
      <c r="E30" s="1">
        <v>952699247</v>
      </c>
      <c r="F30" s="1" t="s">
        <v>90</v>
      </c>
      <c r="G30" s="1" t="s">
        <v>223</v>
      </c>
      <c r="H30" s="1">
        <v>69</v>
      </c>
      <c r="I30" s="1" t="s">
        <v>11</v>
      </c>
    </row>
    <row r="31" spans="1:9" x14ac:dyDescent="0.25">
      <c r="A31" s="6">
        <v>5</v>
      </c>
      <c r="B31" s="1">
        <v>71323716</v>
      </c>
      <c r="C31" s="1" t="s">
        <v>238</v>
      </c>
      <c r="D31" s="1" t="s">
        <v>239</v>
      </c>
      <c r="E31" s="1">
        <v>991672212</v>
      </c>
      <c r="F31" s="1" t="s">
        <v>90</v>
      </c>
      <c r="G31" s="1" t="s">
        <v>223</v>
      </c>
      <c r="H31" s="1">
        <v>65.900000000000006</v>
      </c>
      <c r="I31" s="1" t="s">
        <v>11</v>
      </c>
    </row>
    <row r="32" spans="1:9" x14ac:dyDescent="0.25">
      <c r="A32" s="6">
        <v>15</v>
      </c>
      <c r="B32" s="1">
        <v>72329588</v>
      </c>
      <c r="C32" s="1" t="s">
        <v>240</v>
      </c>
      <c r="D32" s="1" t="s">
        <v>241</v>
      </c>
      <c r="E32" s="1">
        <v>941776414</v>
      </c>
      <c r="F32" s="1" t="s">
        <v>90</v>
      </c>
      <c r="G32" s="1" t="s">
        <v>223</v>
      </c>
      <c r="H32" s="1">
        <v>65.5</v>
      </c>
      <c r="I32" s="1" t="s">
        <v>11</v>
      </c>
    </row>
    <row r="33" spans="1:9" x14ac:dyDescent="0.25">
      <c r="A33" s="6">
        <v>19</v>
      </c>
      <c r="B33" s="1">
        <v>41154905</v>
      </c>
      <c r="C33" s="1" t="s">
        <v>242</v>
      </c>
      <c r="D33" s="1" t="s">
        <v>243</v>
      </c>
      <c r="E33" s="1">
        <v>955641956</v>
      </c>
      <c r="F33" s="1" t="s">
        <v>90</v>
      </c>
      <c r="G33" s="1" t="s">
        <v>223</v>
      </c>
      <c r="H33" s="1">
        <v>65.099999999999994</v>
      </c>
      <c r="I33" s="1" t="s">
        <v>11</v>
      </c>
    </row>
    <row r="34" spans="1:9" x14ac:dyDescent="0.25">
      <c r="A34" s="6">
        <v>12</v>
      </c>
      <c r="B34" s="1">
        <v>73699282</v>
      </c>
      <c r="C34" s="1" t="s">
        <v>244</v>
      </c>
      <c r="D34" s="1" t="s">
        <v>245</v>
      </c>
      <c r="E34" s="1">
        <v>942238971</v>
      </c>
      <c r="F34" s="1" t="s">
        <v>90</v>
      </c>
      <c r="G34" s="1" t="s">
        <v>223</v>
      </c>
      <c r="H34" s="1">
        <v>64.7</v>
      </c>
      <c r="I34" s="1" t="s">
        <v>11</v>
      </c>
    </row>
    <row r="35" spans="1:9" x14ac:dyDescent="0.25">
      <c r="A35" s="6">
        <v>14</v>
      </c>
      <c r="B35" s="1">
        <v>71208115</v>
      </c>
      <c r="C35" s="1" t="s">
        <v>246</v>
      </c>
      <c r="D35" s="1" t="s">
        <v>247</v>
      </c>
      <c r="E35" s="1">
        <v>970963109</v>
      </c>
      <c r="F35" s="1" t="s">
        <v>90</v>
      </c>
      <c r="G35" s="1" t="s">
        <v>223</v>
      </c>
      <c r="H35" s="1">
        <v>63.5</v>
      </c>
      <c r="I35" s="1" t="s">
        <v>11</v>
      </c>
    </row>
    <row r="36" spans="1:9" x14ac:dyDescent="0.25">
      <c r="A36" s="6">
        <v>17</v>
      </c>
      <c r="B36" s="1">
        <v>45586127</v>
      </c>
      <c r="C36" s="1" t="s">
        <v>248</v>
      </c>
      <c r="D36" s="1" t="s">
        <v>249</v>
      </c>
      <c r="E36" s="1">
        <v>954639109</v>
      </c>
      <c r="F36" s="1" t="s">
        <v>90</v>
      </c>
      <c r="G36" s="1" t="s">
        <v>223</v>
      </c>
      <c r="H36" s="1">
        <v>63.1</v>
      </c>
      <c r="I36" s="1" t="s">
        <v>11</v>
      </c>
    </row>
    <row r="37" spans="1:9" x14ac:dyDescent="0.25">
      <c r="A37" s="6">
        <v>11</v>
      </c>
      <c r="B37" s="1">
        <v>72729965</v>
      </c>
      <c r="C37" s="1" t="s">
        <v>250</v>
      </c>
      <c r="D37" s="1" t="s">
        <v>251</v>
      </c>
      <c r="E37" s="1">
        <v>900794195</v>
      </c>
      <c r="F37" s="1" t="s">
        <v>90</v>
      </c>
      <c r="G37" s="1" t="s">
        <v>223</v>
      </c>
      <c r="H37" s="1">
        <v>61.9</v>
      </c>
      <c r="I37" s="1" t="s">
        <v>11</v>
      </c>
    </row>
    <row r="38" spans="1:9" x14ac:dyDescent="0.25">
      <c r="A38" s="6">
        <v>20</v>
      </c>
      <c r="B38" s="1">
        <v>77036935</v>
      </c>
      <c r="C38" s="1" t="s">
        <v>252</v>
      </c>
      <c r="D38" s="1" t="s">
        <v>253</v>
      </c>
      <c r="E38" s="1">
        <v>975822946</v>
      </c>
      <c r="F38" s="1" t="s">
        <v>90</v>
      </c>
      <c r="G38" s="1" t="s">
        <v>223</v>
      </c>
      <c r="H38" s="1">
        <v>61.9</v>
      </c>
      <c r="I38" s="1" t="s">
        <v>11</v>
      </c>
    </row>
    <row r="39" spans="1:9" x14ac:dyDescent="0.25">
      <c r="A39" s="6">
        <v>9</v>
      </c>
      <c r="B39" s="1">
        <v>47186679</v>
      </c>
      <c r="C39" s="1" t="s">
        <v>254</v>
      </c>
      <c r="D39" s="1" t="s">
        <v>255</v>
      </c>
      <c r="E39" s="1">
        <v>916705746</v>
      </c>
      <c r="F39" s="1" t="s">
        <v>90</v>
      </c>
      <c r="G39" s="1" t="s">
        <v>223</v>
      </c>
      <c r="H39" s="1">
        <v>60</v>
      </c>
      <c r="I39" s="1" t="s">
        <v>11</v>
      </c>
    </row>
    <row r="40" spans="1:9" x14ac:dyDescent="0.25">
      <c r="A40" s="6">
        <v>6</v>
      </c>
      <c r="B40" s="1">
        <v>71089422</v>
      </c>
      <c r="C40" s="1" t="s">
        <v>256</v>
      </c>
      <c r="D40" s="1" t="s">
        <v>257</v>
      </c>
      <c r="E40" s="1">
        <v>997645512</v>
      </c>
      <c r="F40" s="1" t="s">
        <v>90</v>
      </c>
      <c r="G40" s="1" t="s">
        <v>223</v>
      </c>
      <c r="H40" s="1">
        <v>59.8</v>
      </c>
      <c r="I40" s="1" t="s">
        <v>11</v>
      </c>
    </row>
    <row r="41" spans="1:9" x14ac:dyDescent="0.25">
      <c r="A41" s="6">
        <v>2</v>
      </c>
      <c r="B41" s="1">
        <v>71524448</v>
      </c>
      <c r="C41" s="1" t="s">
        <v>258</v>
      </c>
      <c r="D41" s="1" t="s">
        <v>259</v>
      </c>
      <c r="E41" s="1">
        <v>932957667</v>
      </c>
      <c r="F41" s="1" t="s">
        <v>90</v>
      </c>
      <c r="G41" s="1" t="s">
        <v>223</v>
      </c>
      <c r="H41" s="1">
        <v>57.2</v>
      </c>
      <c r="I41" s="1" t="s">
        <v>11</v>
      </c>
    </row>
    <row r="42" spans="1:9" x14ac:dyDescent="0.25">
      <c r="A42" s="6">
        <v>16</v>
      </c>
      <c r="B42" s="1">
        <v>46876752</v>
      </c>
      <c r="C42" s="1" t="s">
        <v>260</v>
      </c>
      <c r="D42" s="1" t="s">
        <v>261</v>
      </c>
      <c r="E42" s="1">
        <v>976169053</v>
      </c>
      <c r="F42" s="1" t="s">
        <v>90</v>
      </c>
      <c r="G42" s="1" t="s">
        <v>223</v>
      </c>
      <c r="H42" s="1">
        <v>57.2</v>
      </c>
      <c r="I42" s="1" t="s">
        <v>11</v>
      </c>
    </row>
    <row r="43" spans="1:9" x14ac:dyDescent="0.25">
      <c r="A43" s="6">
        <v>7</v>
      </c>
      <c r="B43" s="1">
        <v>75875291</v>
      </c>
      <c r="C43" s="1" t="s">
        <v>262</v>
      </c>
      <c r="D43" s="1" t="s">
        <v>263</v>
      </c>
      <c r="E43" s="1">
        <v>922815639</v>
      </c>
      <c r="F43" s="1" t="s">
        <v>90</v>
      </c>
      <c r="G43" s="1" t="s">
        <v>223</v>
      </c>
      <c r="H43" s="1">
        <v>57.1</v>
      </c>
      <c r="I43" s="1" t="s">
        <v>11</v>
      </c>
    </row>
    <row r="44" spans="1:9" x14ac:dyDescent="0.25">
      <c r="A44" s="6">
        <v>13</v>
      </c>
      <c r="B44" s="1">
        <v>47409507</v>
      </c>
      <c r="C44" s="1" t="s">
        <v>264</v>
      </c>
      <c r="D44" s="1" t="s">
        <v>265</v>
      </c>
      <c r="E44" s="1">
        <v>995782624</v>
      </c>
      <c r="F44" s="1" t="s">
        <v>90</v>
      </c>
      <c r="G44" s="1" t="s">
        <v>223</v>
      </c>
      <c r="H44" s="1">
        <v>47.5</v>
      </c>
      <c r="I44" s="1" t="s">
        <v>11</v>
      </c>
    </row>
    <row r="45" spans="1:9" x14ac:dyDescent="0.25">
      <c r="A45" s="6">
        <v>23</v>
      </c>
      <c r="B45" s="8">
        <v>16683138</v>
      </c>
      <c r="C45" s="8" t="s">
        <v>266</v>
      </c>
      <c r="D45" s="8" t="s">
        <v>267</v>
      </c>
      <c r="E45" s="8">
        <v>964716784</v>
      </c>
      <c r="F45" s="8" t="s">
        <v>90</v>
      </c>
      <c r="G45" s="8" t="s">
        <v>223</v>
      </c>
      <c r="H45" s="8">
        <v>7</v>
      </c>
      <c r="I45" s="8" t="s">
        <v>50</v>
      </c>
    </row>
    <row r="46" spans="1:9" x14ac:dyDescent="0.25">
      <c r="A46" s="6">
        <v>24</v>
      </c>
      <c r="B46" s="8">
        <v>16770070</v>
      </c>
      <c r="C46" s="8" t="s">
        <v>268</v>
      </c>
      <c r="D46" s="8" t="s">
        <v>269</v>
      </c>
      <c r="E46" s="8">
        <v>950165344</v>
      </c>
      <c r="F46" s="8" t="s">
        <v>90</v>
      </c>
      <c r="G46" s="8" t="s">
        <v>223</v>
      </c>
      <c r="H46" s="8">
        <v>0</v>
      </c>
      <c r="I46" s="8" t="s">
        <v>50</v>
      </c>
    </row>
    <row r="47" spans="1:9" x14ac:dyDescent="0.25">
      <c r="A47" s="24">
        <v>1</v>
      </c>
      <c r="B47" s="24">
        <v>76458509</v>
      </c>
      <c r="C47" s="24" t="s">
        <v>617</v>
      </c>
      <c r="D47" s="24" t="s">
        <v>618</v>
      </c>
      <c r="E47" s="24">
        <v>996103952</v>
      </c>
      <c r="F47" s="24" t="s">
        <v>90</v>
      </c>
      <c r="G47" s="24" t="s">
        <v>619</v>
      </c>
      <c r="H47" s="24">
        <v>84.5</v>
      </c>
      <c r="I47" s="24" t="s">
        <v>11</v>
      </c>
    </row>
    <row r="48" spans="1:9" x14ac:dyDescent="0.25">
      <c r="A48" s="24">
        <v>2</v>
      </c>
      <c r="B48" s="24">
        <v>46445208</v>
      </c>
      <c r="C48" s="24" t="s">
        <v>620</v>
      </c>
      <c r="D48" s="24" t="s">
        <v>621</v>
      </c>
      <c r="E48" s="24">
        <v>977956362</v>
      </c>
      <c r="F48" s="24" t="s">
        <v>90</v>
      </c>
      <c r="G48" s="24" t="s">
        <v>619</v>
      </c>
      <c r="H48" s="24">
        <v>80.5</v>
      </c>
      <c r="I48" s="24" t="s">
        <v>11</v>
      </c>
    </row>
    <row r="49" spans="1:9" x14ac:dyDescent="0.25">
      <c r="A49" s="24">
        <v>3</v>
      </c>
      <c r="B49" s="24">
        <v>70382269</v>
      </c>
      <c r="C49" s="24" t="s">
        <v>622</v>
      </c>
      <c r="D49" s="24" t="s">
        <v>623</v>
      </c>
      <c r="E49" s="24">
        <v>906607662</v>
      </c>
      <c r="F49" s="24" t="s">
        <v>90</v>
      </c>
      <c r="G49" s="24" t="s">
        <v>619</v>
      </c>
      <c r="H49" s="24">
        <v>77.5</v>
      </c>
      <c r="I49" s="24" t="s">
        <v>11</v>
      </c>
    </row>
    <row r="50" spans="1:9" x14ac:dyDescent="0.25">
      <c r="A50" s="24">
        <v>4</v>
      </c>
      <c r="B50" s="24">
        <v>47193453</v>
      </c>
      <c r="C50" s="24" t="s">
        <v>624</v>
      </c>
      <c r="D50" s="24" t="s">
        <v>625</v>
      </c>
      <c r="E50" s="24">
        <v>981710342</v>
      </c>
      <c r="F50" s="24" t="s">
        <v>90</v>
      </c>
      <c r="G50" s="24" t="s">
        <v>619</v>
      </c>
      <c r="H50" s="24">
        <v>77.5</v>
      </c>
      <c r="I50" s="24" t="s">
        <v>11</v>
      </c>
    </row>
    <row r="51" spans="1:9" x14ac:dyDescent="0.25">
      <c r="A51" s="24">
        <v>5</v>
      </c>
      <c r="B51" s="24">
        <v>71577882</v>
      </c>
      <c r="C51" s="24" t="s">
        <v>626</v>
      </c>
      <c r="D51" s="24" t="s">
        <v>627</v>
      </c>
      <c r="E51" s="24">
        <v>950251896</v>
      </c>
      <c r="F51" s="24" t="s">
        <v>90</v>
      </c>
      <c r="G51" s="24" t="s">
        <v>619</v>
      </c>
      <c r="H51" s="24">
        <v>77.5</v>
      </c>
      <c r="I51" s="24" t="s">
        <v>11</v>
      </c>
    </row>
    <row r="52" spans="1:9" x14ac:dyDescent="0.25">
      <c r="A52" s="24">
        <v>6</v>
      </c>
      <c r="B52" s="24">
        <v>78007600</v>
      </c>
      <c r="C52" s="24" t="s">
        <v>628</v>
      </c>
      <c r="D52" s="24" t="s">
        <v>629</v>
      </c>
      <c r="E52" s="24">
        <v>930226970</v>
      </c>
      <c r="F52" s="24" t="s">
        <v>90</v>
      </c>
      <c r="G52" s="24" t="s">
        <v>619</v>
      </c>
      <c r="H52" s="24">
        <v>77.5</v>
      </c>
      <c r="I52" s="24" t="s">
        <v>11</v>
      </c>
    </row>
    <row r="53" spans="1:9" x14ac:dyDescent="0.25">
      <c r="A53" s="24">
        <v>7</v>
      </c>
      <c r="B53" s="24">
        <v>71997323</v>
      </c>
      <c r="C53" s="24" t="s">
        <v>630</v>
      </c>
      <c r="D53" s="24" t="s">
        <v>631</v>
      </c>
      <c r="E53" s="24">
        <v>985342872</v>
      </c>
      <c r="F53" s="24" t="s">
        <v>90</v>
      </c>
      <c r="G53" s="24" t="s">
        <v>619</v>
      </c>
      <c r="H53" s="24">
        <v>77</v>
      </c>
      <c r="I53" s="24" t="s">
        <v>11</v>
      </c>
    </row>
    <row r="54" spans="1:9" x14ac:dyDescent="0.25">
      <c r="A54" s="24">
        <v>8</v>
      </c>
      <c r="B54" s="24">
        <v>47786848</v>
      </c>
      <c r="C54" s="24" t="s">
        <v>632</v>
      </c>
      <c r="D54" s="24" t="s">
        <v>633</v>
      </c>
      <c r="E54" s="24">
        <v>957156436</v>
      </c>
      <c r="F54" s="24" t="s">
        <v>90</v>
      </c>
      <c r="G54" s="24" t="s">
        <v>619</v>
      </c>
      <c r="H54" s="24">
        <v>77</v>
      </c>
      <c r="I54" s="24" t="s">
        <v>11</v>
      </c>
    </row>
    <row r="55" spans="1:9" x14ac:dyDescent="0.25">
      <c r="A55" s="24">
        <v>9</v>
      </c>
      <c r="B55" s="24">
        <v>72936235</v>
      </c>
      <c r="C55" s="24" t="s">
        <v>634</v>
      </c>
      <c r="D55" s="24" t="s">
        <v>635</v>
      </c>
      <c r="E55" s="24">
        <v>970315835</v>
      </c>
      <c r="F55" s="24" t="s">
        <v>90</v>
      </c>
      <c r="G55" s="24" t="s">
        <v>619</v>
      </c>
      <c r="H55" s="24">
        <v>76.5</v>
      </c>
      <c r="I55" s="24" t="s">
        <v>11</v>
      </c>
    </row>
    <row r="56" spans="1:9" x14ac:dyDescent="0.25">
      <c r="A56" s="24">
        <v>10</v>
      </c>
      <c r="B56" s="24">
        <v>73778331</v>
      </c>
      <c r="C56" s="24" t="s">
        <v>636</v>
      </c>
      <c r="D56" s="24" t="s">
        <v>637</v>
      </c>
      <c r="E56" s="24">
        <v>945782644</v>
      </c>
      <c r="F56" s="24" t="s">
        <v>90</v>
      </c>
      <c r="G56" s="24" t="s">
        <v>619</v>
      </c>
      <c r="H56" s="24">
        <v>76</v>
      </c>
      <c r="I56" s="24" t="s">
        <v>11</v>
      </c>
    </row>
    <row r="57" spans="1:9" x14ac:dyDescent="0.25">
      <c r="A57" s="24">
        <v>11</v>
      </c>
      <c r="B57" s="24">
        <v>75652596</v>
      </c>
      <c r="C57" s="24" t="s">
        <v>638</v>
      </c>
      <c r="D57" s="24" t="s">
        <v>639</v>
      </c>
      <c r="E57" s="24">
        <v>939888555</v>
      </c>
      <c r="F57" s="24" t="s">
        <v>90</v>
      </c>
      <c r="G57" s="24" t="s">
        <v>619</v>
      </c>
      <c r="H57" s="24">
        <v>75.5</v>
      </c>
      <c r="I57" s="24" t="s">
        <v>11</v>
      </c>
    </row>
    <row r="58" spans="1:9" x14ac:dyDescent="0.25">
      <c r="A58" s="24">
        <v>12</v>
      </c>
      <c r="B58" s="24">
        <v>72329597</v>
      </c>
      <c r="C58" s="24" t="s">
        <v>640</v>
      </c>
      <c r="D58" s="24" t="s">
        <v>641</v>
      </c>
      <c r="E58" s="24">
        <v>945214015</v>
      </c>
      <c r="F58" s="24" t="s">
        <v>90</v>
      </c>
      <c r="G58" s="24" t="s">
        <v>619</v>
      </c>
      <c r="H58" s="24">
        <v>75</v>
      </c>
      <c r="I58" s="24" t="s">
        <v>11</v>
      </c>
    </row>
    <row r="59" spans="1:9" x14ac:dyDescent="0.25">
      <c r="A59" s="24">
        <v>13</v>
      </c>
      <c r="B59" s="24">
        <v>77380711</v>
      </c>
      <c r="C59" s="24" t="s">
        <v>642</v>
      </c>
      <c r="D59" s="24" t="s">
        <v>643</v>
      </c>
      <c r="E59" s="24">
        <v>970401965</v>
      </c>
      <c r="F59" s="24" t="s">
        <v>90</v>
      </c>
      <c r="G59" s="24" t="s">
        <v>619</v>
      </c>
      <c r="H59" s="24">
        <v>75</v>
      </c>
      <c r="I59" s="24" t="s">
        <v>11</v>
      </c>
    </row>
    <row r="60" spans="1:9" x14ac:dyDescent="0.25">
      <c r="A60" s="24">
        <v>14</v>
      </c>
      <c r="B60" s="24">
        <v>45711302</v>
      </c>
      <c r="C60" s="24" t="s">
        <v>644</v>
      </c>
      <c r="D60" s="24" t="s">
        <v>645</v>
      </c>
      <c r="E60" s="24">
        <v>966977049</v>
      </c>
      <c r="F60" s="24" t="s">
        <v>90</v>
      </c>
      <c r="G60" s="24" t="s">
        <v>619</v>
      </c>
      <c r="H60" s="24">
        <v>74</v>
      </c>
      <c r="I60" s="24" t="s">
        <v>11</v>
      </c>
    </row>
    <row r="61" spans="1:9" x14ac:dyDescent="0.25">
      <c r="A61" s="24">
        <v>15</v>
      </c>
      <c r="B61" s="24">
        <v>73018843</v>
      </c>
      <c r="C61" s="24" t="s">
        <v>646</v>
      </c>
      <c r="D61" s="24" t="s">
        <v>647</v>
      </c>
      <c r="E61" s="24">
        <v>957816200</v>
      </c>
      <c r="F61" s="24" t="s">
        <v>90</v>
      </c>
      <c r="G61" s="24" t="s">
        <v>619</v>
      </c>
      <c r="H61" s="24">
        <v>73.5</v>
      </c>
      <c r="I61" s="24" t="s">
        <v>11</v>
      </c>
    </row>
    <row r="62" spans="1:9" x14ac:dyDescent="0.25">
      <c r="A62" s="24">
        <v>16</v>
      </c>
      <c r="B62" s="24">
        <v>44291488</v>
      </c>
      <c r="C62" s="24" t="s">
        <v>648</v>
      </c>
      <c r="D62" s="24" t="s">
        <v>649</v>
      </c>
      <c r="E62" s="24">
        <v>917741071</v>
      </c>
      <c r="F62" s="24" t="s">
        <v>90</v>
      </c>
      <c r="G62" s="24" t="s">
        <v>619</v>
      </c>
      <c r="H62" s="24">
        <v>72.5</v>
      </c>
      <c r="I62" s="24" t="s">
        <v>11</v>
      </c>
    </row>
    <row r="63" spans="1:9" x14ac:dyDescent="0.25">
      <c r="A63" s="24">
        <v>17</v>
      </c>
      <c r="B63" s="24">
        <v>73004270</v>
      </c>
      <c r="C63" s="24" t="s">
        <v>650</v>
      </c>
      <c r="D63" s="24" t="s">
        <v>651</v>
      </c>
      <c r="E63" s="24">
        <v>974272916</v>
      </c>
      <c r="F63" s="24" t="s">
        <v>90</v>
      </c>
      <c r="G63" s="24" t="s">
        <v>619</v>
      </c>
      <c r="H63" s="24">
        <v>72</v>
      </c>
      <c r="I63" s="24" t="s">
        <v>11</v>
      </c>
    </row>
    <row r="64" spans="1:9" s="11" customFormat="1" x14ac:dyDescent="0.25">
      <c r="A64" s="24">
        <v>18</v>
      </c>
      <c r="B64" s="24">
        <v>72842158</v>
      </c>
      <c r="C64" s="24" t="s">
        <v>652</v>
      </c>
      <c r="D64" s="24" t="s">
        <v>653</v>
      </c>
      <c r="E64" s="24">
        <v>901800994</v>
      </c>
      <c r="F64" s="24" t="s">
        <v>90</v>
      </c>
      <c r="G64" s="24" t="s">
        <v>619</v>
      </c>
      <c r="H64" s="24">
        <v>72</v>
      </c>
      <c r="I64" s="24" t="s">
        <v>11</v>
      </c>
    </row>
    <row r="65" spans="1:9" x14ac:dyDescent="0.25">
      <c r="A65" s="24">
        <v>19</v>
      </c>
      <c r="B65" s="24">
        <v>77567953</v>
      </c>
      <c r="C65" s="24" t="s">
        <v>654</v>
      </c>
      <c r="D65" s="24" t="s">
        <v>655</v>
      </c>
      <c r="E65" s="24">
        <v>974055052</v>
      </c>
      <c r="F65" s="24" t="s">
        <v>90</v>
      </c>
      <c r="G65" s="24" t="s">
        <v>619</v>
      </c>
      <c r="H65" s="24">
        <v>72</v>
      </c>
      <c r="I65" s="24" t="s">
        <v>11</v>
      </c>
    </row>
    <row r="66" spans="1:9" x14ac:dyDescent="0.25">
      <c r="A66" s="24">
        <v>20</v>
      </c>
      <c r="B66" s="24">
        <v>76446303</v>
      </c>
      <c r="C66" s="24" t="s">
        <v>656</v>
      </c>
      <c r="D66" s="24" t="s">
        <v>657</v>
      </c>
      <c r="E66" s="24">
        <v>966328518</v>
      </c>
      <c r="F66" s="24" t="s">
        <v>90</v>
      </c>
      <c r="G66" s="24" t="s">
        <v>619</v>
      </c>
      <c r="H66" s="24">
        <v>71</v>
      </c>
      <c r="I66" s="24" t="s">
        <v>11</v>
      </c>
    </row>
    <row r="67" spans="1:9" x14ac:dyDescent="0.25">
      <c r="A67" s="24">
        <v>21</v>
      </c>
      <c r="B67" s="24">
        <v>73262743</v>
      </c>
      <c r="C67" s="24" t="s">
        <v>658</v>
      </c>
      <c r="D67" s="24" t="s">
        <v>659</v>
      </c>
      <c r="E67" s="24">
        <v>965043594</v>
      </c>
      <c r="F67" s="24" t="s">
        <v>90</v>
      </c>
      <c r="G67" s="24" t="s">
        <v>619</v>
      </c>
      <c r="H67" s="24">
        <v>71</v>
      </c>
      <c r="I67" s="24" t="s">
        <v>11</v>
      </c>
    </row>
    <row r="68" spans="1:9" x14ac:dyDescent="0.25">
      <c r="A68" s="24">
        <v>22</v>
      </c>
      <c r="B68" s="24">
        <v>72840362</v>
      </c>
      <c r="C68" s="24" t="s">
        <v>660</v>
      </c>
      <c r="D68" s="24" t="s">
        <v>661</v>
      </c>
      <c r="E68" s="24">
        <v>954885982</v>
      </c>
      <c r="F68" s="24" t="s">
        <v>90</v>
      </c>
      <c r="G68" s="24" t="s">
        <v>619</v>
      </c>
      <c r="H68" s="24">
        <v>70.5</v>
      </c>
      <c r="I68" s="24" t="s">
        <v>11</v>
      </c>
    </row>
    <row r="69" spans="1:9" x14ac:dyDescent="0.25">
      <c r="A69" s="24">
        <v>23</v>
      </c>
      <c r="B69" s="24">
        <v>73881546</v>
      </c>
      <c r="C69" s="24" t="s">
        <v>662</v>
      </c>
      <c r="D69" s="24" t="s">
        <v>663</v>
      </c>
      <c r="E69" s="24">
        <v>996271288</v>
      </c>
      <c r="F69" s="24" t="s">
        <v>90</v>
      </c>
      <c r="G69" s="24" t="s">
        <v>619</v>
      </c>
      <c r="H69" s="24">
        <v>70.5</v>
      </c>
      <c r="I69" s="24" t="s">
        <v>11</v>
      </c>
    </row>
    <row r="70" spans="1:9" x14ac:dyDescent="0.25">
      <c r="A70" s="24">
        <v>24</v>
      </c>
      <c r="B70" s="24">
        <v>74774492</v>
      </c>
      <c r="C70" s="24" t="s">
        <v>664</v>
      </c>
      <c r="D70" s="24" t="s">
        <v>665</v>
      </c>
      <c r="E70" s="24">
        <v>972856018</v>
      </c>
      <c r="F70" s="24" t="s">
        <v>90</v>
      </c>
      <c r="G70" s="24" t="s">
        <v>619</v>
      </c>
      <c r="H70" s="24">
        <v>70.5</v>
      </c>
      <c r="I70" s="24" t="s">
        <v>11</v>
      </c>
    </row>
    <row r="71" spans="1:9" x14ac:dyDescent="0.25">
      <c r="A71" s="24">
        <v>25</v>
      </c>
      <c r="B71" s="24">
        <v>46356337</v>
      </c>
      <c r="C71" s="24" t="s">
        <v>666</v>
      </c>
      <c r="D71" s="24" t="s">
        <v>667</v>
      </c>
      <c r="E71" s="24">
        <v>974520117</v>
      </c>
      <c r="F71" s="24" t="s">
        <v>90</v>
      </c>
      <c r="G71" s="24" t="s">
        <v>619</v>
      </c>
      <c r="H71" s="24">
        <v>70.5</v>
      </c>
      <c r="I71" s="24" t="s">
        <v>11</v>
      </c>
    </row>
    <row r="72" spans="1:9" x14ac:dyDescent="0.25">
      <c r="A72" s="24">
        <v>26</v>
      </c>
      <c r="B72" s="24">
        <v>74587230</v>
      </c>
      <c r="C72" s="24" t="s">
        <v>668</v>
      </c>
      <c r="D72" s="24" t="s">
        <v>669</v>
      </c>
      <c r="E72" s="24">
        <v>973668917</v>
      </c>
      <c r="F72" s="24" t="s">
        <v>90</v>
      </c>
      <c r="G72" s="24" t="s">
        <v>619</v>
      </c>
      <c r="H72" s="24">
        <v>70</v>
      </c>
      <c r="I72" s="24" t="s">
        <v>11</v>
      </c>
    </row>
    <row r="73" spans="1:9" x14ac:dyDescent="0.25">
      <c r="A73" s="24">
        <v>27</v>
      </c>
      <c r="B73" s="24">
        <v>44750307</v>
      </c>
      <c r="C73" s="24" t="s">
        <v>670</v>
      </c>
      <c r="D73" s="24" t="s">
        <v>671</v>
      </c>
      <c r="E73" s="24">
        <v>973194602</v>
      </c>
      <c r="F73" s="24" t="s">
        <v>90</v>
      </c>
      <c r="G73" s="24" t="s">
        <v>619</v>
      </c>
      <c r="H73" s="24">
        <v>70</v>
      </c>
      <c r="I73" s="24" t="s">
        <v>11</v>
      </c>
    </row>
    <row r="74" spans="1:9" x14ac:dyDescent="0.25">
      <c r="A74" s="24">
        <v>28</v>
      </c>
      <c r="B74" s="24">
        <v>17632519</v>
      </c>
      <c r="C74" s="24" t="s">
        <v>672</v>
      </c>
      <c r="D74" s="24" t="s">
        <v>673</v>
      </c>
      <c r="E74" s="24">
        <v>949946806</v>
      </c>
      <c r="F74" s="24" t="s">
        <v>90</v>
      </c>
      <c r="G74" s="24" t="s">
        <v>619</v>
      </c>
      <c r="H74" s="24">
        <v>70</v>
      </c>
      <c r="I74" s="24" t="s">
        <v>11</v>
      </c>
    </row>
    <row r="75" spans="1:9" x14ac:dyDescent="0.25">
      <c r="A75" s="24">
        <v>29</v>
      </c>
      <c r="B75" s="24">
        <v>76388252</v>
      </c>
      <c r="C75" s="24" t="s">
        <v>674</v>
      </c>
      <c r="D75" s="24" t="s">
        <v>675</v>
      </c>
      <c r="E75" s="24">
        <v>901854704</v>
      </c>
      <c r="F75" s="24" t="s">
        <v>90</v>
      </c>
      <c r="G75" s="24" t="s">
        <v>619</v>
      </c>
      <c r="H75" s="24">
        <v>69.5</v>
      </c>
      <c r="I75" s="24" t="s">
        <v>11</v>
      </c>
    </row>
    <row r="76" spans="1:9" x14ac:dyDescent="0.25">
      <c r="A76" s="24">
        <v>30</v>
      </c>
      <c r="B76" s="24">
        <v>76457342</v>
      </c>
      <c r="C76" s="24" t="s">
        <v>676</v>
      </c>
      <c r="D76" s="24" t="s">
        <v>677</v>
      </c>
      <c r="E76" s="24">
        <v>949872191</v>
      </c>
      <c r="F76" s="24" t="s">
        <v>90</v>
      </c>
      <c r="G76" s="24" t="s">
        <v>619</v>
      </c>
      <c r="H76" s="24">
        <v>68.5</v>
      </c>
      <c r="I76" s="24" t="s">
        <v>11</v>
      </c>
    </row>
    <row r="77" spans="1:9" x14ac:dyDescent="0.25">
      <c r="A77" s="24">
        <v>31</v>
      </c>
      <c r="B77" s="24">
        <v>41732773</v>
      </c>
      <c r="C77" s="24" t="s">
        <v>678</v>
      </c>
      <c r="D77" s="24" t="s">
        <v>679</v>
      </c>
      <c r="E77" s="24">
        <v>942423103</v>
      </c>
      <c r="F77" s="24" t="s">
        <v>90</v>
      </c>
      <c r="G77" s="24" t="s">
        <v>619</v>
      </c>
      <c r="H77" s="24">
        <v>68</v>
      </c>
      <c r="I77" s="24" t="s">
        <v>11</v>
      </c>
    </row>
    <row r="78" spans="1:9" x14ac:dyDescent="0.25">
      <c r="A78" s="24">
        <v>32</v>
      </c>
      <c r="B78" s="24">
        <v>72729980</v>
      </c>
      <c r="C78" s="24" t="s">
        <v>680</v>
      </c>
      <c r="D78" s="24" t="s">
        <v>681</v>
      </c>
      <c r="E78" s="24">
        <v>980985081</v>
      </c>
      <c r="F78" s="24" t="s">
        <v>90</v>
      </c>
      <c r="G78" s="24" t="s">
        <v>619</v>
      </c>
      <c r="H78" s="24">
        <v>68</v>
      </c>
      <c r="I78" s="24" t="s">
        <v>11</v>
      </c>
    </row>
    <row r="79" spans="1:9" x14ac:dyDescent="0.25">
      <c r="A79" s="24">
        <v>33</v>
      </c>
      <c r="B79" s="24">
        <v>70768967</v>
      </c>
      <c r="C79" s="24" t="s">
        <v>682</v>
      </c>
      <c r="D79" s="24" t="s">
        <v>683</v>
      </c>
      <c r="E79" s="24">
        <v>971517579</v>
      </c>
      <c r="F79" s="24" t="s">
        <v>90</v>
      </c>
      <c r="G79" s="24" t="s">
        <v>619</v>
      </c>
      <c r="H79" s="24">
        <v>68</v>
      </c>
      <c r="I79" s="24" t="s">
        <v>11</v>
      </c>
    </row>
    <row r="80" spans="1:9" x14ac:dyDescent="0.25">
      <c r="A80" s="24">
        <v>34</v>
      </c>
      <c r="B80" s="24">
        <v>16714301</v>
      </c>
      <c r="C80" s="24" t="s">
        <v>684</v>
      </c>
      <c r="D80" s="24" t="s">
        <v>685</v>
      </c>
      <c r="E80" s="24">
        <v>978761783</v>
      </c>
      <c r="F80" s="24" t="s">
        <v>90</v>
      </c>
      <c r="G80" s="24" t="s">
        <v>619</v>
      </c>
      <c r="H80" s="24">
        <v>68</v>
      </c>
      <c r="I80" s="24" t="s">
        <v>11</v>
      </c>
    </row>
    <row r="81" spans="1:9" x14ac:dyDescent="0.25">
      <c r="A81" s="24">
        <v>35</v>
      </c>
      <c r="B81" s="24">
        <v>76767502</v>
      </c>
      <c r="C81" s="24" t="s">
        <v>686</v>
      </c>
      <c r="D81" s="24" t="s">
        <v>687</v>
      </c>
      <c r="E81" s="24">
        <v>937352418</v>
      </c>
      <c r="F81" s="24" t="s">
        <v>90</v>
      </c>
      <c r="G81" s="24" t="s">
        <v>619</v>
      </c>
      <c r="H81" s="24">
        <v>68</v>
      </c>
      <c r="I81" s="24" t="s">
        <v>11</v>
      </c>
    </row>
    <row r="82" spans="1:9" x14ac:dyDescent="0.25">
      <c r="A82" s="24">
        <v>36</v>
      </c>
      <c r="B82" s="24">
        <v>27424102</v>
      </c>
      <c r="C82" s="24" t="s">
        <v>688</v>
      </c>
      <c r="D82" s="24" t="s">
        <v>689</v>
      </c>
      <c r="E82" s="24">
        <v>976841193</v>
      </c>
      <c r="F82" s="24" t="s">
        <v>90</v>
      </c>
      <c r="G82" s="24" t="s">
        <v>619</v>
      </c>
      <c r="H82" s="24">
        <v>67.5</v>
      </c>
      <c r="I82" s="24" t="s">
        <v>11</v>
      </c>
    </row>
    <row r="83" spans="1:9" s="11" customFormat="1" x14ac:dyDescent="0.25">
      <c r="A83" s="24">
        <v>37</v>
      </c>
      <c r="B83" s="24">
        <v>71038489</v>
      </c>
      <c r="C83" s="24" t="s">
        <v>690</v>
      </c>
      <c r="D83" s="24" t="s">
        <v>691</v>
      </c>
      <c r="E83" s="24">
        <v>978505368</v>
      </c>
      <c r="F83" s="24" t="s">
        <v>90</v>
      </c>
      <c r="G83" s="24" t="s">
        <v>619</v>
      </c>
      <c r="H83" s="24">
        <v>67</v>
      </c>
      <c r="I83" s="24" t="s">
        <v>11</v>
      </c>
    </row>
    <row r="84" spans="1:9" s="11" customFormat="1" x14ac:dyDescent="0.25">
      <c r="A84" s="24">
        <v>38</v>
      </c>
      <c r="B84" s="24">
        <v>74475031</v>
      </c>
      <c r="C84" s="24" t="s">
        <v>692</v>
      </c>
      <c r="D84" s="24" t="s">
        <v>693</v>
      </c>
      <c r="E84" s="24">
        <v>920407141</v>
      </c>
      <c r="F84" s="24" t="s">
        <v>90</v>
      </c>
      <c r="G84" s="24" t="s">
        <v>619</v>
      </c>
      <c r="H84" s="24">
        <v>66</v>
      </c>
      <c r="I84" s="24" t="s">
        <v>11</v>
      </c>
    </row>
    <row r="85" spans="1:9" x14ac:dyDescent="0.25">
      <c r="A85" s="24">
        <v>39</v>
      </c>
      <c r="B85" s="24">
        <v>76377028</v>
      </c>
      <c r="C85" s="24" t="s">
        <v>694</v>
      </c>
      <c r="D85" s="24" t="s">
        <v>695</v>
      </c>
      <c r="E85" s="24">
        <v>900531365</v>
      </c>
      <c r="F85" s="24" t="s">
        <v>90</v>
      </c>
      <c r="G85" s="24" t="s">
        <v>619</v>
      </c>
      <c r="H85" s="24">
        <v>65.5</v>
      </c>
      <c r="I85" s="24" t="s">
        <v>11</v>
      </c>
    </row>
    <row r="86" spans="1:9" x14ac:dyDescent="0.25">
      <c r="A86" s="24">
        <v>40</v>
      </c>
      <c r="B86" s="24">
        <v>70069728</v>
      </c>
      <c r="C86" s="24" t="s">
        <v>696</v>
      </c>
      <c r="D86" s="24" t="s">
        <v>697</v>
      </c>
      <c r="E86" s="24">
        <v>936616909</v>
      </c>
      <c r="F86" s="24" t="s">
        <v>90</v>
      </c>
      <c r="G86" s="24" t="s">
        <v>619</v>
      </c>
      <c r="H86" s="24">
        <v>65.5</v>
      </c>
      <c r="I86" s="24" t="s">
        <v>11</v>
      </c>
    </row>
    <row r="87" spans="1:9" x14ac:dyDescent="0.25">
      <c r="A87" s="24">
        <v>41</v>
      </c>
      <c r="B87" s="24">
        <v>72127985</v>
      </c>
      <c r="C87" s="24" t="s">
        <v>698</v>
      </c>
      <c r="D87" s="24" t="s">
        <v>699</v>
      </c>
      <c r="E87" s="24">
        <v>958547673</v>
      </c>
      <c r="F87" s="24" t="s">
        <v>90</v>
      </c>
      <c r="G87" s="24" t="s">
        <v>619</v>
      </c>
      <c r="H87" s="24">
        <v>65.5</v>
      </c>
      <c r="I87" s="24" t="s">
        <v>11</v>
      </c>
    </row>
    <row r="88" spans="1:9" x14ac:dyDescent="0.25">
      <c r="A88" s="24">
        <v>42</v>
      </c>
      <c r="B88" s="24">
        <v>43895655</v>
      </c>
      <c r="C88" s="24" t="s">
        <v>700</v>
      </c>
      <c r="D88" s="24" t="s">
        <v>701</v>
      </c>
      <c r="E88" s="24">
        <v>945098819</v>
      </c>
      <c r="F88" s="24" t="s">
        <v>90</v>
      </c>
      <c r="G88" s="24" t="s">
        <v>619</v>
      </c>
      <c r="H88" s="24">
        <v>65.5</v>
      </c>
      <c r="I88" s="24" t="s">
        <v>11</v>
      </c>
    </row>
    <row r="89" spans="1:9" x14ac:dyDescent="0.25">
      <c r="A89" s="24">
        <v>43</v>
      </c>
      <c r="B89" s="24">
        <v>40769239</v>
      </c>
      <c r="C89" s="24" t="s">
        <v>702</v>
      </c>
      <c r="D89" s="24" t="s">
        <v>703</v>
      </c>
      <c r="E89" s="24">
        <v>979461317</v>
      </c>
      <c r="F89" s="24" t="s">
        <v>90</v>
      </c>
      <c r="G89" s="24" t="s">
        <v>619</v>
      </c>
      <c r="H89" s="24">
        <v>65</v>
      </c>
      <c r="I89" s="24" t="s">
        <v>11</v>
      </c>
    </row>
    <row r="90" spans="1:9" x14ac:dyDescent="0.25">
      <c r="A90" s="24">
        <v>44</v>
      </c>
      <c r="B90" s="24">
        <v>72449188</v>
      </c>
      <c r="C90" s="24" t="s">
        <v>704</v>
      </c>
      <c r="D90" s="24" t="s">
        <v>705</v>
      </c>
      <c r="E90" s="24">
        <v>952709693</v>
      </c>
      <c r="F90" s="24" t="s">
        <v>90</v>
      </c>
      <c r="G90" s="24" t="s">
        <v>619</v>
      </c>
      <c r="H90" s="24">
        <v>65</v>
      </c>
      <c r="I90" s="24" t="s">
        <v>11</v>
      </c>
    </row>
    <row r="91" spans="1:9" x14ac:dyDescent="0.25">
      <c r="A91" s="24">
        <v>45</v>
      </c>
      <c r="B91" s="24">
        <v>17522586</v>
      </c>
      <c r="C91" s="24" t="s">
        <v>706</v>
      </c>
      <c r="D91" s="24" t="s">
        <v>707</v>
      </c>
      <c r="E91" s="24">
        <v>969558679</v>
      </c>
      <c r="F91" s="24" t="s">
        <v>90</v>
      </c>
      <c r="G91" s="24" t="s">
        <v>619</v>
      </c>
      <c r="H91" s="24">
        <v>64.5</v>
      </c>
      <c r="I91" s="24" t="s">
        <v>11</v>
      </c>
    </row>
    <row r="92" spans="1:9" x14ac:dyDescent="0.25">
      <c r="A92" s="24">
        <v>46</v>
      </c>
      <c r="B92" s="24">
        <v>73484734</v>
      </c>
      <c r="C92" s="24" t="s">
        <v>708</v>
      </c>
      <c r="D92" s="24" t="s">
        <v>709</v>
      </c>
      <c r="E92" s="24">
        <v>966223518</v>
      </c>
      <c r="F92" s="24" t="s">
        <v>90</v>
      </c>
      <c r="G92" s="24" t="s">
        <v>619</v>
      </c>
      <c r="H92" s="24">
        <v>63.5</v>
      </c>
      <c r="I92" s="24" t="s">
        <v>11</v>
      </c>
    </row>
    <row r="93" spans="1:9" x14ac:dyDescent="0.25">
      <c r="A93" s="24">
        <v>47</v>
      </c>
      <c r="B93" s="24">
        <v>17520944</v>
      </c>
      <c r="C93" s="24" t="s">
        <v>710</v>
      </c>
      <c r="D93" s="24" t="s">
        <v>711</v>
      </c>
      <c r="E93" s="24">
        <v>998892711</v>
      </c>
      <c r="F93" s="24" t="s">
        <v>90</v>
      </c>
      <c r="G93" s="24" t="s">
        <v>619</v>
      </c>
      <c r="H93" s="24">
        <v>61.5</v>
      </c>
      <c r="I93" s="24" t="s">
        <v>11</v>
      </c>
    </row>
    <row r="94" spans="1:9" x14ac:dyDescent="0.25">
      <c r="A94" s="24">
        <v>48</v>
      </c>
      <c r="B94" s="24">
        <v>77353656</v>
      </c>
      <c r="C94" s="24" t="s">
        <v>712</v>
      </c>
      <c r="D94" s="24" t="s">
        <v>713</v>
      </c>
      <c r="E94" s="24">
        <v>948401236</v>
      </c>
      <c r="F94" s="24" t="s">
        <v>90</v>
      </c>
      <c r="G94" s="24" t="s">
        <v>619</v>
      </c>
      <c r="H94" s="24">
        <v>61</v>
      </c>
      <c r="I94" s="24" t="s">
        <v>11</v>
      </c>
    </row>
    <row r="95" spans="1:9" x14ac:dyDescent="0.25">
      <c r="A95" s="24">
        <v>49</v>
      </c>
      <c r="B95" s="24">
        <v>16756045</v>
      </c>
      <c r="C95" s="24" t="s">
        <v>714</v>
      </c>
      <c r="D95" s="24" t="s">
        <v>715</v>
      </c>
      <c r="E95" s="24">
        <v>934052648</v>
      </c>
      <c r="F95" s="24" t="s">
        <v>90</v>
      </c>
      <c r="G95" s="24" t="s">
        <v>619</v>
      </c>
      <c r="H95" s="24">
        <v>61</v>
      </c>
      <c r="I95" s="24" t="s">
        <v>11</v>
      </c>
    </row>
    <row r="96" spans="1:9" x14ac:dyDescent="0.25">
      <c r="A96" s="24">
        <v>50</v>
      </c>
      <c r="B96" s="24">
        <v>17624843</v>
      </c>
      <c r="C96" s="24" t="s">
        <v>716</v>
      </c>
      <c r="D96" s="24" t="s">
        <v>717</v>
      </c>
      <c r="E96" s="24">
        <v>979955686</v>
      </c>
      <c r="F96" s="24" t="s">
        <v>90</v>
      </c>
      <c r="G96" s="24" t="s">
        <v>619</v>
      </c>
      <c r="H96" s="24">
        <v>56.5</v>
      </c>
      <c r="I96" s="24" t="s">
        <v>11</v>
      </c>
    </row>
    <row r="97" spans="1:9" x14ac:dyDescent="0.25">
      <c r="A97" s="24">
        <v>51</v>
      </c>
      <c r="B97" s="24">
        <v>42830102</v>
      </c>
      <c r="C97" s="24" t="s">
        <v>718</v>
      </c>
      <c r="D97" s="24" t="s">
        <v>719</v>
      </c>
      <c r="E97" s="24">
        <v>979210538</v>
      </c>
      <c r="F97" s="24" t="s">
        <v>90</v>
      </c>
      <c r="G97" s="24" t="s">
        <v>619</v>
      </c>
      <c r="H97" s="24">
        <v>56</v>
      </c>
      <c r="I97" s="24" t="s">
        <v>11</v>
      </c>
    </row>
    <row r="98" spans="1:9" x14ac:dyDescent="0.25">
      <c r="A98" s="24">
        <v>52</v>
      </c>
      <c r="B98" s="25">
        <v>72845372</v>
      </c>
      <c r="C98" s="25" t="s">
        <v>720</v>
      </c>
      <c r="D98" s="25" t="s">
        <v>721</v>
      </c>
      <c r="E98" s="25">
        <v>957810913</v>
      </c>
      <c r="F98" s="25" t="s">
        <v>90</v>
      </c>
      <c r="G98" s="25" t="s">
        <v>619</v>
      </c>
      <c r="H98" s="25">
        <v>7</v>
      </c>
      <c r="I98" s="25" t="s">
        <v>50</v>
      </c>
    </row>
    <row r="99" spans="1:9" x14ac:dyDescent="0.25">
      <c r="A99" s="24">
        <v>53</v>
      </c>
      <c r="B99" s="25">
        <v>71646998</v>
      </c>
      <c r="C99" s="25" t="s">
        <v>722</v>
      </c>
      <c r="D99" s="25" t="s">
        <v>723</v>
      </c>
      <c r="E99" s="25">
        <v>918321327</v>
      </c>
      <c r="F99" s="25" t="s">
        <v>90</v>
      </c>
      <c r="G99" s="25" t="s">
        <v>619</v>
      </c>
      <c r="H99" s="25">
        <v>7</v>
      </c>
      <c r="I99" s="25" t="s">
        <v>50</v>
      </c>
    </row>
    <row r="100" spans="1:9" x14ac:dyDescent="0.25">
      <c r="A100" s="24">
        <v>54</v>
      </c>
      <c r="B100" s="25">
        <v>76462525</v>
      </c>
      <c r="C100" s="25" t="s">
        <v>724</v>
      </c>
      <c r="D100" s="25" t="s">
        <v>725</v>
      </c>
      <c r="E100" s="25">
        <v>983992614</v>
      </c>
      <c r="F100" s="25" t="s">
        <v>90</v>
      </c>
      <c r="G100" s="25" t="s">
        <v>619</v>
      </c>
      <c r="H100" s="25">
        <v>5</v>
      </c>
      <c r="I100" s="25" t="s">
        <v>50</v>
      </c>
    </row>
    <row r="101" spans="1:9" x14ac:dyDescent="0.25">
      <c r="A101" s="24">
        <v>55</v>
      </c>
      <c r="B101" s="25">
        <v>75673491</v>
      </c>
      <c r="C101" s="25" t="s">
        <v>726</v>
      </c>
      <c r="D101" s="25" t="s">
        <v>727</v>
      </c>
      <c r="E101" s="25">
        <v>910630942</v>
      </c>
      <c r="F101" s="25" t="s">
        <v>90</v>
      </c>
      <c r="G101" s="25" t="s">
        <v>619</v>
      </c>
      <c r="H101" s="25">
        <v>0</v>
      </c>
      <c r="I101" s="25" t="s">
        <v>50</v>
      </c>
    </row>
    <row r="102" spans="1:9" x14ac:dyDescent="0.25">
      <c r="A102" s="26">
        <v>316</v>
      </c>
      <c r="B102" s="26">
        <v>43227051</v>
      </c>
      <c r="C102" s="26" t="s">
        <v>728</v>
      </c>
      <c r="D102" s="26" t="s">
        <v>729</v>
      </c>
      <c r="E102" s="26">
        <v>980377131</v>
      </c>
      <c r="F102" s="26" t="s">
        <v>90</v>
      </c>
      <c r="G102" s="26" t="s">
        <v>730</v>
      </c>
      <c r="H102" s="26">
        <v>74</v>
      </c>
      <c r="I102" s="26" t="s">
        <v>11</v>
      </c>
    </row>
    <row r="103" spans="1:9" x14ac:dyDescent="0.25">
      <c r="A103" s="26">
        <v>311</v>
      </c>
      <c r="B103" s="26">
        <v>40055451</v>
      </c>
      <c r="C103" s="26" t="s">
        <v>731</v>
      </c>
      <c r="D103" s="26" t="s">
        <v>732</v>
      </c>
      <c r="E103" s="26">
        <v>985112187</v>
      </c>
      <c r="F103" s="26" t="s">
        <v>90</v>
      </c>
      <c r="G103" s="26" t="s">
        <v>730</v>
      </c>
      <c r="H103" s="26">
        <v>72</v>
      </c>
      <c r="I103" s="26" t="s">
        <v>11</v>
      </c>
    </row>
    <row r="104" spans="1:9" x14ac:dyDescent="0.25">
      <c r="A104" s="26">
        <v>325</v>
      </c>
      <c r="B104" s="26">
        <v>40674116</v>
      </c>
      <c r="C104" s="26" t="s">
        <v>733</v>
      </c>
      <c r="D104" s="26" t="s">
        <v>734</v>
      </c>
      <c r="E104" s="26">
        <v>979939553</v>
      </c>
      <c r="F104" s="26" t="s">
        <v>90</v>
      </c>
      <c r="G104" s="26" t="s">
        <v>730</v>
      </c>
      <c r="H104" s="26">
        <v>71.5</v>
      </c>
      <c r="I104" s="26" t="s">
        <v>11</v>
      </c>
    </row>
    <row r="105" spans="1:9" x14ac:dyDescent="0.25">
      <c r="A105" s="26">
        <v>323</v>
      </c>
      <c r="B105" s="26">
        <v>46690196</v>
      </c>
      <c r="C105" s="26" t="s">
        <v>735</v>
      </c>
      <c r="D105" s="26" t="s">
        <v>736</v>
      </c>
      <c r="E105" s="26">
        <v>954908813</v>
      </c>
      <c r="F105" s="26" t="s">
        <v>90</v>
      </c>
      <c r="G105" s="26" t="s">
        <v>730</v>
      </c>
      <c r="H105" s="26">
        <v>70</v>
      </c>
      <c r="I105" s="26" t="s">
        <v>11</v>
      </c>
    </row>
    <row r="106" spans="1:9" x14ac:dyDescent="0.25">
      <c r="A106" s="26">
        <v>315</v>
      </c>
      <c r="B106" s="26">
        <v>74567191</v>
      </c>
      <c r="C106" s="26" t="s">
        <v>737</v>
      </c>
      <c r="D106" s="26" t="s">
        <v>738</v>
      </c>
      <c r="E106" s="26">
        <v>932152135</v>
      </c>
      <c r="F106" s="26" t="s">
        <v>90</v>
      </c>
      <c r="G106" s="26" t="s">
        <v>730</v>
      </c>
      <c r="H106" s="26">
        <v>69</v>
      </c>
      <c r="I106" s="26" t="s">
        <v>11</v>
      </c>
    </row>
    <row r="107" spans="1:9" x14ac:dyDescent="0.25">
      <c r="A107" s="26">
        <v>313</v>
      </c>
      <c r="B107" s="26">
        <v>47251908</v>
      </c>
      <c r="C107" s="26" t="s">
        <v>739</v>
      </c>
      <c r="D107" s="26" t="s">
        <v>740</v>
      </c>
      <c r="E107" s="26">
        <v>912019745</v>
      </c>
      <c r="F107" s="26" t="s">
        <v>90</v>
      </c>
      <c r="G107" s="26" t="s">
        <v>730</v>
      </c>
      <c r="H107" s="26">
        <v>66.5</v>
      </c>
      <c r="I107" s="26" t="s">
        <v>11</v>
      </c>
    </row>
    <row r="108" spans="1:9" x14ac:dyDescent="0.25">
      <c r="A108" s="26">
        <v>318</v>
      </c>
      <c r="B108" s="26">
        <v>73865043</v>
      </c>
      <c r="C108" s="26" t="s">
        <v>741</v>
      </c>
      <c r="D108" s="26" t="s">
        <v>742</v>
      </c>
      <c r="E108" s="26">
        <v>939178567</v>
      </c>
      <c r="F108" s="26" t="s">
        <v>90</v>
      </c>
      <c r="G108" s="26" t="s">
        <v>730</v>
      </c>
      <c r="H108" s="26">
        <v>63.5</v>
      </c>
      <c r="I108" s="26" t="s">
        <v>11</v>
      </c>
    </row>
    <row r="109" spans="1:9" x14ac:dyDescent="0.25">
      <c r="A109" s="26">
        <v>319</v>
      </c>
      <c r="B109" s="26">
        <v>43502190</v>
      </c>
      <c r="C109" s="26" t="s">
        <v>743</v>
      </c>
      <c r="D109" s="26" t="s">
        <v>744</v>
      </c>
      <c r="E109" s="26">
        <v>910129487</v>
      </c>
      <c r="F109" s="26" t="s">
        <v>90</v>
      </c>
      <c r="G109" s="26" t="s">
        <v>730</v>
      </c>
      <c r="H109" s="26">
        <v>63.5</v>
      </c>
      <c r="I109" s="26" t="s">
        <v>11</v>
      </c>
    </row>
    <row r="110" spans="1:9" x14ac:dyDescent="0.25">
      <c r="A110" s="26">
        <v>312</v>
      </c>
      <c r="B110" s="26">
        <v>74825859</v>
      </c>
      <c r="C110" s="26" t="s">
        <v>745</v>
      </c>
      <c r="D110" s="26" t="s">
        <v>746</v>
      </c>
      <c r="E110" s="26">
        <v>950165364</v>
      </c>
      <c r="F110" s="26" t="s">
        <v>90</v>
      </c>
      <c r="G110" s="26" t="s">
        <v>730</v>
      </c>
      <c r="H110" s="26">
        <v>56</v>
      </c>
      <c r="I110" s="26" t="s">
        <v>11</v>
      </c>
    </row>
    <row r="111" spans="1:9" x14ac:dyDescent="0.25">
      <c r="A111" s="26">
        <v>322</v>
      </c>
      <c r="B111" s="26">
        <v>47660746</v>
      </c>
      <c r="C111" s="26" t="s">
        <v>747</v>
      </c>
      <c r="D111" s="26" t="s">
        <v>748</v>
      </c>
      <c r="E111" s="26">
        <v>956659369</v>
      </c>
      <c r="F111" s="26" t="s">
        <v>90</v>
      </c>
      <c r="G111" s="26" t="s">
        <v>730</v>
      </c>
      <c r="H111" s="26">
        <v>56</v>
      </c>
      <c r="I111" s="26" t="s">
        <v>11</v>
      </c>
    </row>
    <row r="112" spans="1:9" x14ac:dyDescent="0.25">
      <c r="A112" s="26">
        <v>310</v>
      </c>
      <c r="B112" s="26">
        <v>45194887</v>
      </c>
      <c r="C112" s="26" t="s">
        <v>749</v>
      </c>
      <c r="D112" s="26" t="s">
        <v>750</v>
      </c>
      <c r="E112" s="26">
        <v>952529823</v>
      </c>
      <c r="F112" s="26" t="s">
        <v>90</v>
      </c>
      <c r="G112" s="26" t="s">
        <v>730</v>
      </c>
      <c r="H112" s="26">
        <v>55</v>
      </c>
      <c r="I112" s="26" t="s">
        <v>11</v>
      </c>
    </row>
    <row r="113" spans="1:9" x14ac:dyDescent="0.25">
      <c r="A113" s="26">
        <v>324</v>
      </c>
      <c r="B113" s="26">
        <v>46413153</v>
      </c>
      <c r="C113" s="26" t="s">
        <v>751</v>
      </c>
      <c r="D113" s="26" t="s">
        <v>752</v>
      </c>
      <c r="E113" s="26">
        <v>941981267</v>
      </c>
      <c r="F113" s="26" t="s">
        <v>90</v>
      </c>
      <c r="G113" s="26" t="s">
        <v>730</v>
      </c>
      <c r="H113" s="26">
        <v>55</v>
      </c>
      <c r="I113" s="26" t="s">
        <v>11</v>
      </c>
    </row>
    <row r="114" spans="1:9" x14ac:dyDescent="0.25">
      <c r="A114" s="26">
        <v>317</v>
      </c>
      <c r="B114" s="26">
        <v>45465030</v>
      </c>
      <c r="C114" s="26" t="s">
        <v>753</v>
      </c>
      <c r="D114" s="26" t="s">
        <v>754</v>
      </c>
      <c r="E114" s="26">
        <v>963679166</v>
      </c>
      <c r="F114" s="26" t="s">
        <v>90</v>
      </c>
      <c r="G114" s="26" t="s">
        <v>730</v>
      </c>
      <c r="H114" s="26">
        <v>54</v>
      </c>
      <c r="I114" s="26" t="s">
        <v>11</v>
      </c>
    </row>
    <row r="115" spans="1:9" x14ac:dyDescent="0.25">
      <c r="A115" s="26">
        <v>321</v>
      </c>
      <c r="B115" s="26">
        <v>80214918</v>
      </c>
      <c r="C115" s="26" t="s">
        <v>755</v>
      </c>
      <c r="D115" s="26" t="s">
        <v>756</v>
      </c>
      <c r="E115" s="26">
        <v>915987269</v>
      </c>
      <c r="F115" s="26" t="s">
        <v>90</v>
      </c>
      <c r="G115" s="26" t="s">
        <v>730</v>
      </c>
      <c r="H115" s="26">
        <v>52.5</v>
      </c>
      <c r="I115" s="26" t="s">
        <v>11</v>
      </c>
    </row>
    <row r="116" spans="1:9" x14ac:dyDescent="0.25">
      <c r="A116" s="26">
        <v>314</v>
      </c>
      <c r="B116" s="26">
        <v>76475807</v>
      </c>
      <c r="C116" s="26" t="s">
        <v>757</v>
      </c>
      <c r="D116" s="26" t="s">
        <v>758</v>
      </c>
      <c r="E116" s="26">
        <v>978090860</v>
      </c>
      <c r="F116" s="26" t="s">
        <v>90</v>
      </c>
      <c r="G116" s="26" t="s">
        <v>730</v>
      </c>
      <c r="H116" s="26">
        <v>50</v>
      </c>
      <c r="I116" s="26" t="s">
        <v>11</v>
      </c>
    </row>
    <row r="117" spans="1:9" x14ac:dyDescent="0.25">
      <c r="A117" s="26">
        <v>320</v>
      </c>
      <c r="B117" s="26">
        <v>46329807</v>
      </c>
      <c r="C117" s="26" t="s">
        <v>759</v>
      </c>
      <c r="D117" s="26" t="s">
        <v>760</v>
      </c>
      <c r="E117" s="26">
        <v>994772362</v>
      </c>
      <c r="F117" s="26" t="s">
        <v>90</v>
      </c>
      <c r="G117" s="26" t="s">
        <v>730</v>
      </c>
      <c r="H117" s="26">
        <v>48</v>
      </c>
      <c r="I117" s="26" t="s">
        <v>11</v>
      </c>
    </row>
    <row r="118" spans="1:9" x14ac:dyDescent="0.25">
      <c r="A118" s="27">
        <v>326</v>
      </c>
      <c r="B118" s="27">
        <v>73541556</v>
      </c>
      <c r="C118" s="27" t="s">
        <v>761</v>
      </c>
      <c r="D118" s="27" t="s">
        <v>762</v>
      </c>
      <c r="E118" s="27">
        <v>991978332</v>
      </c>
      <c r="F118" s="27" t="s">
        <v>90</v>
      </c>
      <c r="G118" s="27" t="s">
        <v>730</v>
      </c>
      <c r="H118" s="27">
        <v>7</v>
      </c>
      <c r="I118" s="27" t="s">
        <v>50</v>
      </c>
    </row>
    <row r="119" spans="1:9" x14ac:dyDescent="0.25">
      <c r="A119" s="27">
        <v>327</v>
      </c>
      <c r="B119" s="27">
        <v>74209427</v>
      </c>
      <c r="C119" s="27" t="s">
        <v>763</v>
      </c>
      <c r="D119" s="27" t="s">
        <v>764</v>
      </c>
      <c r="E119" s="27">
        <v>926875049</v>
      </c>
      <c r="F119" s="27" t="s">
        <v>90</v>
      </c>
      <c r="G119" s="27" t="s">
        <v>730</v>
      </c>
      <c r="H119" s="27">
        <v>5</v>
      </c>
      <c r="I119" s="27" t="s">
        <v>50</v>
      </c>
    </row>
    <row r="120" spans="1:9" x14ac:dyDescent="0.25">
      <c r="A120" s="27">
        <v>328</v>
      </c>
      <c r="B120" s="27">
        <v>72664440</v>
      </c>
      <c r="C120" s="27" t="s">
        <v>765</v>
      </c>
      <c r="D120" s="27" t="s">
        <v>766</v>
      </c>
      <c r="E120" s="27">
        <v>957148483</v>
      </c>
      <c r="F120" s="27" t="s">
        <v>90</v>
      </c>
      <c r="G120" s="27" t="s">
        <v>730</v>
      </c>
      <c r="H120" s="27">
        <v>5</v>
      </c>
      <c r="I120" s="27" t="s">
        <v>50</v>
      </c>
    </row>
    <row r="121" spans="1:9" x14ac:dyDescent="0.25">
      <c r="A121" s="20">
        <v>1</v>
      </c>
      <c r="B121" s="20">
        <v>77434930</v>
      </c>
      <c r="C121" s="20" t="s">
        <v>530</v>
      </c>
      <c r="D121" s="20" t="s">
        <v>531</v>
      </c>
      <c r="E121" s="20">
        <v>984988901</v>
      </c>
      <c r="F121" s="20" t="s">
        <v>90</v>
      </c>
      <c r="G121" s="20" t="s">
        <v>532</v>
      </c>
      <c r="H121" s="20">
        <v>81.5</v>
      </c>
      <c r="I121" s="20" t="s">
        <v>11</v>
      </c>
    </row>
    <row r="122" spans="1:9" x14ac:dyDescent="0.25">
      <c r="A122" s="20">
        <v>2</v>
      </c>
      <c r="B122" s="20">
        <v>71615638</v>
      </c>
      <c r="C122" s="20" t="s">
        <v>533</v>
      </c>
      <c r="D122" s="20" t="s">
        <v>534</v>
      </c>
      <c r="E122" s="20">
        <v>903391142</v>
      </c>
      <c r="F122" s="20" t="s">
        <v>90</v>
      </c>
      <c r="G122" s="20" t="s">
        <v>532</v>
      </c>
      <c r="H122" s="20">
        <v>79</v>
      </c>
      <c r="I122" s="20" t="s">
        <v>11</v>
      </c>
    </row>
    <row r="123" spans="1:9" x14ac:dyDescent="0.25">
      <c r="A123" s="20">
        <v>3</v>
      </c>
      <c r="B123" s="20">
        <v>75915522</v>
      </c>
      <c r="C123" s="20" t="s">
        <v>535</v>
      </c>
      <c r="D123" s="20" t="s">
        <v>536</v>
      </c>
      <c r="E123" s="20">
        <v>927610620</v>
      </c>
      <c r="F123" s="20" t="s">
        <v>90</v>
      </c>
      <c r="G123" s="20" t="s">
        <v>532</v>
      </c>
      <c r="H123" s="20">
        <v>79</v>
      </c>
      <c r="I123" s="20" t="s">
        <v>11</v>
      </c>
    </row>
    <row r="124" spans="1:9" x14ac:dyDescent="0.25">
      <c r="A124" s="20">
        <v>4</v>
      </c>
      <c r="B124" s="20">
        <v>76055110</v>
      </c>
      <c r="C124" s="20" t="s">
        <v>537</v>
      </c>
      <c r="D124" s="20" t="s">
        <v>538</v>
      </c>
      <c r="E124" s="20">
        <v>933199989</v>
      </c>
      <c r="F124" s="20" t="s">
        <v>90</v>
      </c>
      <c r="G124" s="20" t="s">
        <v>532</v>
      </c>
      <c r="H124" s="20">
        <v>78</v>
      </c>
      <c r="I124" s="20" t="s">
        <v>11</v>
      </c>
    </row>
    <row r="125" spans="1:9" x14ac:dyDescent="0.25">
      <c r="A125" s="20">
        <v>5</v>
      </c>
      <c r="B125" s="20">
        <v>16721931</v>
      </c>
      <c r="C125" s="20" t="s">
        <v>539</v>
      </c>
      <c r="D125" s="20" t="s">
        <v>540</v>
      </c>
      <c r="E125" s="20">
        <v>978158802</v>
      </c>
      <c r="F125" s="20" t="s">
        <v>90</v>
      </c>
      <c r="G125" s="20" t="s">
        <v>532</v>
      </c>
      <c r="H125" s="20">
        <v>77.900000000000006</v>
      </c>
      <c r="I125" s="20" t="s">
        <v>11</v>
      </c>
    </row>
    <row r="126" spans="1:9" x14ac:dyDescent="0.25">
      <c r="A126" s="20">
        <v>6</v>
      </c>
      <c r="B126" s="20">
        <v>75860731</v>
      </c>
      <c r="C126" s="20" t="s">
        <v>541</v>
      </c>
      <c r="D126" s="20" t="s">
        <v>542</v>
      </c>
      <c r="E126" s="20">
        <v>961470746</v>
      </c>
      <c r="F126" s="20" t="s">
        <v>90</v>
      </c>
      <c r="G126" s="20" t="s">
        <v>532</v>
      </c>
      <c r="H126" s="20">
        <v>77.5</v>
      </c>
      <c r="I126" s="20" t="s">
        <v>11</v>
      </c>
    </row>
    <row r="127" spans="1:9" x14ac:dyDescent="0.25">
      <c r="A127" s="20">
        <v>7</v>
      </c>
      <c r="B127" s="20">
        <v>75826160</v>
      </c>
      <c r="C127" s="20" t="s">
        <v>543</v>
      </c>
      <c r="D127" s="20" t="s">
        <v>544</v>
      </c>
      <c r="E127" s="20">
        <v>984987561</v>
      </c>
      <c r="F127" s="20" t="s">
        <v>90</v>
      </c>
      <c r="G127" s="20" t="s">
        <v>532</v>
      </c>
      <c r="H127" s="20">
        <v>77.099999999999994</v>
      </c>
      <c r="I127" s="20" t="s">
        <v>11</v>
      </c>
    </row>
    <row r="128" spans="1:9" x14ac:dyDescent="0.25">
      <c r="A128" s="20">
        <v>8</v>
      </c>
      <c r="B128" s="20">
        <v>73302661</v>
      </c>
      <c r="C128" s="20" t="s">
        <v>545</v>
      </c>
      <c r="D128" s="20" t="s">
        <v>546</v>
      </c>
      <c r="E128" s="20">
        <v>947868827</v>
      </c>
      <c r="F128" s="20" t="s">
        <v>90</v>
      </c>
      <c r="G128" s="20" t="s">
        <v>532</v>
      </c>
      <c r="H128" s="20">
        <v>76.5</v>
      </c>
      <c r="I128" s="20" t="s">
        <v>11</v>
      </c>
    </row>
    <row r="129" spans="1:9" x14ac:dyDescent="0.25">
      <c r="A129" s="20">
        <v>9</v>
      </c>
      <c r="B129" s="20">
        <v>71521433</v>
      </c>
      <c r="C129" s="20" t="s">
        <v>547</v>
      </c>
      <c r="D129" s="20" t="s">
        <v>548</v>
      </c>
      <c r="E129" s="20">
        <v>991102426</v>
      </c>
      <c r="F129" s="20" t="s">
        <v>90</v>
      </c>
      <c r="G129" s="20" t="s">
        <v>532</v>
      </c>
      <c r="H129" s="20">
        <v>76</v>
      </c>
      <c r="I129" s="20" t="s">
        <v>11</v>
      </c>
    </row>
    <row r="130" spans="1:9" x14ac:dyDescent="0.25">
      <c r="A130" s="20">
        <v>10</v>
      </c>
      <c r="B130" s="20">
        <v>72120310</v>
      </c>
      <c r="C130" s="20" t="s">
        <v>549</v>
      </c>
      <c r="D130" s="20" t="s">
        <v>550</v>
      </c>
      <c r="E130" s="20">
        <v>942890881</v>
      </c>
      <c r="F130" s="20" t="s">
        <v>90</v>
      </c>
      <c r="G130" s="20" t="s">
        <v>532</v>
      </c>
      <c r="H130" s="20">
        <v>76</v>
      </c>
      <c r="I130" s="20" t="s">
        <v>11</v>
      </c>
    </row>
    <row r="131" spans="1:9" x14ac:dyDescent="0.25">
      <c r="A131" s="20">
        <v>11</v>
      </c>
      <c r="B131" s="20">
        <v>72032293</v>
      </c>
      <c r="C131" s="20" t="s">
        <v>551</v>
      </c>
      <c r="D131" s="20" t="s">
        <v>552</v>
      </c>
      <c r="E131" s="20">
        <v>912748022</v>
      </c>
      <c r="F131" s="20" t="s">
        <v>90</v>
      </c>
      <c r="G131" s="20" t="s">
        <v>532</v>
      </c>
      <c r="H131" s="20">
        <v>75</v>
      </c>
      <c r="I131" s="20" t="s">
        <v>11</v>
      </c>
    </row>
    <row r="132" spans="1:9" x14ac:dyDescent="0.25">
      <c r="A132" s="20">
        <v>12</v>
      </c>
      <c r="B132" s="20">
        <v>75439954</v>
      </c>
      <c r="C132" s="20" t="s">
        <v>553</v>
      </c>
      <c r="D132" s="20" t="s">
        <v>554</v>
      </c>
      <c r="E132" s="20">
        <v>971957636</v>
      </c>
      <c r="F132" s="20" t="s">
        <v>90</v>
      </c>
      <c r="G132" s="20" t="s">
        <v>532</v>
      </c>
      <c r="H132" s="20">
        <v>74.7</v>
      </c>
      <c r="I132" s="20" t="s">
        <v>11</v>
      </c>
    </row>
    <row r="133" spans="1:9" x14ac:dyDescent="0.25">
      <c r="A133" s="20">
        <v>13</v>
      </c>
      <c r="B133" s="20">
        <v>71576811</v>
      </c>
      <c r="C133" s="20" t="s">
        <v>555</v>
      </c>
      <c r="D133" s="20" t="s">
        <v>556</v>
      </c>
      <c r="E133" s="20">
        <v>986494739</v>
      </c>
      <c r="F133" s="20" t="s">
        <v>90</v>
      </c>
      <c r="G133" s="20" t="s">
        <v>532</v>
      </c>
      <c r="H133" s="20">
        <v>74</v>
      </c>
      <c r="I133" s="20" t="s">
        <v>11</v>
      </c>
    </row>
    <row r="134" spans="1:9" x14ac:dyDescent="0.25">
      <c r="A134" s="20">
        <v>14</v>
      </c>
      <c r="B134" s="20">
        <v>70843479</v>
      </c>
      <c r="C134" s="20" t="s">
        <v>557</v>
      </c>
      <c r="D134" s="20" t="s">
        <v>558</v>
      </c>
      <c r="E134" s="20">
        <v>945805328</v>
      </c>
      <c r="F134" s="20" t="s">
        <v>90</v>
      </c>
      <c r="G134" s="20" t="s">
        <v>532</v>
      </c>
      <c r="H134" s="20">
        <v>73</v>
      </c>
      <c r="I134" s="20" t="s">
        <v>11</v>
      </c>
    </row>
    <row r="135" spans="1:9" x14ac:dyDescent="0.25">
      <c r="A135" s="20">
        <v>15</v>
      </c>
      <c r="B135" s="20">
        <v>40481231</v>
      </c>
      <c r="C135" s="20" t="s">
        <v>559</v>
      </c>
      <c r="D135" s="20" t="s">
        <v>560</v>
      </c>
      <c r="E135" s="20">
        <v>960785256</v>
      </c>
      <c r="F135" s="20" t="s">
        <v>90</v>
      </c>
      <c r="G135" s="20" t="s">
        <v>532</v>
      </c>
      <c r="H135" s="20">
        <v>72.5</v>
      </c>
      <c r="I135" s="20" t="s">
        <v>11</v>
      </c>
    </row>
    <row r="136" spans="1:9" x14ac:dyDescent="0.25">
      <c r="A136" s="20">
        <v>16</v>
      </c>
      <c r="B136" s="20">
        <v>76085949</v>
      </c>
      <c r="C136" s="20" t="s">
        <v>561</v>
      </c>
      <c r="D136" s="20" t="s">
        <v>562</v>
      </c>
      <c r="E136" s="20">
        <v>947160444</v>
      </c>
      <c r="F136" s="20" t="s">
        <v>90</v>
      </c>
      <c r="G136" s="20" t="s">
        <v>532</v>
      </c>
      <c r="H136" s="20">
        <v>72</v>
      </c>
      <c r="I136" s="20" t="s">
        <v>11</v>
      </c>
    </row>
    <row r="137" spans="1:9" x14ac:dyDescent="0.25">
      <c r="A137" s="20">
        <v>17</v>
      </c>
      <c r="B137" s="20">
        <v>73104437</v>
      </c>
      <c r="C137" s="20" t="s">
        <v>563</v>
      </c>
      <c r="D137" s="20" t="s">
        <v>564</v>
      </c>
      <c r="E137" s="20">
        <v>979469504</v>
      </c>
      <c r="F137" s="20" t="s">
        <v>90</v>
      </c>
      <c r="G137" s="20" t="s">
        <v>532</v>
      </c>
      <c r="H137" s="20">
        <v>71.5</v>
      </c>
      <c r="I137" s="20" t="s">
        <v>11</v>
      </c>
    </row>
    <row r="138" spans="1:9" x14ac:dyDescent="0.25">
      <c r="A138" s="20">
        <v>18</v>
      </c>
      <c r="B138" s="20">
        <v>75923762</v>
      </c>
      <c r="C138" s="20" t="s">
        <v>565</v>
      </c>
      <c r="D138" s="20" t="s">
        <v>566</v>
      </c>
      <c r="E138" s="20">
        <v>956995046</v>
      </c>
      <c r="F138" s="20" t="s">
        <v>90</v>
      </c>
      <c r="G138" s="20" t="s">
        <v>532</v>
      </c>
      <c r="H138" s="20">
        <v>70.3</v>
      </c>
      <c r="I138" s="20" t="s">
        <v>11</v>
      </c>
    </row>
    <row r="139" spans="1:9" x14ac:dyDescent="0.25">
      <c r="A139" s="20">
        <v>19</v>
      </c>
      <c r="B139" s="20">
        <v>47203374</v>
      </c>
      <c r="C139" s="20" t="s">
        <v>567</v>
      </c>
      <c r="D139" s="20" t="s">
        <v>568</v>
      </c>
      <c r="E139" s="20">
        <v>950497989</v>
      </c>
      <c r="F139" s="20" t="s">
        <v>90</v>
      </c>
      <c r="G139" s="20" t="s">
        <v>532</v>
      </c>
      <c r="H139" s="20">
        <v>70</v>
      </c>
      <c r="I139" s="20" t="s">
        <v>11</v>
      </c>
    </row>
    <row r="140" spans="1:9" x14ac:dyDescent="0.25">
      <c r="A140" s="20">
        <v>20</v>
      </c>
      <c r="B140" s="20">
        <v>46872048</v>
      </c>
      <c r="C140" s="20" t="s">
        <v>569</v>
      </c>
      <c r="D140" s="20" t="s">
        <v>570</v>
      </c>
      <c r="E140" s="20">
        <v>979800079</v>
      </c>
      <c r="F140" s="20" t="s">
        <v>90</v>
      </c>
      <c r="G140" s="20" t="s">
        <v>532</v>
      </c>
      <c r="H140" s="20">
        <v>69.900000000000006</v>
      </c>
      <c r="I140" s="20" t="s">
        <v>11</v>
      </c>
    </row>
    <row r="141" spans="1:9" x14ac:dyDescent="0.25">
      <c r="A141" s="20">
        <v>21</v>
      </c>
      <c r="B141" s="20">
        <v>73465205</v>
      </c>
      <c r="C141" s="20" t="s">
        <v>571</v>
      </c>
      <c r="D141" s="20" t="s">
        <v>572</v>
      </c>
      <c r="E141" s="20">
        <v>970755382</v>
      </c>
      <c r="F141" s="20" t="s">
        <v>90</v>
      </c>
      <c r="G141" s="20" t="s">
        <v>532</v>
      </c>
      <c r="H141" s="20">
        <v>69.099999999999994</v>
      </c>
      <c r="I141" s="20" t="s">
        <v>11</v>
      </c>
    </row>
    <row r="142" spans="1:9" x14ac:dyDescent="0.25">
      <c r="A142" s="20">
        <v>22</v>
      </c>
      <c r="B142" s="20">
        <v>41937598</v>
      </c>
      <c r="C142" s="20" t="s">
        <v>573</v>
      </c>
      <c r="D142" s="20" t="s">
        <v>574</v>
      </c>
      <c r="E142" s="20">
        <v>999368378</v>
      </c>
      <c r="F142" s="20" t="s">
        <v>90</v>
      </c>
      <c r="G142" s="20" t="s">
        <v>532</v>
      </c>
      <c r="H142" s="20">
        <v>68.5</v>
      </c>
      <c r="I142" s="20" t="s">
        <v>11</v>
      </c>
    </row>
    <row r="143" spans="1:9" x14ac:dyDescent="0.25">
      <c r="A143" s="20">
        <v>23</v>
      </c>
      <c r="B143" s="20">
        <v>74072585</v>
      </c>
      <c r="C143" s="20" t="s">
        <v>575</v>
      </c>
      <c r="D143" s="20" t="s">
        <v>576</v>
      </c>
      <c r="E143" s="20">
        <v>920692447</v>
      </c>
      <c r="F143" s="20" t="s">
        <v>90</v>
      </c>
      <c r="G143" s="20" t="s">
        <v>532</v>
      </c>
      <c r="H143" s="20">
        <v>68.3</v>
      </c>
      <c r="I143" s="20" t="s">
        <v>11</v>
      </c>
    </row>
    <row r="144" spans="1:9" x14ac:dyDescent="0.25">
      <c r="A144" s="20">
        <v>24</v>
      </c>
      <c r="B144" s="20">
        <v>74952726</v>
      </c>
      <c r="C144" s="20" t="s">
        <v>577</v>
      </c>
      <c r="D144" s="20" t="s">
        <v>578</v>
      </c>
      <c r="E144" s="20">
        <v>916528098</v>
      </c>
      <c r="F144" s="20" t="s">
        <v>90</v>
      </c>
      <c r="G144" s="20" t="s">
        <v>532</v>
      </c>
      <c r="H144" s="20">
        <v>68</v>
      </c>
      <c r="I144" s="20" t="s">
        <v>11</v>
      </c>
    </row>
    <row r="145" spans="1:9" x14ac:dyDescent="0.25">
      <c r="A145" s="20">
        <v>25</v>
      </c>
      <c r="B145" s="20">
        <v>75771350</v>
      </c>
      <c r="C145" s="20" t="s">
        <v>579</v>
      </c>
      <c r="D145" s="20" t="s">
        <v>580</v>
      </c>
      <c r="E145" s="20">
        <v>954733874</v>
      </c>
      <c r="F145" s="20" t="s">
        <v>90</v>
      </c>
      <c r="G145" s="20" t="s">
        <v>532</v>
      </c>
      <c r="H145" s="20">
        <v>68</v>
      </c>
      <c r="I145" s="20" t="s">
        <v>11</v>
      </c>
    </row>
    <row r="146" spans="1:9" x14ac:dyDescent="0.25">
      <c r="A146" s="20">
        <v>26</v>
      </c>
      <c r="B146" s="20">
        <v>48285822</v>
      </c>
      <c r="C146" s="20" t="s">
        <v>581</v>
      </c>
      <c r="D146" s="20" t="s">
        <v>582</v>
      </c>
      <c r="E146" s="20">
        <v>996818414</v>
      </c>
      <c r="F146" s="20" t="s">
        <v>90</v>
      </c>
      <c r="G146" s="20" t="s">
        <v>532</v>
      </c>
      <c r="H146" s="20">
        <v>67.900000000000006</v>
      </c>
      <c r="I146" s="20" t="s">
        <v>11</v>
      </c>
    </row>
    <row r="147" spans="1:9" x14ac:dyDescent="0.25">
      <c r="A147" s="20">
        <v>27</v>
      </c>
      <c r="B147" s="20">
        <v>45099926</v>
      </c>
      <c r="C147" s="20" t="s">
        <v>583</v>
      </c>
      <c r="D147" s="20" t="s">
        <v>584</v>
      </c>
      <c r="E147" s="20">
        <v>981602489</v>
      </c>
      <c r="F147" s="20" t="s">
        <v>90</v>
      </c>
      <c r="G147" s="20" t="s">
        <v>532</v>
      </c>
      <c r="H147" s="20">
        <v>67.8</v>
      </c>
      <c r="I147" s="20" t="s">
        <v>11</v>
      </c>
    </row>
    <row r="148" spans="1:9" x14ac:dyDescent="0.25">
      <c r="A148" s="20">
        <v>28</v>
      </c>
      <c r="B148" s="20">
        <v>71448388</v>
      </c>
      <c r="C148" s="20" t="s">
        <v>585</v>
      </c>
      <c r="D148" s="20" t="s">
        <v>586</v>
      </c>
      <c r="E148" s="20">
        <v>927639299</v>
      </c>
      <c r="F148" s="20" t="s">
        <v>90</v>
      </c>
      <c r="G148" s="20" t="s">
        <v>532</v>
      </c>
      <c r="H148" s="20">
        <v>67.7</v>
      </c>
      <c r="I148" s="20" t="s">
        <v>11</v>
      </c>
    </row>
    <row r="149" spans="1:9" x14ac:dyDescent="0.25">
      <c r="A149" s="20">
        <v>29</v>
      </c>
      <c r="B149" s="20">
        <v>48171415</v>
      </c>
      <c r="C149" s="20" t="s">
        <v>587</v>
      </c>
      <c r="D149" s="20" t="s">
        <v>588</v>
      </c>
      <c r="E149" s="20">
        <v>988812535</v>
      </c>
      <c r="F149" s="20" t="s">
        <v>90</v>
      </c>
      <c r="G149" s="20" t="s">
        <v>532</v>
      </c>
      <c r="H149" s="20">
        <v>67.5</v>
      </c>
      <c r="I149" s="20" t="s">
        <v>11</v>
      </c>
    </row>
    <row r="150" spans="1:9" x14ac:dyDescent="0.25">
      <c r="A150" s="20">
        <v>30</v>
      </c>
      <c r="B150" s="20">
        <v>46087150</v>
      </c>
      <c r="C150" s="20" t="s">
        <v>589</v>
      </c>
      <c r="D150" s="20" t="s">
        <v>590</v>
      </c>
      <c r="E150" s="20">
        <v>902356275</v>
      </c>
      <c r="F150" s="20" t="s">
        <v>90</v>
      </c>
      <c r="G150" s="20" t="s">
        <v>532</v>
      </c>
      <c r="H150" s="20">
        <v>66.8</v>
      </c>
      <c r="I150" s="20" t="s">
        <v>11</v>
      </c>
    </row>
    <row r="151" spans="1:9" x14ac:dyDescent="0.25">
      <c r="A151" s="20">
        <v>31</v>
      </c>
      <c r="B151" s="20">
        <v>73201951</v>
      </c>
      <c r="C151" s="20" t="s">
        <v>591</v>
      </c>
      <c r="D151" s="20" t="s">
        <v>592</v>
      </c>
      <c r="E151" s="20">
        <v>963929946</v>
      </c>
      <c r="F151" s="20" t="s">
        <v>90</v>
      </c>
      <c r="G151" s="20" t="s">
        <v>532</v>
      </c>
      <c r="H151" s="20">
        <v>66</v>
      </c>
      <c r="I151" s="20" t="s">
        <v>11</v>
      </c>
    </row>
    <row r="152" spans="1:9" x14ac:dyDescent="0.25">
      <c r="A152" s="20">
        <v>32</v>
      </c>
      <c r="B152" s="20">
        <v>42116941</v>
      </c>
      <c r="C152" s="20" t="s">
        <v>593</v>
      </c>
      <c r="D152" s="20" t="s">
        <v>594</v>
      </c>
      <c r="E152" s="20">
        <v>986298887</v>
      </c>
      <c r="F152" s="20" t="s">
        <v>90</v>
      </c>
      <c r="G152" s="20" t="s">
        <v>532</v>
      </c>
      <c r="H152" s="20">
        <v>65.900000000000006</v>
      </c>
      <c r="I152" s="20" t="s">
        <v>11</v>
      </c>
    </row>
    <row r="153" spans="1:9" x14ac:dyDescent="0.25">
      <c r="A153" s="20">
        <v>33</v>
      </c>
      <c r="B153" s="20">
        <v>60473276</v>
      </c>
      <c r="C153" s="20" t="s">
        <v>595</v>
      </c>
      <c r="D153" s="20" t="s">
        <v>596</v>
      </c>
      <c r="E153" s="20">
        <v>977834319</v>
      </c>
      <c r="F153" s="20" t="s">
        <v>90</v>
      </c>
      <c r="G153" s="20" t="s">
        <v>532</v>
      </c>
      <c r="H153" s="20">
        <v>65.5</v>
      </c>
      <c r="I153" s="20" t="s">
        <v>11</v>
      </c>
    </row>
    <row r="154" spans="1:9" x14ac:dyDescent="0.25">
      <c r="A154" s="20">
        <v>34</v>
      </c>
      <c r="B154" s="20">
        <v>76288246</v>
      </c>
      <c r="C154" s="20" t="s">
        <v>597</v>
      </c>
      <c r="D154" s="20" t="s">
        <v>598</v>
      </c>
      <c r="E154" s="20">
        <v>938996626</v>
      </c>
      <c r="F154" s="20" t="s">
        <v>90</v>
      </c>
      <c r="G154" s="20" t="s">
        <v>532</v>
      </c>
      <c r="H154" s="20">
        <v>65</v>
      </c>
      <c r="I154" s="20" t="s">
        <v>11</v>
      </c>
    </row>
    <row r="155" spans="1:9" x14ac:dyDescent="0.25">
      <c r="A155" s="20">
        <v>35</v>
      </c>
      <c r="B155" s="20">
        <v>45223140</v>
      </c>
      <c r="C155" s="20" t="s">
        <v>599</v>
      </c>
      <c r="D155" s="20" t="s">
        <v>600</v>
      </c>
      <c r="E155" s="20">
        <v>947384074</v>
      </c>
      <c r="F155" s="20" t="s">
        <v>90</v>
      </c>
      <c r="G155" s="20" t="s">
        <v>532</v>
      </c>
      <c r="H155" s="20">
        <v>63.9</v>
      </c>
      <c r="I155" s="20" t="s">
        <v>11</v>
      </c>
    </row>
    <row r="156" spans="1:9" x14ac:dyDescent="0.25">
      <c r="A156" s="20">
        <v>36</v>
      </c>
      <c r="B156" s="20">
        <v>43247575</v>
      </c>
      <c r="C156" s="20" t="s">
        <v>601</v>
      </c>
      <c r="D156" s="20" t="s">
        <v>602</v>
      </c>
      <c r="E156" s="20">
        <v>969878942</v>
      </c>
      <c r="F156" s="20" t="s">
        <v>90</v>
      </c>
      <c r="G156" s="20" t="s">
        <v>532</v>
      </c>
      <c r="H156" s="20">
        <v>63.9</v>
      </c>
      <c r="I156" s="20" t="s">
        <v>11</v>
      </c>
    </row>
    <row r="157" spans="1:9" x14ac:dyDescent="0.25">
      <c r="A157" s="20">
        <v>37</v>
      </c>
      <c r="B157" s="20">
        <v>73138434</v>
      </c>
      <c r="C157" s="20" t="s">
        <v>603</v>
      </c>
      <c r="D157" s="20" t="s">
        <v>604</v>
      </c>
      <c r="E157" s="20">
        <v>914702819</v>
      </c>
      <c r="F157" s="20" t="s">
        <v>90</v>
      </c>
      <c r="G157" s="20" t="s">
        <v>532</v>
      </c>
      <c r="H157" s="20">
        <v>62.5</v>
      </c>
      <c r="I157" s="20" t="s">
        <v>11</v>
      </c>
    </row>
    <row r="158" spans="1:9" x14ac:dyDescent="0.25">
      <c r="A158" s="20">
        <v>38</v>
      </c>
      <c r="B158" s="20">
        <v>75786227</v>
      </c>
      <c r="C158" s="20" t="s">
        <v>605</v>
      </c>
      <c r="D158" s="20" t="s">
        <v>606</v>
      </c>
      <c r="E158" s="20">
        <v>951664645</v>
      </c>
      <c r="F158" s="20" t="s">
        <v>90</v>
      </c>
      <c r="G158" s="20" t="s">
        <v>532</v>
      </c>
      <c r="H158" s="20">
        <v>61.2</v>
      </c>
      <c r="I158" s="20" t="s">
        <v>11</v>
      </c>
    </row>
    <row r="159" spans="1:9" x14ac:dyDescent="0.25">
      <c r="A159" s="20">
        <v>39</v>
      </c>
      <c r="B159" s="20">
        <v>48575206</v>
      </c>
      <c r="C159" s="20" t="s">
        <v>607</v>
      </c>
      <c r="D159" s="20" t="s">
        <v>608</v>
      </c>
      <c r="E159" s="20">
        <v>937047200</v>
      </c>
      <c r="F159" s="20" t="s">
        <v>90</v>
      </c>
      <c r="G159" s="20" t="s">
        <v>532</v>
      </c>
      <c r="H159" s="20">
        <v>59.5</v>
      </c>
      <c r="I159" s="20" t="s">
        <v>11</v>
      </c>
    </row>
    <row r="160" spans="1:9" x14ac:dyDescent="0.25">
      <c r="A160" s="20">
        <v>40</v>
      </c>
      <c r="B160" s="20">
        <v>47660995</v>
      </c>
      <c r="C160" s="20" t="s">
        <v>609</v>
      </c>
      <c r="D160" s="20" t="s">
        <v>610</v>
      </c>
      <c r="E160" s="20">
        <v>984634038</v>
      </c>
      <c r="F160" s="20" t="s">
        <v>90</v>
      </c>
      <c r="G160" s="20" t="s">
        <v>532</v>
      </c>
      <c r="H160" s="20">
        <v>57</v>
      </c>
      <c r="I160" s="20" t="s">
        <v>11</v>
      </c>
    </row>
    <row r="161" spans="1:9" x14ac:dyDescent="0.25">
      <c r="A161" s="20">
        <v>41</v>
      </c>
      <c r="B161" s="20">
        <v>80587570</v>
      </c>
      <c r="C161" s="20" t="s">
        <v>611</v>
      </c>
      <c r="D161" s="20" t="s">
        <v>612</v>
      </c>
      <c r="E161" s="20">
        <v>968137854</v>
      </c>
      <c r="F161" s="20" t="s">
        <v>90</v>
      </c>
      <c r="G161" s="20" t="s">
        <v>532</v>
      </c>
      <c r="H161" s="20">
        <v>55.6</v>
      </c>
      <c r="I161" s="20" t="s">
        <v>11</v>
      </c>
    </row>
    <row r="162" spans="1:9" x14ac:dyDescent="0.25">
      <c r="A162" s="20">
        <v>42</v>
      </c>
      <c r="B162" s="20">
        <v>47570515</v>
      </c>
      <c r="C162" s="20" t="s">
        <v>613</v>
      </c>
      <c r="D162" s="20" t="s">
        <v>614</v>
      </c>
      <c r="E162" s="20">
        <v>953445049</v>
      </c>
      <c r="F162" s="20" t="s">
        <v>90</v>
      </c>
      <c r="G162" s="20" t="s">
        <v>532</v>
      </c>
      <c r="H162" s="20">
        <v>36.200000000000003</v>
      </c>
      <c r="I162" s="20" t="s">
        <v>11</v>
      </c>
    </row>
    <row r="163" spans="1:9" x14ac:dyDescent="0.25">
      <c r="A163" s="20">
        <v>43</v>
      </c>
      <c r="B163" s="21">
        <v>47074230</v>
      </c>
      <c r="C163" s="21" t="s">
        <v>615</v>
      </c>
      <c r="D163" s="21" t="s">
        <v>616</v>
      </c>
      <c r="E163" s="21">
        <v>996348245</v>
      </c>
      <c r="F163" s="21" t="s">
        <v>90</v>
      </c>
      <c r="G163" s="21" t="s">
        <v>532</v>
      </c>
      <c r="H163" s="21">
        <v>8.8000000000000007</v>
      </c>
      <c r="I163" s="21" t="s">
        <v>50</v>
      </c>
    </row>
    <row r="164" spans="1:9" x14ac:dyDescent="0.25">
      <c r="A164" s="22">
        <v>239</v>
      </c>
      <c r="B164" s="22">
        <v>40053650</v>
      </c>
      <c r="C164" s="22" t="s">
        <v>51</v>
      </c>
      <c r="D164" s="22" t="s">
        <v>52</v>
      </c>
      <c r="E164" s="22">
        <v>916947134</v>
      </c>
      <c r="F164" s="22" t="s">
        <v>9</v>
      </c>
      <c r="G164" s="22" t="s">
        <v>53</v>
      </c>
      <c r="H164" s="22">
        <v>83.5</v>
      </c>
      <c r="I164" s="22" t="s">
        <v>11</v>
      </c>
    </row>
    <row r="165" spans="1:9" x14ac:dyDescent="0.25">
      <c r="A165" s="22">
        <v>237</v>
      </c>
      <c r="B165" s="22">
        <v>42739000</v>
      </c>
      <c r="C165" s="22" t="s">
        <v>54</v>
      </c>
      <c r="D165" s="22" t="s">
        <v>55</v>
      </c>
      <c r="E165" s="22">
        <v>938854248</v>
      </c>
      <c r="F165" s="22" t="s">
        <v>9</v>
      </c>
      <c r="G165" s="22" t="s">
        <v>53</v>
      </c>
      <c r="H165" s="22">
        <v>83</v>
      </c>
      <c r="I165" s="22" t="s">
        <v>11</v>
      </c>
    </row>
    <row r="166" spans="1:9" x14ac:dyDescent="0.25">
      <c r="A166" s="22">
        <v>240</v>
      </c>
      <c r="B166" s="22">
        <v>76222247</v>
      </c>
      <c r="C166" s="22" t="s">
        <v>56</v>
      </c>
      <c r="D166" s="22" t="s">
        <v>57</v>
      </c>
      <c r="E166" s="22">
        <v>901965892</v>
      </c>
      <c r="F166" s="22" t="s">
        <v>9</v>
      </c>
      <c r="G166" s="22" t="s">
        <v>53</v>
      </c>
      <c r="H166" s="22">
        <v>82.6</v>
      </c>
      <c r="I166" s="22" t="s">
        <v>11</v>
      </c>
    </row>
    <row r="167" spans="1:9" x14ac:dyDescent="0.25">
      <c r="A167" s="22">
        <v>252</v>
      </c>
      <c r="B167" s="22">
        <v>16761481</v>
      </c>
      <c r="C167" s="22" t="s">
        <v>58</v>
      </c>
      <c r="D167" s="22" t="s">
        <v>59</v>
      </c>
      <c r="E167" s="22">
        <v>979259720</v>
      </c>
      <c r="F167" s="22" t="s">
        <v>9</v>
      </c>
      <c r="G167" s="22" t="s">
        <v>53</v>
      </c>
      <c r="H167" s="22">
        <v>81.400000000000006</v>
      </c>
      <c r="I167" s="22" t="s">
        <v>11</v>
      </c>
    </row>
    <row r="168" spans="1:9" x14ac:dyDescent="0.25">
      <c r="A168" s="22">
        <v>247</v>
      </c>
      <c r="B168" s="22">
        <v>40477335</v>
      </c>
      <c r="C168" s="22" t="s">
        <v>60</v>
      </c>
      <c r="D168" s="22" t="s">
        <v>61</v>
      </c>
      <c r="E168" s="22">
        <v>966296132</v>
      </c>
      <c r="F168" s="22" t="s">
        <v>9</v>
      </c>
      <c r="G168" s="22" t="s">
        <v>53</v>
      </c>
      <c r="H168" s="22">
        <v>81</v>
      </c>
      <c r="I168" s="22" t="s">
        <v>11</v>
      </c>
    </row>
    <row r="169" spans="1:9" x14ac:dyDescent="0.25">
      <c r="A169" s="22">
        <v>243</v>
      </c>
      <c r="B169" s="22">
        <v>43880198</v>
      </c>
      <c r="C169" s="22" t="s">
        <v>62</v>
      </c>
      <c r="D169" s="22" t="s">
        <v>63</v>
      </c>
      <c r="E169" s="22">
        <v>975638058</v>
      </c>
      <c r="F169" s="22" t="s">
        <v>9</v>
      </c>
      <c r="G169" s="22" t="s">
        <v>53</v>
      </c>
      <c r="H169" s="22">
        <v>79.5</v>
      </c>
      <c r="I169" s="22" t="s">
        <v>11</v>
      </c>
    </row>
    <row r="170" spans="1:9" x14ac:dyDescent="0.25">
      <c r="A170" s="22">
        <v>241</v>
      </c>
      <c r="B170" s="22">
        <v>17603712</v>
      </c>
      <c r="C170" s="22" t="s">
        <v>64</v>
      </c>
      <c r="D170" s="22" t="s">
        <v>65</v>
      </c>
      <c r="E170" s="22">
        <v>978290008</v>
      </c>
      <c r="F170" s="22" t="s">
        <v>9</v>
      </c>
      <c r="G170" s="22" t="s">
        <v>53</v>
      </c>
      <c r="H170" s="22">
        <v>75.8</v>
      </c>
      <c r="I170" s="22" t="s">
        <v>11</v>
      </c>
    </row>
    <row r="171" spans="1:9" x14ac:dyDescent="0.25">
      <c r="A171" s="22">
        <v>245</v>
      </c>
      <c r="B171" s="22">
        <v>16736360</v>
      </c>
      <c r="C171" s="22" t="s">
        <v>66</v>
      </c>
      <c r="D171" s="22" t="s">
        <v>67</v>
      </c>
      <c r="E171" s="22">
        <v>979666725</v>
      </c>
      <c r="F171" s="22" t="s">
        <v>9</v>
      </c>
      <c r="G171" s="22" t="s">
        <v>53</v>
      </c>
      <c r="H171" s="22">
        <v>75.5</v>
      </c>
      <c r="I171" s="22" t="s">
        <v>11</v>
      </c>
    </row>
    <row r="172" spans="1:9" x14ac:dyDescent="0.25">
      <c r="A172" s="22">
        <v>248</v>
      </c>
      <c r="B172" s="22">
        <v>47898287</v>
      </c>
      <c r="C172" s="22" t="s">
        <v>68</v>
      </c>
      <c r="D172" s="22" t="s">
        <v>69</v>
      </c>
      <c r="E172" s="22">
        <v>976913466</v>
      </c>
      <c r="F172" s="22" t="s">
        <v>9</v>
      </c>
      <c r="G172" s="22" t="s">
        <v>53</v>
      </c>
      <c r="H172" s="22">
        <v>74.5</v>
      </c>
      <c r="I172" s="22" t="s">
        <v>11</v>
      </c>
    </row>
    <row r="173" spans="1:9" x14ac:dyDescent="0.25">
      <c r="A173" s="22">
        <v>250</v>
      </c>
      <c r="B173" s="22">
        <v>71570678</v>
      </c>
      <c r="C173" s="22" t="s">
        <v>70</v>
      </c>
      <c r="D173" s="22" t="s">
        <v>71</v>
      </c>
      <c r="E173" s="22">
        <v>929054903</v>
      </c>
      <c r="F173" s="22" t="s">
        <v>9</v>
      </c>
      <c r="G173" s="22" t="s">
        <v>53</v>
      </c>
      <c r="H173" s="22">
        <v>73.2</v>
      </c>
      <c r="I173" s="22" t="s">
        <v>11</v>
      </c>
    </row>
    <row r="174" spans="1:9" x14ac:dyDescent="0.25">
      <c r="A174" s="22">
        <v>249</v>
      </c>
      <c r="B174" s="22">
        <v>45426428</v>
      </c>
      <c r="C174" s="22" t="s">
        <v>72</v>
      </c>
      <c r="D174" s="22" t="s">
        <v>73</v>
      </c>
      <c r="E174" s="22">
        <v>979983732</v>
      </c>
      <c r="F174" s="22" t="s">
        <v>9</v>
      </c>
      <c r="G174" s="22" t="s">
        <v>53</v>
      </c>
      <c r="H174" s="22">
        <v>72.5</v>
      </c>
      <c r="I174" s="22" t="s">
        <v>11</v>
      </c>
    </row>
    <row r="175" spans="1:9" x14ac:dyDescent="0.25">
      <c r="A175" s="22">
        <v>251</v>
      </c>
      <c r="B175" s="22">
        <v>47933687</v>
      </c>
      <c r="C175" s="22" t="s">
        <v>74</v>
      </c>
      <c r="D175" s="22" t="s">
        <v>75</v>
      </c>
      <c r="E175" s="22">
        <v>966580197</v>
      </c>
      <c r="F175" s="22" t="s">
        <v>9</v>
      </c>
      <c r="G175" s="22" t="s">
        <v>53</v>
      </c>
      <c r="H175" s="22">
        <v>72.5</v>
      </c>
      <c r="I175" s="22" t="s">
        <v>11</v>
      </c>
    </row>
    <row r="176" spans="1:9" x14ac:dyDescent="0.25">
      <c r="A176" s="22">
        <v>242</v>
      </c>
      <c r="B176" s="22">
        <v>70484804</v>
      </c>
      <c r="C176" s="22" t="s">
        <v>76</v>
      </c>
      <c r="D176" s="22" t="s">
        <v>77</v>
      </c>
      <c r="E176" s="22">
        <v>966743788</v>
      </c>
      <c r="F176" s="22" t="s">
        <v>9</v>
      </c>
      <c r="G176" s="22" t="s">
        <v>53</v>
      </c>
      <c r="H176" s="22">
        <v>71</v>
      </c>
      <c r="I176" s="22" t="s">
        <v>11</v>
      </c>
    </row>
    <row r="177" spans="1:9" x14ac:dyDescent="0.25">
      <c r="A177" s="22">
        <v>238</v>
      </c>
      <c r="B177" s="22">
        <v>41151914</v>
      </c>
      <c r="C177" s="22" t="s">
        <v>78</v>
      </c>
      <c r="D177" s="22" t="s">
        <v>79</v>
      </c>
      <c r="E177" s="22">
        <v>979963142</v>
      </c>
      <c r="F177" s="22" t="s">
        <v>9</v>
      </c>
      <c r="G177" s="22" t="s">
        <v>53</v>
      </c>
      <c r="H177" s="22">
        <v>70.5</v>
      </c>
      <c r="I177" s="22" t="s">
        <v>11</v>
      </c>
    </row>
    <row r="178" spans="1:9" x14ac:dyDescent="0.25">
      <c r="A178" s="22">
        <v>246</v>
      </c>
      <c r="B178" s="22">
        <v>40201777</v>
      </c>
      <c r="C178" s="22" t="s">
        <v>80</v>
      </c>
      <c r="D178" s="22" t="s">
        <v>81</v>
      </c>
      <c r="E178" s="22">
        <v>938278187</v>
      </c>
      <c r="F178" s="22" t="s">
        <v>9</v>
      </c>
      <c r="G178" s="22" t="s">
        <v>53</v>
      </c>
      <c r="H178" s="22">
        <v>67.8</v>
      </c>
      <c r="I178" s="22" t="s">
        <v>11</v>
      </c>
    </row>
    <row r="179" spans="1:9" x14ac:dyDescent="0.25">
      <c r="A179" s="22">
        <v>244</v>
      </c>
      <c r="B179" s="22">
        <v>72023928</v>
      </c>
      <c r="C179" s="22" t="s">
        <v>82</v>
      </c>
      <c r="D179" s="22" t="s">
        <v>83</v>
      </c>
      <c r="E179" s="22">
        <v>910533707</v>
      </c>
      <c r="F179" s="22" t="s">
        <v>9</v>
      </c>
      <c r="G179" s="22" t="s">
        <v>53</v>
      </c>
      <c r="H179" s="22">
        <v>66</v>
      </c>
      <c r="I179" s="22" t="s">
        <v>11</v>
      </c>
    </row>
    <row r="180" spans="1:9" x14ac:dyDescent="0.25">
      <c r="A180" s="23">
        <v>254</v>
      </c>
      <c r="B180" s="23">
        <v>46245628</v>
      </c>
      <c r="C180" s="23" t="s">
        <v>84</v>
      </c>
      <c r="D180" s="23" t="s">
        <v>85</v>
      </c>
      <c r="E180" s="23">
        <v>955569541</v>
      </c>
      <c r="F180" s="23" t="s">
        <v>9</v>
      </c>
      <c r="G180" s="23" t="s">
        <v>53</v>
      </c>
      <c r="H180" s="23">
        <v>12</v>
      </c>
      <c r="I180" s="23" t="s">
        <v>50</v>
      </c>
    </row>
    <row r="181" spans="1:9" x14ac:dyDescent="0.25">
      <c r="A181" s="23">
        <v>253</v>
      </c>
      <c r="B181" s="23">
        <v>43189679</v>
      </c>
      <c r="C181" s="23" t="s">
        <v>86</v>
      </c>
      <c r="D181" s="23" t="s">
        <v>87</v>
      </c>
      <c r="E181" s="23">
        <v>959229948</v>
      </c>
      <c r="F181" s="23" t="s">
        <v>9</v>
      </c>
      <c r="G181" s="23" t="s">
        <v>53</v>
      </c>
      <c r="H181" s="23">
        <v>0</v>
      </c>
      <c r="I181" s="23" t="s">
        <v>50</v>
      </c>
    </row>
    <row r="182" spans="1:9" x14ac:dyDescent="0.25">
      <c r="A182" s="12">
        <v>1</v>
      </c>
      <c r="B182" s="12">
        <v>46060832</v>
      </c>
      <c r="C182" s="12" t="s">
        <v>270</v>
      </c>
      <c r="D182" s="12" t="s">
        <v>271</v>
      </c>
      <c r="E182" s="12">
        <v>951908018</v>
      </c>
      <c r="F182" s="12" t="s">
        <v>90</v>
      </c>
      <c r="G182" s="12" t="s">
        <v>272</v>
      </c>
      <c r="H182" s="12">
        <v>77.400000000000006</v>
      </c>
      <c r="I182" s="12" t="s">
        <v>11</v>
      </c>
    </row>
    <row r="183" spans="1:9" x14ac:dyDescent="0.25">
      <c r="A183" s="12">
        <v>2</v>
      </c>
      <c r="B183" s="12">
        <v>73262781</v>
      </c>
      <c r="C183" s="12" t="s">
        <v>273</v>
      </c>
      <c r="D183" s="12" t="s">
        <v>274</v>
      </c>
      <c r="E183" s="12">
        <v>910201305</v>
      </c>
      <c r="F183" s="12" t="s">
        <v>90</v>
      </c>
      <c r="G183" s="12" t="s">
        <v>272</v>
      </c>
      <c r="H183" s="12">
        <v>71.900000000000006</v>
      </c>
      <c r="I183" s="12" t="s">
        <v>11</v>
      </c>
    </row>
    <row r="184" spans="1:9" x14ac:dyDescent="0.25">
      <c r="A184" s="12">
        <v>3</v>
      </c>
      <c r="B184" s="12" t="s">
        <v>275</v>
      </c>
      <c r="C184" s="12" t="s">
        <v>276</v>
      </c>
      <c r="D184" s="12" t="s">
        <v>277</v>
      </c>
      <c r="E184" s="12">
        <v>947495718</v>
      </c>
      <c r="F184" s="12" t="s">
        <v>90</v>
      </c>
      <c r="G184" s="12" t="s">
        <v>272</v>
      </c>
      <c r="H184" s="12">
        <v>71.900000000000006</v>
      </c>
      <c r="I184" s="12" t="s">
        <v>11</v>
      </c>
    </row>
    <row r="185" spans="1:9" x14ac:dyDescent="0.25">
      <c r="A185" s="12">
        <v>4</v>
      </c>
      <c r="B185" s="12">
        <v>47248891</v>
      </c>
      <c r="C185" s="12" t="s">
        <v>278</v>
      </c>
      <c r="D185" s="12" t="s">
        <v>279</v>
      </c>
      <c r="E185" s="12">
        <v>940115835</v>
      </c>
      <c r="F185" s="12" t="s">
        <v>90</v>
      </c>
      <c r="G185" s="12" t="s">
        <v>272</v>
      </c>
      <c r="H185" s="12">
        <v>71</v>
      </c>
      <c r="I185" s="12" t="s">
        <v>11</v>
      </c>
    </row>
    <row r="186" spans="1:9" x14ac:dyDescent="0.25">
      <c r="A186" s="12">
        <v>5</v>
      </c>
      <c r="B186" s="12">
        <v>43984489</v>
      </c>
      <c r="C186" s="12" t="s">
        <v>280</v>
      </c>
      <c r="D186" s="12" t="s">
        <v>281</v>
      </c>
      <c r="E186" s="12">
        <v>928228502</v>
      </c>
      <c r="F186" s="12" t="s">
        <v>90</v>
      </c>
      <c r="G186" s="12" t="s">
        <v>272</v>
      </c>
      <c r="H186" s="12">
        <v>70.5</v>
      </c>
      <c r="I186" s="12" t="s">
        <v>11</v>
      </c>
    </row>
    <row r="187" spans="1:9" x14ac:dyDescent="0.25">
      <c r="A187" s="12">
        <v>6</v>
      </c>
      <c r="B187" s="12">
        <v>71077059</v>
      </c>
      <c r="C187" s="12" t="s">
        <v>282</v>
      </c>
      <c r="D187" s="12" t="s">
        <v>283</v>
      </c>
      <c r="E187" s="12">
        <v>936794282</v>
      </c>
      <c r="F187" s="12" t="s">
        <v>90</v>
      </c>
      <c r="G187" s="12" t="s">
        <v>272</v>
      </c>
      <c r="H187" s="12">
        <v>69.900000000000006</v>
      </c>
      <c r="I187" s="12" t="s">
        <v>11</v>
      </c>
    </row>
    <row r="188" spans="1:9" x14ac:dyDescent="0.25">
      <c r="A188" s="12">
        <v>7</v>
      </c>
      <c r="B188" s="12">
        <v>72023455</v>
      </c>
      <c r="C188" s="12" t="s">
        <v>284</v>
      </c>
      <c r="D188" s="12" t="s">
        <v>285</v>
      </c>
      <c r="E188" s="12">
        <v>926104720</v>
      </c>
      <c r="F188" s="12" t="s">
        <v>90</v>
      </c>
      <c r="G188" s="12" t="s">
        <v>272</v>
      </c>
      <c r="H188" s="12">
        <v>69.099999999999994</v>
      </c>
      <c r="I188" s="12" t="s">
        <v>11</v>
      </c>
    </row>
    <row r="189" spans="1:9" x14ac:dyDescent="0.25">
      <c r="A189" s="12">
        <v>8</v>
      </c>
      <c r="B189" s="12">
        <v>44197041</v>
      </c>
      <c r="C189" s="12" t="s">
        <v>286</v>
      </c>
      <c r="D189" s="12" t="s">
        <v>287</v>
      </c>
      <c r="E189" s="12">
        <v>966243348</v>
      </c>
      <c r="F189" s="12" t="s">
        <v>90</v>
      </c>
      <c r="G189" s="12" t="s">
        <v>272</v>
      </c>
      <c r="H189" s="12">
        <v>69</v>
      </c>
      <c r="I189" s="12" t="s">
        <v>11</v>
      </c>
    </row>
    <row r="190" spans="1:9" x14ac:dyDescent="0.25">
      <c r="A190" s="12">
        <v>9</v>
      </c>
      <c r="B190" s="12">
        <v>45401537</v>
      </c>
      <c r="C190" s="12" t="s">
        <v>288</v>
      </c>
      <c r="D190" s="12" t="s">
        <v>289</v>
      </c>
      <c r="E190" s="12">
        <v>943749457</v>
      </c>
      <c r="F190" s="12" t="s">
        <v>90</v>
      </c>
      <c r="G190" s="12" t="s">
        <v>272</v>
      </c>
      <c r="H190" s="12">
        <v>68.5</v>
      </c>
      <c r="I190" s="12" t="s">
        <v>11</v>
      </c>
    </row>
    <row r="191" spans="1:9" x14ac:dyDescent="0.25">
      <c r="A191" s="12">
        <v>10</v>
      </c>
      <c r="B191" s="12">
        <v>47660655</v>
      </c>
      <c r="C191" s="12" t="s">
        <v>290</v>
      </c>
      <c r="D191" s="12" t="s">
        <v>291</v>
      </c>
      <c r="E191" s="12">
        <v>969945719</v>
      </c>
      <c r="F191" s="12" t="s">
        <v>90</v>
      </c>
      <c r="G191" s="12" t="s">
        <v>272</v>
      </c>
      <c r="H191" s="12">
        <v>68.5</v>
      </c>
      <c r="I191" s="12" t="s">
        <v>11</v>
      </c>
    </row>
    <row r="192" spans="1:9" x14ac:dyDescent="0.25">
      <c r="A192" s="12">
        <v>11</v>
      </c>
      <c r="B192" s="12">
        <v>47289823</v>
      </c>
      <c r="C192" s="12" t="s">
        <v>292</v>
      </c>
      <c r="D192" s="12" t="s">
        <v>293</v>
      </c>
      <c r="E192" s="12">
        <v>949630670</v>
      </c>
      <c r="F192" s="12" t="s">
        <v>90</v>
      </c>
      <c r="G192" s="12" t="s">
        <v>272</v>
      </c>
      <c r="H192" s="12">
        <v>68.2</v>
      </c>
      <c r="I192" s="12" t="s">
        <v>11</v>
      </c>
    </row>
    <row r="193" spans="1:9" x14ac:dyDescent="0.25">
      <c r="A193" s="12">
        <v>12</v>
      </c>
      <c r="B193" s="12">
        <v>70473446</v>
      </c>
      <c r="C193" s="12" t="s">
        <v>294</v>
      </c>
      <c r="D193" s="12" t="s">
        <v>295</v>
      </c>
      <c r="E193" s="12">
        <v>981228668</v>
      </c>
      <c r="F193" s="12" t="s">
        <v>90</v>
      </c>
      <c r="G193" s="12" t="s">
        <v>272</v>
      </c>
      <c r="H193" s="12">
        <v>68</v>
      </c>
      <c r="I193" s="12" t="s">
        <v>11</v>
      </c>
    </row>
    <row r="194" spans="1:9" x14ac:dyDescent="0.25">
      <c r="A194" s="12">
        <v>13</v>
      </c>
      <c r="B194" s="12">
        <v>60893958</v>
      </c>
      <c r="C194" s="12" t="s">
        <v>296</v>
      </c>
      <c r="D194" s="12" t="s">
        <v>297</v>
      </c>
      <c r="E194" s="12">
        <v>930738695</v>
      </c>
      <c r="F194" s="12" t="s">
        <v>90</v>
      </c>
      <c r="G194" s="12" t="s">
        <v>272</v>
      </c>
      <c r="H194" s="12">
        <v>68</v>
      </c>
      <c r="I194" s="12" t="s">
        <v>11</v>
      </c>
    </row>
    <row r="195" spans="1:9" x14ac:dyDescent="0.25">
      <c r="A195" s="12">
        <v>14</v>
      </c>
      <c r="B195" s="12">
        <v>72482012</v>
      </c>
      <c r="C195" s="12" t="s">
        <v>298</v>
      </c>
      <c r="D195" s="12" t="s">
        <v>299</v>
      </c>
      <c r="E195" s="12">
        <v>920737473</v>
      </c>
      <c r="F195" s="12" t="s">
        <v>90</v>
      </c>
      <c r="G195" s="12" t="s">
        <v>272</v>
      </c>
      <c r="H195" s="12">
        <v>68</v>
      </c>
      <c r="I195" s="12" t="s">
        <v>11</v>
      </c>
    </row>
    <row r="196" spans="1:9" x14ac:dyDescent="0.25">
      <c r="A196" s="12">
        <v>15</v>
      </c>
      <c r="B196" s="12">
        <v>46043232</v>
      </c>
      <c r="C196" s="12" t="s">
        <v>300</v>
      </c>
      <c r="D196" s="12" t="s">
        <v>301</v>
      </c>
      <c r="E196" s="12">
        <v>933961193</v>
      </c>
      <c r="F196" s="12" t="s">
        <v>90</v>
      </c>
      <c r="G196" s="12" t="s">
        <v>272</v>
      </c>
      <c r="H196" s="12">
        <v>67.900000000000006</v>
      </c>
      <c r="I196" s="12" t="s">
        <v>11</v>
      </c>
    </row>
    <row r="197" spans="1:9" x14ac:dyDescent="0.25">
      <c r="A197" s="12">
        <v>16</v>
      </c>
      <c r="B197" s="12">
        <v>75753060</v>
      </c>
      <c r="C197" s="12" t="s">
        <v>302</v>
      </c>
      <c r="D197" s="12" t="s">
        <v>303</v>
      </c>
      <c r="E197" s="12">
        <v>979146449</v>
      </c>
      <c r="F197" s="12" t="s">
        <v>90</v>
      </c>
      <c r="G197" s="12" t="s">
        <v>272</v>
      </c>
      <c r="H197" s="12">
        <v>67.099999999999994</v>
      </c>
      <c r="I197" s="12" t="s">
        <v>11</v>
      </c>
    </row>
    <row r="198" spans="1:9" x14ac:dyDescent="0.25">
      <c r="A198" s="12">
        <v>17</v>
      </c>
      <c r="B198" s="12">
        <v>76778993</v>
      </c>
      <c r="C198" s="12" t="s">
        <v>304</v>
      </c>
      <c r="D198" s="12" t="s">
        <v>305</v>
      </c>
      <c r="E198" s="12">
        <v>921517866</v>
      </c>
      <c r="F198" s="12" t="s">
        <v>90</v>
      </c>
      <c r="G198" s="12" t="s">
        <v>272</v>
      </c>
      <c r="H198" s="12">
        <v>66.599999999999994</v>
      </c>
      <c r="I198" s="12" t="s">
        <v>11</v>
      </c>
    </row>
    <row r="199" spans="1:9" x14ac:dyDescent="0.25">
      <c r="A199" s="12">
        <v>18</v>
      </c>
      <c r="B199" s="12">
        <v>75984029</v>
      </c>
      <c r="C199" s="12" t="s">
        <v>306</v>
      </c>
      <c r="D199" s="12" t="s">
        <v>307</v>
      </c>
      <c r="E199" s="12">
        <v>929094355</v>
      </c>
      <c r="F199" s="12" t="s">
        <v>90</v>
      </c>
      <c r="G199" s="12" t="s">
        <v>272</v>
      </c>
      <c r="H199" s="12">
        <v>65.599999999999994</v>
      </c>
      <c r="I199" s="12" t="s">
        <v>11</v>
      </c>
    </row>
    <row r="200" spans="1:9" x14ac:dyDescent="0.25">
      <c r="A200" s="12">
        <v>19</v>
      </c>
      <c r="B200" s="12">
        <v>41575219</v>
      </c>
      <c r="C200" s="12" t="s">
        <v>308</v>
      </c>
      <c r="D200" s="12" t="s">
        <v>309</v>
      </c>
      <c r="E200" s="12">
        <v>902725596</v>
      </c>
      <c r="F200" s="12" t="s">
        <v>90</v>
      </c>
      <c r="G200" s="12" t="s">
        <v>272</v>
      </c>
      <c r="H200" s="12">
        <v>65.5</v>
      </c>
      <c r="I200" s="12" t="s">
        <v>11</v>
      </c>
    </row>
    <row r="201" spans="1:9" x14ac:dyDescent="0.25">
      <c r="A201" s="12">
        <v>20</v>
      </c>
      <c r="B201" s="12">
        <v>71789940</v>
      </c>
      <c r="C201" s="12" t="s">
        <v>310</v>
      </c>
      <c r="D201" s="12" t="s">
        <v>311</v>
      </c>
      <c r="E201" s="12">
        <v>951044200</v>
      </c>
      <c r="F201" s="12" t="s">
        <v>90</v>
      </c>
      <c r="G201" s="12" t="s">
        <v>272</v>
      </c>
      <c r="H201" s="12">
        <v>65.400000000000006</v>
      </c>
      <c r="I201" s="12" t="s">
        <v>11</v>
      </c>
    </row>
    <row r="202" spans="1:9" x14ac:dyDescent="0.25">
      <c r="A202" s="12">
        <v>21</v>
      </c>
      <c r="B202" s="12">
        <v>75754825</v>
      </c>
      <c r="C202" s="12" t="s">
        <v>312</v>
      </c>
      <c r="D202" s="12" t="s">
        <v>313</v>
      </c>
      <c r="E202" s="12">
        <v>973327717</v>
      </c>
      <c r="F202" s="12" t="s">
        <v>90</v>
      </c>
      <c r="G202" s="12" t="s">
        <v>272</v>
      </c>
      <c r="H202" s="12">
        <v>65.2</v>
      </c>
      <c r="I202" s="12" t="s">
        <v>11</v>
      </c>
    </row>
    <row r="203" spans="1:9" x14ac:dyDescent="0.25">
      <c r="A203" s="12">
        <v>22</v>
      </c>
      <c r="B203" s="12">
        <v>72367013</v>
      </c>
      <c r="C203" s="12" t="s">
        <v>314</v>
      </c>
      <c r="D203" s="12" t="s">
        <v>315</v>
      </c>
      <c r="E203" s="12">
        <v>934671979</v>
      </c>
      <c r="F203" s="12" t="s">
        <v>90</v>
      </c>
      <c r="G203" s="12" t="s">
        <v>272</v>
      </c>
      <c r="H203" s="12">
        <v>64.5</v>
      </c>
      <c r="I203" s="12" t="s">
        <v>11</v>
      </c>
    </row>
    <row r="204" spans="1:9" x14ac:dyDescent="0.25">
      <c r="A204" s="12">
        <v>23</v>
      </c>
      <c r="B204" s="12">
        <v>48093786</v>
      </c>
      <c r="C204" s="12" t="s">
        <v>316</v>
      </c>
      <c r="D204" s="12" t="s">
        <v>317</v>
      </c>
      <c r="E204" s="12">
        <v>961586454</v>
      </c>
      <c r="F204" s="12" t="s">
        <v>90</v>
      </c>
      <c r="G204" s="12" t="s">
        <v>272</v>
      </c>
      <c r="H204" s="12">
        <v>64.400000000000006</v>
      </c>
      <c r="I204" s="12" t="s">
        <v>11</v>
      </c>
    </row>
    <row r="205" spans="1:9" x14ac:dyDescent="0.25">
      <c r="A205" s="12">
        <v>24</v>
      </c>
      <c r="B205" s="12">
        <v>10429599</v>
      </c>
      <c r="C205" s="12" t="s">
        <v>318</v>
      </c>
      <c r="D205" s="12" t="s">
        <v>319</v>
      </c>
      <c r="E205" s="12">
        <v>941864115</v>
      </c>
      <c r="F205" s="12" t="s">
        <v>90</v>
      </c>
      <c r="G205" s="12" t="s">
        <v>272</v>
      </c>
      <c r="H205" s="12">
        <v>64.3</v>
      </c>
      <c r="I205" s="12" t="s">
        <v>11</v>
      </c>
    </row>
    <row r="206" spans="1:9" x14ac:dyDescent="0.25">
      <c r="A206" s="12">
        <v>25</v>
      </c>
      <c r="B206" s="12">
        <v>80518197</v>
      </c>
      <c r="C206" s="12" t="s">
        <v>320</v>
      </c>
      <c r="D206" s="12" t="s">
        <v>321</v>
      </c>
      <c r="E206" s="12">
        <v>966328486</v>
      </c>
      <c r="F206" s="12" t="s">
        <v>90</v>
      </c>
      <c r="G206" s="12" t="s">
        <v>272</v>
      </c>
      <c r="H206" s="12">
        <v>64</v>
      </c>
      <c r="I206" s="12" t="s">
        <v>11</v>
      </c>
    </row>
    <row r="207" spans="1:9" x14ac:dyDescent="0.25">
      <c r="A207" s="12">
        <v>26</v>
      </c>
      <c r="B207" s="12">
        <v>44807764</v>
      </c>
      <c r="C207" s="12" t="s">
        <v>322</v>
      </c>
      <c r="D207" s="12" t="s">
        <v>323</v>
      </c>
      <c r="E207" s="12">
        <v>984524804</v>
      </c>
      <c r="F207" s="12" t="s">
        <v>90</v>
      </c>
      <c r="G207" s="12" t="s">
        <v>272</v>
      </c>
      <c r="H207" s="12">
        <v>63.4</v>
      </c>
      <c r="I207" s="12" t="s">
        <v>11</v>
      </c>
    </row>
    <row r="208" spans="1:9" x14ac:dyDescent="0.25">
      <c r="A208" s="12">
        <v>27</v>
      </c>
      <c r="B208" s="12">
        <v>47390896</v>
      </c>
      <c r="C208" s="12" t="s">
        <v>324</v>
      </c>
      <c r="D208" s="12" t="s">
        <v>325</v>
      </c>
      <c r="E208" s="12">
        <v>937623366</v>
      </c>
      <c r="F208" s="12" t="s">
        <v>90</v>
      </c>
      <c r="G208" s="12" t="s">
        <v>272</v>
      </c>
      <c r="H208" s="12">
        <v>62.8</v>
      </c>
      <c r="I208" s="12" t="s">
        <v>11</v>
      </c>
    </row>
    <row r="209" spans="1:9" x14ac:dyDescent="0.25">
      <c r="A209" s="12">
        <v>28</v>
      </c>
      <c r="B209" s="12">
        <v>71819726</v>
      </c>
      <c r="C209" s="12" t="s">
        <v>326</v>
      </c>
      <c r="D209" s="12" t="s">
        <v>327</v>
      </c>
      <c r="E209" s="12">
        <v>968327058</v>
      </c>
      <c r="F209" s="12" t="s">
        <v>90</v>
      </c>
      <c r="G209" s="12" t="s">
        <v>272</v>
      </c>
      <c r="H209" s="12">
        <v>62.2</v>
      </c>
      <c r="I209" s="12" t="s">
        <v>11</v>
      </c>
    </row>
    <row r="210" spans="1:9" x14ac:dyDescent="0.25">
      <c r="A210" s="12">
        <v>29</v>
      </c>
      <c r="B210" s="12">
        <v>73527759</v>
      </c>
      <c r="C210" s="12" t="s">
        <v>328</v>
      </c>
      <c r="D210" s="12" t="s">
        <v>329</v>
      </c>
      <c r="E210" s="12">
        <v>980096005</v>
      </c>
      <c r="F210" s="12" t="s">
        <v>90</v>
      </c>
      <c r="G210" s="12" t="s">
        <v>272</v>
      </c>
      <c r="H210" s="12">
        <v>62</v>
      </c>
      <c r="I210" s="12" t="s">
        <v>11</v>
      </c>
    </row>
    <row r="211" spans="1:9" x14ac:dyDescent="0.25">
      <c r="A211" s="12">
        <v>30</v>
      </c>
      <c r="B211" s="12">
        <v>44378022</v>
      </c>
      <c r="C211" s="12" t="s">
        <v>330</v>
      </c>
      <c r="D211" s="12" t="s">
        <v>331</v>
      </c>
      <c r="E211" s="12">
        <v>936816461</v>
      </c>
      <c r="F211" s="12" t="s">
        <v>90</v>
      </c>
      <c r="G211" s="12" t="s">
        <v>272</v>
      </c>
      <c r="H211" s="12">
        <v>62</v>
      </c>
      <c r="I211" s="12" t="s">
        <v>11</v>
      </c>
    </row>
    <row r="212" spans="1:9" x14ac:dyDescent="0.25">
      <c r="A212" s="12">
        <v>31</v>
      </c>
      <c r="B212" s="12">
        <v>44089297</v>
      </c>
      <c r="C212" s="12" t="s">
        <v>332</v>
      </c>
      <c r="D212" s="12" t="s">
        <v>333</v>
      </c>
      <c r="E212" s="12">
        <v>989473749</v>
      </c>
      <c r="F212" s="12" t="s">
        <v>90</v>
      </c>
      <c r="G212" s="12" t="s">
        <v>272</v>
      </c>
      <c r="H212" s="12">
        <v>60.7</v>
      </c>
      <c r="I212" s="12" t="s">
        <v>11</v>
      </c>
    </row>
    <row r="213" spans="1:9" x14ac:dyDescent="0.25">
      <c r="A213" s="12">
        <v>32</v>
      </c>
      <c r="B213" s="12">
        <v>48074428</v>
      </c>
      <c r="C213" s="12" t="s">
        <v>334</v>
      </c>
      <c r="D213" s="12" t="s">
        <v>335</v>
      </c>
      <c r="E213" s="12">
        <v>980425226</v>
      </c>
      <c r="F213" s="12" t="s">
        <v>90</v>
      </c>
      <c r="G213" s="12" t="s">
        <v>272</v>
      </c>
      <c r="H213" s="12">
        <v>60.4</v>
      </c>
      <c r="I213" s="12" t="s">
        <v>11</v>
      </c>
    </row>
    <row r="214" spans="1:9" x14ac:dyDescent="0.25">
      <c r="A214" s="12">
        <v>33</v>
      </c>
      <c r="B214" s="12">
        <v>16784162</v>
      </c>
      <c r="C214" s="12" t="s">
        <v>336</v>
      </c>
      <c r="D214" s="12" t="s">
        <v>337</v>
      </c>
      <c r="E214" s="12">
        <v>975102141</v>
      </c>
      <c r="F214" s="12" t="s">
        <v>90</v>
      </c>
      <c r="G214" s="12" t="s">
        <v>272</v>
      </c>
      <c r="H214" s="12">
        <v>60.2</v>
      </c>
      <c r="I214" s="12" t="s">
        <v>11</v>
      </c>
    </row>
    <row r="215" spans="1:9" x14ac:dyDescent="0.25">
      <c r="A215" s="12">
        <v>34</v>
      </c>
      <c r="B215" s="12">
        <v>72895043</v>
      </c>
      <c r="C215" s="12" t="s">
        <v>338</v>
      </c>
      <c r="D215" s="12" t="s">
        <v>339</v>
      </c>
      <c r="E215" s="12">
        <v>955329861</v>
      </c>
      <c r="F215" s="12" t="s">
        <v>90</v>
      </c>
      <c r="G215" s="12" t="s">
        <v>272</v>
      </c>
      <c r="H215" s="12">
        <v>59.9</v>
      </c>
      <c r="I215" s="12" t="s">
        <v>11</v>
      </c>
    </row>
    <row r="216" spans="1:9" x14ac:dyDescent="0.25">
      <c r="A216" s="12">
        <v>35</v>
      </c>
      <c r="B216" s="12">
        <v>75791458</v>
      </c>
      <c r="C216" s="12" t="s">
        <v>340</v>
      </c>
      <c r="D216" s="12" t="s">
        <v>341</v>
      </c>
      <c r="E216" s="12">
        <v>900786652</v>
      </c>
      <c r="F216" s="12" t="s">
        <v>90</v>
      </c>
      <c r="G216" s="12" t="s">
        <v>272</v>
      </c>
      <c r="H216" s="12">
        <v>59.8</v>
      </c>
      <c r="I216" s="12" t="s">
        <v>11</v>
      </c>
    </row>
    <row r="217" spans="1:9" x14ac:dyDescent="0.25">
      <c r="A217" s="12">
        <v>36</v>
      </c>
      <c r="B217" s="12">
        <v>71004749</v>
      </c>
      <c r="C217" s="12" t="s">
        <v>342</v>
      </c>
      <c r="D217" s="12" t="s">
        <v>343</v>
      </c>
      <c r="E217" s="12">
        <v>932117577</v>
      </c>
      <c r="F217" s="12" t="s">
        <v>90</v>
      </c>
      <c r="G217" s="12" t="s">
        <v>272</v>
      </c>
      <c r="H217" s="12">
        <v>57.9</v>
      </c>
      <c r="I217" s="12" t="s">
        <v>11</v>
      </c>
    </row>
    <row r="218" spans="1:9" x14ac:dyDescent="0.25">
      <c r="A218" s="12">
        <v>37</v>
      </c>
      <c r="B218" s="12">
        <v>47987149</v>
      </c>
      <c r="C218" s="12" t="s">
        <v>344</v>
      </c>
      <c r="D218" s="12" t="s">
        <v>345</v>
      </c>
      <c r="E218" s="12">
        <v>904405225</v>
      </c>
      <c r="F218" s="12" t="s">
        <v>90</v>
      </c>
      <c r="G218" s="12" t="s">
        <v>272</v>
      </c>
      <c r="H218" s="12">
        <v>57</v>
      </c>
      <c r="I218" s="12" t="s">
        <v>11</v>
      </c>
    </row>
    <row r="219" spans="1:9" x14ac:dyDescent="0.25">
      <c r="A219" s="12">
        <v>38</v>
      </c>
      <c r="B219" s="12">
        <v>76959064</v>
      </c>
      <c r="C219" s="12" t="s">
        <v>346</v>
      </c>
      <c r="D219" s="12" t="s">
        <v>347</v>
      </c>
      <c r="E219" s="12">
        <v>968185208</v>
      </c>
      <c r="F219" s="12" t="s">
        <v>90</v>
      </c>
      <c r="G219" s="12" t="s">
        <v>272</v>
      </c>
      <c r="H219" s="12">
        <v>56.6</v>
      </c>
      <c r="I219" s="12" t="s">
        <v>11</v>
      </c>
    </row>
    <row r="220" spans="1:9" x14ac:dyDescent="0.25">
      <c r="A220" s="12">
        <v>39</v>
      </c>
      <c r="B220" s="12">
        <v>16774611</v>
      </c>
      <c r="C220" s="12" t="s">
        <v>348</v>
      </c>
      <c r="D220" s="12" t="s">
        <v>349</v>
      </c>
      <c r="E220" s="12">
        <v>952809556</v>
      </c>
      <c r="F220" s="12" t="s">
        <v>90</v>
      </c>
      <c r="G220" s="12" t="s">
        <v>272</v>
      </c>
      <c r="H220" s="12">
        <v>55.8</v>
      </c>
      <c r="I220" s="12" t="s">
        <v>11</v>
      </c>
    </row>
    <row r="221" spans="1:9" x14ac:dyDescent="0.25">
      <c r="A221" s="12">
        <v>40</v>
      </c>
      <c r="B221" s="12" t="s">
        <v>350</v>
      </c>
      <c r="C221" s="12" t="s">
        <v>351</v>
      </c>
      <c r="D221" s="12" t="s">
        <v>352</v>
      </c>
      <c r="E221" s="12">
        <v>963128554</v>
      </c>
      <c r="F221" s="12" t="s">
        <v>90</v>
      </c>
      <c r="G221" s="12" t="s">
        <v>272</v>
      </c>
      <c r="H221" s="12">
        <v>55.7</v>
      </c>
      <c r="I221" s="12" t="s">
        <v>11</v>
      </c>
    </row>
    <row r="222" spans="1:9" x14ac:dyDescent="0.25">
      <c r="A222" s="12">
        <v>41</v>
      </c>
      <c r="B222" s="12" t="s">
        <v>353</v>
      </c>
      <c r="C222" s="12" t="s">
        <v>354</v>
      </c>
      <c r="D222" s="12" t="s">
        <v>355</v>
      </c>
      <c r="E222" s="12">
        <v>975618503</v>
      </c>
      <c r="F222" s="12" t="s">
        <v>90</v>
      </c>
      <c r="G222" s="12" t="s">
        <v>272</v>
      </c>
      <c r="H222" s="12">
        <v>55</v>
      </c>
      <c r="I222" s="12" t="s">
        <v>11</v>
      </c>
    </row>
    <row r="223" spans="1:9" x14ac:dyDescent="0.25">
      <c r="A223" s="12">
        <v>42</v>
      </c>
      <c r="B223" s="12">
        <v>16691936</v>
      </c>
      <c r="C223" s="12" t="s">
        <v>356</v>
      </c>
      <c r="D223" s="12" t="s">
        <v>357</v>
      </c>
      <c r="E223" s="12">
        <v>979410962</v>
      </c>
      <c r="F223" s="12" t="s">
        <v>90</v>
      </c>
      <c r="G223" s="12" t="s">
        <v>272</v>
      </c>
      <c r="H223" s="12">
        <v>52.8</v>
      </c>
      <c r="I223" s="12" t="s">
        <v>11</v>
      </c>
    </row>
    <row r="224" spans="1:9" x14ac:dyDescent="0.25">
      <c r="A224" s="12">
        <v>43</v>
      </c>
      <c r="B224" s="12">
        <v>72523216</v>
      </c>
      <c r="C224" s="12" t="s">
        <v>358</v>
      </c>
      <c r="D224" s="12" t="s">
        <v>359</v>
      </c>
      <c r="E224" s="12">
        <v>936244503</v>
      </c>
      <c r="F224" s="12" t="s">
        <v>90</v>
      </c>
      <c r="G224" s="12" t="s">
        <v>272</v>
      </c>
      <c r="H224" s="12">
        <v>52</v>
      </c>
      <c r="I224" s="12" t="s">
        <v>11</v>
      </c>
    </row>
    <row r="225" spans="1:9" x14ac:dyDescent="0.25">
      <c r="A225" s="12">
        <v>44</v>
      </c>
      <c r="B225" s="12">
        <v>42870365</v>
      </c>
      <c r="C225" s="12" t="s">
        <v>360</v>
      </c>
      <c r="D225" s="12" t="s">
        <v>361</v>
      </c>
      <c r="E225" s="12">
        <v>962179687</v>
      </c>
      <c r="F225" s="12" t="s">
        <v>90</v>
      </c>
      <c r="G225" s="12" t="s">
        <v>272</v>
      </c>
      <c r="H225" s="12">
        <v>51</v>
      </c>
      <c r="I225" s="12" t="s">
        <v>11</v>
      </c>
    </row>
    <row r="226" spans="1:9" x14ac:dyDescent="0.25">
      <c r="A226" s="12">
        <v>45</v>
      </c>
      <c r="B226" s="13">
        <v>70800189</v>
      </c>
      <c r="C226" s="13" t="s">
        <v>362</v>
      </c>
      <c r="D226" s="13" t="s">
        <v>363</v>
      </c>
      <c r="E226" s="13">
        <v>989562762</v>
      </c>
      <c r="F226" s="13" t="s">
        <v>90</v>
      </c>
      <c r="G226" s="13" t="s">
        <v>272</v>
      </c>
      <c r="H226" s="13">
        <v>3</v>
      </c>
      <c r="I226" s="13" t="s">
        <v>50</v>
      </c>
    </row>
    <row r="227" spans="1:9" x14ac:dyDescent="0.25">
      <c r="A227" s="12">
        <v>46</v>
      </c>
      <c r="B227" s="13">
        <v>76371544</v>
      </c>
      <c r="C227" s="13" t="s">
        <v>364</v>
      </c>
      <c r="D227" s="13" t="s">
        <v>365</v>
      </c>
      <c r="E227" s="13">
        <v>945880578</v>
      </c>
      <c r="F227" s="13" t="s">
        <v>90</v>
      </c>
      <c r="G227" s="13" t="s">
        <v>272</v>
      </c>
      <c r="H227" s="13">
        <v>0</v>
      </c>
      <c r="I227" s="13" t="s">
        <v>50</v>
      </c>
    </row>
    <row r="228" spans="1:9" x14ac:dyDescent="0.25">
      <c r="A228" s="16">
        <v>1</v>
      </c>
      <c r="B228" s="16">
        <v>72928145</v>
      </c>
      <c r="C228" s="16" t="s">
        <v>416</v>
      </c>
      <c r="D228" s="16" t="s">
        <v>417</v>
      </c>
      <c r="E228" s="16">
        <v>983846148</v>
      </c>
      <c r="F228" s="16" t="s">
        <v>90</v>
      </c>
      <c r="G228" s="16" t="s">
        <v>418</v>
      </c>
      <c r="H228" s="16">
        <v>77.3</v>
      </c>
      <c r="I228" s="16" t="s">
        <v>11</v>
      </c>
    </row>
    <row r="229" spans="1:9" x14ac:dyDescent="0.25">
      <c r="A229" s="16">
        <v>2</v>
      </c>
      <c r="B229" s="16">
        <v>70840720</v>
      </c>
      <c r="C229" s="16" t="s">
        <v>419</v>
      </c>
      <c r="D229" s="16" t="s">
        <v>420</v>
      </c>
      <c r="E229" s="16">
        <v>992278663</v>
      </c>
      <c r="F229" s="16" t="s">
        <v>90</v>
      </c>
      <c r="G229" s="16" t="s">
        <v>418</v>
      </c>
      <c r="H229" s="16">
        <v>75.599999999999994</v>
      </c>
      <c r="I229" s="16" t="s">
        <v>11</v>
      </c>
    </row>
    <row r="230" spans="1:9" x14ac:dyDescent="0.25">
      <c r="A230" s="16">
        <v>3</v>
      </c>
      <c r="B230" s="16">
        <v>42062400</v>
      </c>
      <c r="C230" s="16" t="s">
        <v>421</v>
      </c>
      <c r="D230" s="16" t="s">
        <v>422</v>
      </c>
      <c r="E230" s="16">
        <v>996617036</v>
      </c>
      <c r="F230" s="16" t="s">
        <v>90</v>
      </c>
      <c r="G230" s="16" t="s">
        <v>418</v>
      </c>
      <c r="H230" s="16">
        <v>74</v>
      </c>
      <c r="I230" s="16" t="s">
        <v>11</v>
      </c>
    </row>
    <row r="231" spans="1:9" x14ac:dyDescent="0.25">
      <c r="A231" s="16">
        <v>4</v>
      </c>
      <c r="B231" s="16">
        <v>45038251</v>
      </c>
      <c r="C231" s="16" t="s">
        <v>423</v>
      </c>
      <c r="D231" s="16" t="s">
        <v>424</v>
      </c>
      <c r="E231" s="16">
        <v>939080978</v>
      </c>
      <c r="F231" s="16" t="s">
        <v>90</v>
      </c>
      <c r="G231" s="16" t="s">
        <v>418</v>
      </c>
      <c r="H231" s="16">
        <v>73.5</v>
      </c>
      <c r="I231" s="16" t="s">
        <v>11</v>
      </c>
    </row>
    <row r="232" spans="1:9" x14ac:dyDescent="0.25">
      <c r="A232" s="16">
        <v>5</v>
      </c>
      <c r="B232" s="16">
        <v>43734675</v>
      </c>
      <c r="C232" s="16" t="s">
        <v>425</v>
      </c>
      <c r="D232" s="16" t="s">
        <v>426</v>
      </c>
      <c r="E232" s="16">
        <v>950796249</v>
      </c>
      <c r="F232" s="16" t="s">
        <v>90</v>
      </c>
      <c r="G232" s="16" t="s">
        <v>418</v>
      </c>
      <c r="H232" s="16">
        <v>70.2</v>
      </c>
      <c r="I232" s="16" t="s">
        <v>11</v>
      </c>
    </row>
    <row r="233" spans="1:9" x14ac:dyDescent="0.25">
      <c r="A233" s="16">
        <v>6</v>
      </c>
      <c r="B233" s="16">
        <v>71415312</v>
      </c>
      <c r="C233" s="16" t="s">
        <v>427</v>
      </c>
      <c r="D233" s="16" t="s">
        <v>428</v>
      </c>
      <c r="E233" s="16">
        <v>979541769</v>
      </c>
      <c r="F233" s="16" t="s">
        <v>90</v>
      </c>
      <c r="G233" s="16" t="s">
        <v>418</v>
      </c>
      <c r="H233" s="16">
        <v>68.599999999999994</v>
      </c>
      <c r="I233" s="16" t="s">
        <v>11</v>
      </c>
    </row>
    <row r="234" spans="1:9" x14ac:dyDescent="0.25">
      <c r="A234" s="16">
        <v>7</v>
      </c>
      <c r="B234" s="16">
        <v>45907492</v>
      </c>
      <c r="C234" s="16" t="s">
        <v>429</v>
      </c>
      <c r="D234" s="16" t="s">
        <v>430</v>
      </c>
      <c r="E234" s="16">
        <v>979014146</v>
      </c>
      <c r="F234" s="16" t="s">
        <v>90</v>
      </c>
      <c r="G234" s="16" t="s">
        <v>418</v>
      </c>
      <c r="H234" s="16">
        <v>68.5</v>
      </c>
      <c r="I234" s="16" t="s">
        <v>11</v>
      </c>
    </row>
    <row r="235" spans="1:9" x14ac:dyDescent="0.25">
      <c r="A235" s="16">
        <v>8</v>
      </c>
      <c r="B235" s="16">
        <v>73698834</v>
      </c>
      <c r="C235" s="16" t="s">
        <v>431</v>
      </c>
      <c r="D235" s="16" t="s">
        <v>432</v>
      </c>
      <c r="E235" s="16">
        <v>939664508</v>
      </c>
      <c r="F235" s="16" t="s">
        <v>90</v>
      </c>
      <c r="G235" s="16" t="s">
        <v>418</v>
      </c>
      <c r="H235" s="16">
        <v>66.7</v>
      </c>
      <c r="I235" s="16" t="s">
        <v>11</v>
      </c>
    </row>
    <row r="236" spans="1:9" x14ac:dyDescent="0.25">
      <c r="A236" s="16">
        <v>9</v>
      </c>
      <c r="B236" s="16">
        <v>41685511</v>
      </c>
      <c r="C236" s="16" t="s">
        <v>433</v>
      </c>
      <c r="D236" s="16" t="s">
        <v>434</v>
      </c>
      <c r="E236" s="16">
        <v>979914401</v>
      </c>
      <c r="F236" s="16" t="s">
        <v>90</v>
      </c>
      <c r="G236" s="16" t="s">
        <v>418</v>
      </c>
      <c r="H236" s="16">
        <v>66.7</v>
      </c>
      <c r="I236" s="16" t="s">
        <v>11</v>
      </c>
    </row>
    <row r="237" spans="1:9" x14ac:dyDescent="0.25">
      <c r="A237" s="16">
        <v>10</v>
      </c>
      <c r="B237" s="16">
        <v>46754829</v>
      </c>
      <c r="C237" s="16" t="s">
        <v>435</v>
      </c>
      <c r="D237" s="16" t="s">
        <v>436</v>
      </c>
      <c r="E237" s="16">
        <v>927372334</v>
      </c>
      <c r="F237" s="16" t="s">
        <v>90</v>
      </c>
      <c r="G237" s="16" t="s">
        <v>418</v>
      </c>
      <c r="H237" s="16">
        <v>66.5</v>
      </c>
      <c r="I237" s="16" t="s">
        <v>11</v>
      </c>
    </row>
    <row r="238" spans="1:9" x14ac:dyDescent="0.25">
      <c r="A238" s="16">
        <v>11</v>
      </c>
      <c r="B238" s="16">
        <v>77673877</v>
      </c>
      <c r="C238" s="16" t="s">
        <v>437</v>
      </c>
      <c r="D238" s="16" t="s">
        <v>438</v>
      </c>
      <c r="E238" s="16">
        <v>981386020</v>
      </c>
      <c r="F238" s="16" t="s">
        <v>90</v>
      </c>
      <c r="G238" s="16" t="s">
        <v>418</v>
      </c>
      <c r="H238" s="16">
        <v>65.5</v>
      </c>
      <c r="I238" s="16" t="s">
        <v>11</v>
      </c>
    </row>
    <row r="239" spans="1:9" x14ac:dyDescent="0.25">
      <c r="A239" s="16">
        <v>12</v>
      </c>
      <c r="B239" s="16">
        <v>78023368</v>
      </c>
      <c r="C239" s="16" t="s">
        <v>439</v>
      </c>
      <c r="D239" s="16" t="s">
        <v>440</v>
      </c>
      <c r="E239" s="16">
        <v>945256461</v>
      </c>
      <c r="F239" s="16" t="s">
        <v>90</v>
      </c>
      <c r="G239" s="16" t="s">
        <v>418</v>
      </c>
      <c r="H239" s="16">
        <v>65.3</v>
      </c>
      <c r="I239" s="16" t="s">
        <v>11</v>
      </c>
    </row>
    <row r="240" spans="1:9" x14ac:dyDescent="0.25">
      <c r="A240" s="16">
        <v>13</v>
      </c>
      <c r="B240" s="16">
        <v>45104844</v>
      </c>
      <c r="C240" s="16" t="s">
        <v>441</v>
      </c>
      <c r="D240" s="16" t="s">
        <v>442</v>
      </c>
      <c r="E240" s="16">
        <v>941556913</v>
      </c>
      <c r="F240" s="16" t="s">
        <v>90</v>
      </c>
      <c r="G240" s="16" t="s">
        <v>418</v>
      </c>
      <c r="H240" s="16">
        <v>65.099999999999994</v>
      </c>
      <c r="I240" s="16" t="s">
        <v>11</v>
      </c>
    </row>
    <row r="241" spans="1:9" x14ac:dyDescent="0.25">
      <c r="A241" s="16">
        <v>14</v>
      </c>
      <c r="B241" s="16">
        <v>45433760</v>
      </c>
      <c r="C241" s="16" t="s">
        <v>443</v>
      </c>
      <c r="D241" s="16" t="s">
        <v>444</v>
      </c>
      <c r="E241" s="16">
        <v>929723804</v>
      </c>
      <c r="F241" s="16" t="s">
        <v>90</v>
      </c>
      <c r="G241" s="16" t="s">
        <v>418</v>
      </c>
      <c r="H241" s="16">
        <v>65</v>
      </c>
      <c r="I241" s="16" t="s">
        <v>11</v>
      </c>
    </row>
    <row r="242" spans="1:9" x14ac:dyDescent="0.25">
      <c r="A242" s="16">
        <v>15</v>
      </c>
      <c r="B242" s="16">
        <v>71429766</v>
      </c>
      <c r="C242" s="16" t="s">
        <v>445</v>
      </c>
      <c r="D242" s="16" t="s">
        <v>446</v>
      </c>
      <c r="E242" s="16">
        <v>970133837</v>
      </c>
      <c r="F242" s="16" t="s">
        <v>90</v>
      </c>
      <c r="G242" s="16" t="s">
        <v>418</v>
      </c>
      <c r="H242" s="16">
        <v>65</v>
      </c>
      <c r="I242" s="16" t="s">
        <v>11</v>
      </c>
    </row>
    <row r="243" spans="1:9" x14ac:dyDescent="0.25">
      <c r="A243" s="16">
        <v>16</v>
      </c>
      <c r="B243" s="16">
        <v>71097159</v>
      </c>
      <c r="C243" s="16" t="s">
        <v>447</v>
      </c>
      <c r="D243" s="16" t="s">
        <v>448</v>
      </c>
      <c r="E243" s="16">
        <v>907600864</v>
      </c>
      <c r="F243" s="16" t="s">
        <v>90</v>
      </c>
      <c r="G243" s="16" t="s">
        <v>418</v>
      </c>
      <c r="H243" s="16">
        <v>64.900000000000006</v>
      </c>
      <c r="I243" s="16" t="s">
        <v>11</v>
      </c>
    </row>
    <row r="244" spans="1:9" x14ac:dyDescent="0.25">
      <c r="A244" s="16">
        <v>17</v>
      </c>
      <c r="B244" s="16">
        <v>48266249</v>
      </c>
      <c r="C244" s="16" t="s">
        <v>449</v>
      </c>
      <c r="D244" s="16" t="s">
        <v>450</v>
      </c>
      <c r="E244" s="16">
        <v>971728416</v>
      </c>
      <c r="F244" s="16" t="s">
        <v>90</v>
      </c>
      <c r="G244" s="16" t="s">
        <v>418</v>
      </c>
      <c r="H244" s="16">
        <v>64.8</v>
      </c>
      <c r="I244" s="16" t="s">
        <v>11</v>
      </c>
    </row>
    <row r="245" spans="1:9" x14ac:dyDescent="0.25">
      <c r="A245" s="16">
        <v>18</v>
      </c>
      <c r="B245" s="16">
        <v>46707327</v>
      </c>
      <c r="C245" s="16" t="s">
        <v>451</v>
      </c>
      <c r="D245" s="16" t="s">
        <v>452</v>
      </c>
      <c r="E245" s="16">
        <v>978185380</v>
      </c>
      <c r="F245" s="16" t="s">
        <v>90</v>
      </c>
      <c r="G245" s="16" t="s">
        <v>418</v>
      </c>
      <c r="H245" s="16">
        <v>64.5</v>
      </c>
      <c r="I245" s="16" t="s">
        <v>11</v>
      </c>
    </row>
    <row r="246" spans="1:9" x14ac:dyDescent="0.25">
      <c r="A246" s="16">
        <v>19</v>
      </c>
      <c r="B246" s="16">
        <v>46523234</v>
      </c>
      <c r="C246" s="16" t="s">
        <v>453</v>
      </c>
      <c r="D246" s="16" t="s">
        <v>454</v>
      </c>
      <c r="E246" s="16">
        <v>992957804</v>
      </c>
      <c r="F246" s="16" t="s">
        <v>90</v>
      </c>
      <c r="G246" s="16" t="s">
        <v>418</v>
      </c>
      <c r="H246" s="16">
        <v>64</v>
      </c>
      <c r="I246" s="16" t="s">
        <v>11</v>
      </c>
    </row>
    <row r="247" spans="1:9" x14ac:dyDescent="0.25">
      <c r="A247" s="16">
        <v>20</v>
      </c>
      <c r="B247" s="16">
        <v>45975051</v>
      </c>
      <c r="C247" s="16" t="s">
        <v>455</v>
      </c>
      <c r="D247" s="16" t="s">
        <v>456</v>
      </c>
      <c r="E247" s="16">
        <v>935374145</v>
      </c>
      <c r="F247" s="16" t="s">
        <v>90</v>
      </c>
      <c r="G247" s="16" t="s">
        <v>418</v>
      </c>
      <c r="H247" s="16">
        <v>63.2</v>
      </c>
      <c r="I247" s="16" t="s">
        <v>11</v>
      </c>
    </row>
    <row r="248" spans="1:9" x14ac:dyDescent="0.25">
      <c r="A248" s="16">
        <v>21</v>
      </c>
      <c r="B248" s="16">
        <v>45603991</v>
      </c>
      <c r="C248" s="16" t="s">
        <v>457</v>
      </c>
      <c r="D248" s="16" t="s">
        <v>458</v>
      </c>
      <c r="E248" s="16">
        <v>907396390</v>
      </c>
      <c r="F248" s="16" t="s">
        <v>90</v>
      </c>
      <c r="G248" s="16" t="s">
        <v>418</v>
      </c>
      <c r="H248" s="16">
        <v>62.5</v>
      </c>
      <c r="I248" s="16" t="s">
        <v>11</v>
      </c>
    </row>
    <row r="249" spans="1:9" x14ac:dyDescent="0.25">
      <c r="A249" s="16">
        <v>22</v>
      </c>
      <c r="B249" s="16">
        <v>16751697</v>
      </c>
      <c r="C249" s="16" t="s">
        <v>459</v>
      </c>
      <c r="D249" s="16" t="s">
        <v>460</v>
      </c>
      <c r="E249" s="16">
        <v>983156775</v>
      </c>
      <c r="F249" s="16" t="s">
        <v>90</v>
      </c>
      <c r="G249" s="16" t="s">
        <v>418</v>
      </c>
      <c r="H249" s="16">
        <v>62</v>
      </c>
      <c r="I249" s="16" t="s">
        <v>11</v>
      </c>
    </row>
    <row r="250" spans="1:9" x14ac:dyDescent="0.25">
      <c r="A250" s="16">
        <v>23</v>
      </c>
      <c r="B250" s="16">
        <v>46065119</v>
      </c>
      <c r="C250" s="16" t="s">
        <v>461</v>
      </c>
      <c r="D250" s="16" t="s">
        <v>462</v>
      </c>
      <c r="E250" s="16">
        <v>991535733</v>
      </c>
      <c r="F250" s="16" t="s">
        <v>90</v>
      </c>
      <c r="G250" s="16" t="s">
        <v>418</v>
      </c>
      <c r="H250" s="16">
        <v>61.5</v>
      </c>
      <c r="I250" s="16" t="s">
        <v>11</v>
      </c>
    </row>
    <row r="251" spans="1:9" x14ac:dyDescent="0.25">
      <c r="A251" s="16">
        <v>24</v>
      </c>
      <c r="B251" s="16">
        <v>44099523</v>
      </c>
      <c r="C251" s="16" t="s">
        <v>463</v>
      </c>
      <c r="D251" s="16" t="s">
        <v>464</v>
      </c>
      <c r="E251" s="16">
        <v>940218430</v>
      </c>
      <c r="F251" s="16" t="s">
        <v>90</v>
      </c>
      <c r="G251" s="16" t="s">
        <v>418</v>
      </c>
      <c r="H251" s="16">
        <v>60.5</v>
      </c>
      <c r="I251" s="16" t="s">
        <v>11</v>
      </c>
    </row>
    <row r="252" spans="1:9" x14ac:dyDescent="0.25">
      <c r="A252" s="16">
        <v>25</v>
      </c>
      <c r="B252" s="16">
        <v>16739819</v>
      </c>
      <c r="C252" s="16" t="s">
        <v>465</v>
      </c>
      <c r="D252" s="16" t="s">
        <v>466</v>
      </c>
      <c r="E252" s="16">
        <v>958015508</v>
      </c>
      <c r="F252" s="16" t="s">
        <v>90</v>
      </c>
      <c r="G252" s="16" t="s">
        <v>418</v>
      </c>
      <c r="H252" s="16">
        <v>60.5</v>
      </c>
      <c r="I252" s="16" t="s">
        <v>11</v>
      </c>
    </row>
    <row r="253" spans="1:9" x14ac:dyDescent="0.25">
      <c r="A253" s="16">
        <v>26</v>
      </c>
      <c r="B253" s="16">
        <v>17633334</v>
      </c>
      <c r="C253" s="16" t="s">
        <v>467</v>
      </c>
      <c r="D253" s="16" t="s">
        <v>468</v>
      </c>
      <c r="E253" s="16">
        <v>923629576</v>
      </c>
      <c r="F253" s="16" t="s">
        <v>90</v>
      </c>
      <c r="G253" s="16" t="s">
        <v>418</v>
      </c>
      <c r="H253" s="16">
        <v>58.2</v>
      </c>
      <c r="I253" s="16" t="s">
        <v>11</v>
      </c>
    </row>
    <row r="254" spans="1:9" x14ac:dyDescent="0.25">
      <c r="A254" s="16">
        <v>27</v>
      </c>
      <c r="B254" s="16">
        <v>73761346</v>
      </c>
      <c r="C254" s="16" t="s">
        <v>469</v>
      </c>
      <c r="D254" s="16" t="s">
        <v>470</v>
      </c>
      <c r="E254" s="16">
        <v>947030976</v>
      </c>
      <c r="F254" s="16" t="s">
        <v>90</v>
      </c>
      <c r="G254" s="16" t="s">
        <v>418</v>
      </c>
      <c r="H254" s="16">
        <v>57.5</v>
      </c>
      <c r="I254" s="16" t="s">
        <v>11</v>
      </c>
    </row>
    <row r="255" spans="1:9" x14ac:dyDescent="0.25">
      <c r="A255" s="16">
        <v>28</v>
      </c>
      <c r="B255" s="16">
        <v>75364168</v>
      </c>
      <c r="C255" s="16" t="s">
        <v>471</v>
      </c>
      <c r="D255" s="16" t="s">
        <v>472</v>
      </c>
      <c r="E255" s="16">
        <v>962618495</v>
      </c>
      <c r="F255" s="16" t="s">
        <v>90</v>
      </c>
      <c r="G255" s="16" t="s">
        <v>418</v>
      </c>
      <c r="H255" s="16">
        <v>57.5</v>
      </c>
      <c r="I255" s="16" t="s">
        <v>11</v>
      </c>
    </row>
    <row r="256" spans="1:9" x14ac:dyDescent="0.25">
      <c r="A256" s="16">
        <v>29</v>
      </c>
      <c r="B256" s="16">
        <v>75482574</v>
      </c>
      <c r="C256" s="16" t="s">
        <v>473</v>
      </c>
      <c r="D256" s="16" t="s">
        <v>474</v>
      </c>
      <c r="E256" s="16">
        <v>924025705</v>
      </c>
      <c r="F256" s="16" t="s">
        <v>90</v>
      </c>
      <c r="G256" s="16" t="s">
        <v>418</v>
      </c>
      <c r="H256" s="16">
        <v>56.5</v>
      </c>
      <c r="I256" s="16" t="s">
        <v>11</v>
      </c>
    </row>
    <row r="257" spans="1:9" x14ac:dyDescent="0.25">
      <c r="A257" s="16">
        <v>30</v>
      </c>
      <c r="B257" s="16">
        <v>73201193</v>
      </c>
      <c r="C257" s="16" t="s">
        <v>475</v>
      </c>
      <c r="D257" s="16" t="s">
        <v>476</v>
      </c>
      <c r="E257" s="16">
        <v>953897427</v>
      </c>
      <c r="F257" s="16" t="s">
        <v>90</v>
      </c>
      <c r="G257" s="16" t="s">
        <v>418</v>
      </c>
      <c r="H257" s="16">
        <v>56.5</v>
      </c>
      <c r="I257" s="16" t="s">
        <v>11</v>
      </c>
    </row>
    <row r="258" spans="1:9" x14ac:dyDescent="0.25">
      <c r="A258" s="16">
        <v>31</v>
      </c>
      <c r="B258" s="16">
        <v>45736499</v>
      </c>
      <c r="C258" s="16" t="s">
        <v>477</v>
      </c>
      <c r="D258" s="16" t="s">
        <v>478</v>
      </c>
      <c r="E258" s="16">
        <v>932444370</v>
      </c>
      <c r="F258" s="16" t="s">
        <v>90</v>
      </c>
      <c r="G258" s="16" t="s">
        <v>418</v>
      </c>
      <c r="H258" s="16">
        <v>55.1</v>
      </c>
      <c r="I258" s="16" t="s">
        <v>11</v>
      </c>
    </row>
    <row r="259" spans="1:9" x14ac:dyDescent="0.25">
      <c r="A259" s="16">
        <v>32</v>
      </c>
      <c r="B259" s="16">
        <v>73419883</v>
      </c>
      <c r="C259" s="16" t="s">
        <v>479</v>
      </c>
      <c r="D259" s="16" t="s">
        <v>480</v>
      </c>
      <c r="E259" s="16">
        <v>936770441</v>
      </c>
      <c r="F259" s="16" t="s">
        <v>90</v>
      </c>
      <c r="G259" s="16" t="s">
        <v>418</v>
      </c>
      <c r="H259" s="16">
        <v>54.6</v>
      </c>
      <c r="I259" s="16" t="s">
        <v>11</v>
      </c>
    </row>
    <row r="260" spans="1:9" x14ac:dyDescent="0.25">
      <c r="A260" s="16">
        <v>33</v>
      </c>
      <c r="B260" s="16">
        <v>16788853</v>
      </c>
      <c r="C260" s="16" t="s">
        <v>481</v>
      </c>
      <c r="D260" s="16" t="s">
        <v>482</v>
      </c>
      <c r="E260" s="16">
        <v>986877521</v>
      </c>
      <c r="F260" s="16" t="s">
        <v>90</v>
      </c>
      <c r="G260" s="16" t="s">
        <v>418</v>
      </c>
      <c r="H260" s="16">
        <v>54</v>
      </c>
      <c r="I260" s="16" t="s">
        <v>11</v>
      </c>
    </row>
    <row r="261" spans="1:9" x14ac:dyDescent="0.25">
      <c r="A261" s="16">
        <v>34</v>
      </c>
      <c r="B261" s="16">
        <v>16632843</v>
      </c>
      <c r="C261" s="16" t="s">
        <v>483</v>
      </c>
      <c r="D261" s="16" t="s">
        <v>484</v>
      </c>
      <c r="E261" s="16">
        <v>973015765</v>
      </c>
      <c r="F261" s="16" t="s">
        <v>90</v>
      </c>
      <c r="G261" s="16" t="s">
        <v>418</v>
      </c>
      <c r="H261" s="16">
        <v>51.6</v>
      </c>
      <c r="I261" s="16" t="s">
        <v>11</v>
      </c>
    </row>
    <row r="262" spans="1:9" x14ac:dyDescent="0.25">
      <c r="A262" s="16">
        <v>35</v>
      </c>
      <c r="B262" s="16">
        <v>16756816</v>
      </c>
      <c r="C262" s="16" t="s">
        <v>485</v>
      </c>
      <c r="D262" s="16" t="s">
        <v>486</v>
      </c>
      <c r="E262" s="16">
        <v>978811747</v>
      </c>
      <c r="F262" s="16" t="s">
        <v>90</v>
      </c>
      <c r="G262" s="16" t="s">
        <v>418</v>
      </c>
      <c r="H262" s="16">
        <v>50.5</v>
      </c>
      <c r="I262" s="16" t="s">
        <v>11</v>
      </c>
    </row>
    <row r="263" spans="1:9" x14ac:dyDescent="0.25">
      <c r="A263" s="16">
        <v>36</v>
      </c>
      <c r="B263" s="17">
        <v>71880811</v>
      </c>
      <c r="C263" s="17" t="s">
        <v>487</v>
      </c>
      <c r="D263" s="17" t="s">
        <v>488</v>
      </c>
      <c r="E263" s="17">
        <v>937672570</v>
      </c>
      <c r="F263" s="17" t="s">
        <v>90</v>
      </c>
      <c r="G263" s="17" t="s">
        <v>418</v>
      </c>
      <c r="H263" s="17">
        <v>6.6</v>
      </c>
      <c r="I263" s="17" t="s">
        <v>50</v>
      </c>
    </row>
    <row r="264" spans="1:9" x14ac:dyDescent="0.25">
      <c r="A264" s="16">
        <v>37</v>
      </c>
      <c r="B264" s="17">
        <v>73582499</v>
      </c>
      <c r="C264" s="17" t="s">
        <v>489</v>
      </c>
      <c r="D264" s="17" t="s">
        <v>490</v>
      </c>
      <c r="E264" s="17">
        <v>942361058</v>
      </c>
      <c r="F264" s="17" t="s">
        <v>90</v>
      </c>
      <c r="G264" s="17" t="s">
        <v>418</v>
      </c>
      <c r="H264" s="17">
        <v>5.8</v>
      </c>
      <c r="I264" s="17" t="s">
        <v>50</v>
      </c>
    </row>
    <row r="265" spans="1:9" x14ac:dyDescent="0.25">
      <c r="A265" s="14">
        <v>1</v>
      </c>
      <c r="B265" s="14">
        <v>44939571</v>
      </c>
      <c r="C265" s="14" t="s">
        <v>366</v>
      </c>
      <c r="D265" s="14" t="s">
        <v>367</v>
      </c>
      <c r="E265" s="14">
        <v>942154806</v>
      </c>
      <c r="F265" s="14" t="s">
        <v>90</v>
      </c>
      <c r="G265" s="14" t="s">
        <v>368</v>
      </c>
      <c r="H265" s="14">
        <v>78.5</v>
      </c>
      <c r="I265" s="14" t="s">
        <v>11</v>
      </c>
    </row>
    <row r="266" spans="1:9" x14ac:dyDescent="0.25">
      <c r="A266" s="14">
        <v>2</v>
      </c>
      <c r="B266" s="14">
        <v>75479020</v>
      </c>
      <c r="C266" s="14" t="s">
        <v>369</v>
      </c>
      <c r="D266" s="14" t="s">
        <v>370</v>
      </c>
      <c r="E266" s="14">
        <v>941364701</v>
      </c>
      <c r="F266" s="14" t="s">
        <v>90</v>
      </c>
      <c r="G266" s="14" t="s">
        <v>368</v>
      </c>
      <c r="H266" s="14">
        <v>77.5</v>
      </c>
      <c r="I266" s="14" t="s">
        <v>11</v>
      </c>
    </row>
    <row r="267" spans="1:9" x14ac:dyDescent="0.25">
      <c r="A267" s="14">
        <v>3</v>
      </c>
      <c r="B267" s="14">
        <v>75608382</v>
      </c>
      <c r="C267" s="14" t="s">
        <v>371</v>
      </c>
      <c r="D267" s="14" t="s">
        <v>372</v>
      </c>
      <c r="E267" s="14">
        <v>918771107</v>
      </c>
      <c r="F267" s="14" t="s">
        <v>90</v>
      </c>
      <c r="G267" s="14" t="s">
        <v>368</v>
      </c>
      <c r="H267" s="14">
        <v>75</v>
      </c>
      <c r="I267" s="14" t="s">
        <v>11</v>
      </c>
    </row>
    <row r="268" spans="1:9" x14ac:dyDescent="0.25">
      <c r="A268" s="14">
        <v>4</v>
      </c>
      <c r="B268" s="14">
        <v>75459300</v>
      </c>
      <c r="C268" s="14" t="s">
        <v>373</v>
      </c>
      <c r="D268" s="14" t="s">
        <v>374</v>
      </c>
      <c r="E268" s="14">
        <v>955474720</v>
      </c>
      <c r="F268" s="14" t="s">
        <v>90</v>
      </c>
      <c r="G268" s="14" t="s">
        <v>368</v>
      </c>
      <c r="H268" s="14">
        <v>73.5</v>
      </c>
      <c r="I268" s="14" t="s">
        <v>11</v>
      </c>
    </row>
    <row r="269" spans="1:9" x14ac:dyDescent="0.25">
      <c r="A269" s="14">
        <v>5</v>
      </c>
      <c r="B269" s="14">
        <v>70042427</v>
      </c>
      <c r="C269" s="14" t="s">
        <v>375</v>
      </c>
      <c r="D269" s="14" t="s">
        <v>376</v>
      </c>
      <c r="E269" s="14">
        <v>957661395</v>
      </c>
      <c r="F269" s="14" t="s">
        <v>90</v>
      </c>
      <c r="G269" s="14" t="s">
        <v>368</v>
      </c>
      <c r="H269" s="14">
        <v>73.5</v>
      </c>
      <c r="I269" s="14" t="s">
        <v>11</v>
      </c>
    </row>
    <row r="270" spans="1:9" x14ac:dyDescent="0.25">
      <c r="A270" s="14">
        <v>6</v>
      </c>
      <c r="B270" s="14">
        <v>75194516</v>
      </c>
      <c r="C270" s="14" t="s">
        <v>377</v>
      </c>
      <c r="D270" s="14" t="s">
        <v>378</v>
      </c>
      <c r="E270" s="14">
        <v>923507346</v>
      </c>
      <c r="F270" s="14" t="s">
        <v>90</v>
      </c>
      <c r="G270" s="14" t="s">
        <v>368</v>
      </c>
      <c r="H270" s="14">
        <v>73</v>
      </c>
      <c r="I270" s="14" t="s">
        <v>11</v>
      </c>
    </row>
    <row r="271" spans="1:9" x14ac:dyDescent="0.25">
      <c r="A271" s="14">
        <v>7</v>
      </c>
      <c r="B271" s="14">
        <v>44858163</v>
      </c>
      <c r="C271" s="14" t="s">
        <v>379</v>
      </c>
      <c r="D271" s="14" t="s">
        <v>380</v>
      </c>
      <c r="E271" s="14">
        <v>955282059</v>
      </c>
      <c r="F271" s="14" t="s">
        <v>90</v>
      </c>
      <c r="G271" s="14" t="s">
        <v>368</v>
      </c>
      <c r="H271" s="14">
        <v>71.5</v>
      </c>
      <c r="I271" s="14" t="s">
        <v>11</v>
      </c>
    </row>
    <row r="272" spans="1:9" x14ac:dyDescent="0.25">
      <c r="A272" s="14">
        <v>8</v>
      </c>
      <c r="B272" s="14">
        <v>42656845</v>
      </c>
      <c r="C272" s="14" t="s">
        <v>381</v>
      </c>
      <c r="D272" s="14" t="s">
        <v>382</v>
      </c>
      <c r="E272" s="14">
        <v>929630046</v>
      </c>
      <c r="F272" s="14" t="s">
        <v>90</v>
      </c>
      <c r="G272" s="14" t="s">
        <v>368</v>
      </c>
      <c r="H272" s="14">
        <v>69.099999999999994</v>
      </c>
      <c r="I272" s="14" t="s">
        <v>11</v>
      </c>
    </row>
    <row r="273" spans="1:9" x14ac:dyDescent="0.25">
      <c r="A273" s="14">
        <v>9</v>
      </c>
      <c r="B273" s="14">
        <v>46327997</v>
      </c>
      <c r="C273" s="14" t="s">
        <v>383</v>
      </c>
      <c r="D273" s="14" t="s">
        <v>384</v>
      </c>
      <c r="E273" s="14">
        <v>927715022</v>
      </c>
      <c r="F273" s="14" t="s">
        <v>90</v>
      </c>
      <c r="G273" s="14" t="s">
        <v>368</v>
      </c>
      <c r="H273" s="14">
        <v>68.5</v>
      </c>
      <c r="I273" s="14" t="s">
        <v>11</v>
      </c>
    </row>
    <row r="274" spans="1:9" x14ac:dyDescent="0.25">
      <c r="A274" s="14">
        <v>10</v>
      </c>
      <c r="B274" s="14">
        <v>77341510</v>
      </c>
      <c r="C274" s="14" t="s">
        <v>385</v>
      </c>
      <c r="D274" s="14" t="s">
        <v>386</v>
      </c>
      <c r="E274" s="14">
        <v>929717847</v>
      </c>
      <c r="F274" s="14" t="s">
        <v>90</v>
      </c>
      <c r="G274" s="14" t="s">
        <v>368</v>
      </c>
      <c r="H274" s="14">
        <v>68.5</v>
      </c>
      <c r="I274" s="14" t="s">
        <v>11</v>
      </c>
    </row>
    <row r="275" spans="1:9" x14ac:dyDescent="0.25">
      <c r="A275" s="14">
        <v>11</v>
      </c>
      <c r="B275" s="14">
        <v>71894605</v>
      </c>
      <c r="C275" s="14" t="s">
        <v>387</v>
      </c>
      <c r="D275" s="14" t="s">
        <v>388</v>
      </c>
      <c r="E275" s="14">
        <v>904183225</v>
      </c>
      <c r="F275" s="14" t="s">
        <v>90</v>
      </c>
      <c r="G275" s="14" t="s">
        <v>368</v>
      </c>
      <c r="H275" s="14">
        <v>68.2</v>
      </c>
      <c r="I275" s="14" t="s">
        <v>11</v>
      </c>
    </row>
    <row r="276" spans="1:9" x14ac:dyDescent="0.25">
      <c r="A276" s="14">
        <v>12</v>
      </c>
      <c r="B276" s="14">
        <v>77294821</v>
      </c>
      <c r="C276" s="14" t="s">
        <v>389</v>
      </c>
      <c r="D276" s="14" t="s">
        <v>390</v>
      </c>
      <c r="E276" s="14">
        <v>980509283</v>
      </c>
      <c r="F276" s="14" t="s">
        <v>90</v>
      </c>
      <c r="G276" s="14" t="s">
        <v>368</v>
      </c>
      <c r="H276" s="14">
        <v>67.5</v>
      </c>
      <c r="I276" s="14" t="s">
        <v>11</v>
      </c>
    </row>
    <row r="277" spans="1:9" x14ac:dyDescent="0.25">
      <c r="A277" s="14">
        <v>13</v>
      </c>
      <c r="B277" s="14">
        <v>70914357</v>
      </c>
      <c r="C277" s="14" t="s">
        <v>391</v>
      </c>
      <c r="D277" s="14" t="s">
        <v>392</v>
      </c>
      <c r="E277" s="14">
        <v>934930080</v>
      </c>
      <c r="F277" s="14" t="s">
        <v>90</v>
      </c>
      <c r="G277" s="14" t="s">
        <v>368</v>
      </c>
      <c r="H277" s="14">
        <v>67</v>
      </c>
      <c r="I277" s="14" t="s">
        <v>11</v>
      </c>
    </row>
    <row r="278" spans="1:9" x14ac:dyDescent="0.25">
      <c r="A278" s="14">
        <v>14</v>
      </c>
      <c r="B278" s="14">
        <v>16717925</v>
      </c>
      <c r="C278" s="14" t="s">
        <v>393</v>
      </c>
      <c r="D278" s="14" t="s">
        <v>394</v>
      </c>
      <c r="E278" s="14">
        <v>945312620</v>
      </c>
      <c r="F278" s="14" t="s">
        <v>90</v>
      </c>
      <c r="G278" s="14" t="s">
        <v>368</v>
      </c>
      <c r="H278" s="14">
        <v>66</v>
      </c>
      <c r="I278" s="14" t="s">
        <v>11</v>
      </c>
    </row>
    <row r="279" spans="1:9" x14ac:dyDescent="0.25">
      <c r="A279" s="14">
        <v>15</v>
      </c>
      <c r="B279" s="14">
        <v>70072077</v>
      </c>
      <c r="C279" s="14" t="s">
        <v>395</v>
      </c>
      <c r="D279" s="14" t="s">
        <v>396</v>
      </c>
      <c r="E279" s="14">
        <v>983896674</v>
      </c>
      <c r="F279" s="14" t="s">
        <v>90</v>
      </c>
      <c r="G279" s="14" t="s">
        <v>368</v>
      </c>
      <c r="H279" s="14">
        <v>65.3</v>
      </c>
      <c r="I279" s="14" t="s">
        <v>11</v>
      </c>
    </row>
    <row r="280" spans="1:9" x14ac:dyDescent="0.25">
      <c r="A280" s="14">
        <v>16</v>
      </c>
      <c r="B280" s="14">
        <v>74820040</v>
      </c>
      <c r="C280" s="14" t="s">
        <v>397</v>
      </c>
      <c r="D280" s="14" t="s">
        <v>398</v>
      </c>
      <c r="E280" s="14">
        <v>972287939</v>
      </c>
      <c r="F280" s="14" t="s">
        <v>90</v>
      </c>
      <c r="G280" s="14" t="s">
        <v>368</v>
      </c>
      <c r="H280" s="14">
        <v>65</v>
      </c>
      <c r="I280" s="14" t="s">
        <v>11</v>
      </c>
    </row>
    <row r="281" spans="1:9" x14ac:dyDescent="0.25">
      <c r="A281" s="14">
        <v>17</v>
      </c>
      <c r="B281" s="14">
        <v>42822148</v>
      </c>
      <c r="C281" s="14" t="s">
        <v>399</v>
      </c>
      <c r="D281" s="14" t="s">
        <v>400</v>
      </c>
      <c r="E281" s="14">
        <v>969612526</v>
      </c>
      <c r="F281" s="14" t="s">
        <v>90</v>
      </c>
      <c r="G281" s="14" t="s">
        <v>368</v>
      </c>
      <c r="H281" s="14">
        <v>62.9</v>
      </c>
      <c r="I281" s="14" t="s">
        <v>11</v>
      </c>
    </row>
    <row r="282" spans="1:9" x14ac:dyDescent="0.25">
      <c r="A282" s="14">
        <v>18</v>
      </c>
      <c r="B282" s="14">
        <v>47466869</v>
      </c>
      <c r="C282" s="14" t="s">
        <v>401</v>
      </c>
      <c r="D282" s="14" t="s">
        <v>402</v>
      </c>
      <c r="E282" s="14">
        <v>968076806</v>
      </c>
      <c r="F282" s="14" t="s">
        <v>90</v>
      </c>
      <c r="G282" s="14" t="s">
        <v>368</v>
      </c>
      <c r="H282" s="14">
        <v>61.3</v>
      </c>
      <c r="I282" s="14" t="s">
        <v>11</v>
      </c>
    </row>
    <row r="283" spans="1:9" x14ac:dyDescent="0.25">
      <c r="A283" s="14">
        <v>19</v>
      </c>
      <c r="B283" s="14">
        <v>26706589</v>
      </c>
      <c r="C283" s="14" t="s">
        <v>403</v>
      </c>
      <c r="D283" s="14" t="s">
        <v>404</v>
      </c>
      <c r="E283" s="14">
        <v>949695725</v>
      </c>
      <c r="F283" s="14" t="s">
        <v>90</v>
      </c>
      <c r="G283" s="14" t="s">
        <v>368</v>
      </c>
      <c r="H283" s="14">
        <v>58.3</v>
      </c>
      <c r="I283" s="14" t="s">
        <v>11</v>
      </c>
    </row>
    <row r="284" spans="1:9" x14ac:dyDescent="0.25">
      <c r="A284" s="14">
        <v>20</v>
      </c>
      <c r="B284" s="14">
        <v>16716019</v>
      </c>
      <c r="C284" s="14" t="s">
        <v>405</v>
      </c>
      <c r="D284" s="14" t="s">
        <v>406</v>
      </c>
      <c r="E284" s="14">
        <v>964543139</v>
      </c>
      <c r="F284" s="14" t="s">
        <v>90</v>
      </c>
      <c r="G284" s="14" t="s">
        <v>368</v>
      </c>
      <c r="H284" s="14">
        <v>56</v>
      </c>
      <c r="I284" s="14" t="s">
        <v>11</v>
      </c>
    </row>
    <row r="285" spans="1:9" x14ac:dyDescent="0.25">
      <c r="A285" s="14">
        <v>21</v>
      </c>
      <c r="B285" s="14">
        <v>42056550</v>
      </c>
      <c r="C285" s="14" t="s">
        <v>407</v>
      </c>
      <c r="D285" s="14" t="s">
        <v>408</v>
      </c>
      <c r="E285" s="14">
        <v>923296753</v>
      </c>
      <c r="F285" s="14" t="s">
        <v>90</v>
      </c>
      <c r="G285" s="14" t="s">
        <v>368</v>
      </c>
      <c r="H285" s="14">
        <v>53</v>
      </c>
      <c r="I285" s="14" t="s">
        <v>11</v>
      </c>
    </row>
    <row r="286" spans="1:9" x14ac:dyDescent="0.25">
      <c r="A286" s="14">
        <v>22</v>
      </c>
      <c r="B286" s="14" t="s">
        <v>409</v>
      </c>
      <c r="C286" s="14" t="s">
        <v>410</v>
      </c>
      <c r="D286" s="14" t="s">
        <v>411</v>
      </c>
      <c r="E286" s="14">
        <v>928685358</v>
      </c>
      <c r="F286" s="14" t="s">
        <v>90</v>
      </c>
      <c r="G286" s="14" t="s">
        <v>368</v>
      </c>
      <c r="H286" s="14">
        <v>51.3</v>
      </c>
      <c r="I286" s="14" t="s">
        <v>11</v>
      </c>
    </row>
    <row r="287" spans="1:9" x14ac:dyDescent="0.25">
      <c r="A287" s="14">
        <v>23</v>
      </c>
      <c r="B287" s="15">
        <v>44617382</v>
      </c>
      <c r="C287" s="15" t="s">
        <v>412</v>
      </c>
      <c r="D287" s="15" t="s">
        <v>413</v>
      </c>
      <c r="E287" s="15">
        <v>950015958</v>
      </c>
      <c r="F287" s="15" t="s">
        <v>90</v>
      </c>
      <c r="G287" s="15" t="s">
        <v>368</v>
      </c>
      <c r="H287" s="15">
        <v>3.8</v>
      </c>
      <c r="I287" s="15" t="s">
        <v>50</v>
      </c>
    </row>
    <row r="288" spans="1:9" x14ac:dyDescent="0.25">
      <c r="A288" s="14">
        <v>24</v>
      </c>
      <c r="B288" s="15">
        <v>46153917</v>
      </c>
      <c r="C288" s="15" t="s">
        <v>414</v>
      </c>
      <c r="D288" s="15" t="s">
        <v>415</v>
      </c>
      <c r="E288" s="15">
        <v>962897813</v>
      </c>
      <c r="F288" s="15" t="s">
        <v>90</v>
      </c>
      <c r="G288" s="15" t="s">
        <v>368</v>
      </c>
      <c r="H288" s="15">
        <v>0</v>
      </c>
      <c r="I288" s="15" t="s">
        <v>50</v>
      </c>
    </row>
    <row r="289" spans="1:9" x14ac:dyDescent="0.25">
      <c r="A289" s="9">
        <v>54</v>
      </c>
      <c r="B289" s="9">
        <v>40564392</v>
      </c>
      <c r="C289" s="9" t="s">
        <v>7</v>
      </c>
      <c r="D289" s="9" t="s">
        <v>8</v>
      </c>
      <c r="E289" s="9">
        <v>922210488</v>
      </c>
      <c r="F289" s="9" t="s">
        <v>9</v>
      </c>
      <c r="G289" s="9" t="s">
        <v>10</v>
      </c>
      <c r="H289" s="9">
        <v>84.5</v>
      </c>
      <c r="I289" s="9" t="s">
        <v>11</v>
      </c>
    </row>
    <row r="290" spans="1:9" x14ac:dyDescent="0.25">
      <c r="A290" s="9">
        <v>60</v>
      </c>
      <c r="B290" s="9">
        <v>16676613</v>
      </c>
      <c r="C290" s="9" t="s">
        <v>12</v>
      </c>
      <c r="D290" s="9" t="s">
        <v>13</v>
      </c>
      <c r="E290" s="9">
        <v>965197190</v>
      </c>
      <c r="F290" s="9" t="s">
        <v>9</v>
      </c>
      <c r="G290" s="9" t="s">
        <v>10</v>
      </c>
      <c r="H290" s="9">
        <v>83</v>
      </c>
      <c r="I290" s="9" t="s">
        <v>11</v>
      </c>
    </row>
    <row r="291" spans="1:9" x14ac:dyDescent="0.25">
      <c r="A291" s="9">
        <v>53</v>
      </c>
      <c r="B291" s="9">
        <v>70060478</v>
      </c>
      <c r="C291" s="9" t="s">
        <v>14</v>
      </c>
      <c r="D291" s="9" t="s">
        <v>15</v>
      </c>
      <c r="E291" s="9">
        <v>951538062</v>
      </c>
      <c r="F291" s="9" t="s">
        <v>9</v>
      </c>
      <c r="G291" s="9" t="s">
        <v>10</v>
      </c>
      <c r="H291" s="9">
        <v>82</v>
      </c>
      <c r="I291" s="9" t="s">
        <v>11</v>
      </c>
    </row>
    <row r="292" spans="1:9" x14ac:dyDescent="0.25">
      <c r="A292" s="9">
        <v>62</v>
      </c>
      <c r="B292" s="9">
        <v>16656814</v>
      </c>
      <c r="C292" s="9" t="s">
        <v>16</v>
      </c>
      <c r="D292" s="9" t="s">
        <v>17</v>
      </c>
      <c r="E292" s="9">
        <v>979618370</v>
      </c>
      <c r="F292" s="9" t="s">
        <v>9</v>
      </c>
      <c r="G292" s="9" t="s">
        <v>10</v>
      </c>
      <c r="H292" s="9">
        <v>81</v>
      </c>
      <c r="I292" s="9" t="s">
        <v>11</v>
      </c>
    </row>
    <row r="293" spans="1:9" x14ac:dyDescent="0.25">
      <c r="A293" s="9">
        <v>66</v>
      </c>
      <c r="B293" s="9">
        <v>16719569</v>
      </c>
      <c r="C293" s="9" t="s">
        <v>18</v>
      </c>
      <c r="D293" s="9" t="s">
        <v>19</v>
      </c>
      <c r="E293" s="9">
        <v>943855088</v>
      </c>
      <c r="F293" s="9" t="s">
        <v>9</v>
      </c>
      <c r="G293" s="9" t="s">
        <v>10</v>
      </c>
      <c r="H293" s="9">
        <v>80.8</v>
      </c>
      <c r="I293" s="9" t="s">
        <v>11</v>
      </c>
    </row>
    <row r="294" spans="1:9" x14ac:dyDescent="0.25">
      <c r="A294" s="9">
        <v>57</v>
      </c>
      <c r="B294" s="9">
        <v>45695320</v>
      </c>
      <c r="C294" s="9" t="s">
        <v>20</v>
      </c>
      <c r="D294" s="9" t="s">
        <v>21</v>
      </c>
      <c r="E294" s="9">
        <v>949529017</v>
      </c>
      <c r="F294" s="9" t="s">
        <v>9</v>
      </c>
      <c r="G294" s="9" t="s">
        <v>10</v>
      </c>
      <c r="H294" s="9">
        <v>80</v>
      </c>
      <c r="I294" s="9" t="s">
        <v>11</v>
      </c>
    </row>
    <row r="295" spans="1:9" x14ac:dyDescent="0.25">
      <c r="A295" s="9">
        <v>48</v>
      </c>
      <c r="B295" s="9">
        <v>19219053</v>
      </c>
      <c r="C295" s="9" t="s">
        <v>22</v>
      </c>
      <c r="D295" s="9" t="s">
        <v>23</v>
      </c>
      <c r="E295" s="9">
        <v>971049145</v>
      </c>
      <c r="F295" s="9" t="s">
        <v>9</v>
      </c>
      <c r="G295" s="9" t="s">
        <v>10</v>
      </c>
      <c r="H295" s="9">
        <v>78.5</v>
      </c>
      <c r="I295" s="9" t="s">
        <v>11</v>
      </c>
    </row>
    <row r="296" spans="1:9" x14ac:dyDescent="0.25">
      <c r="A296" s="9">
        <v>59</v>
      </c>
      <c r="B296" s="9">
        <v>71291418</v>
      </c>
      <c r="C296" s="9" t="s">
        <v>24</v>
      </c>
      <c r="D296" s="9" t="s">
        <v>25</v>
      </c>
      <c r="E296" s="9">
        <v>937361416</v>
      </c>
      <c r="F296" s="9" t="s">
        <v>9</v>
      </c>
      <c r="G296" s="9" t="s">
        <v>10</v>
      </c>
      <c r="H296" s="9">
        <v>77.5</v>
      </c>
      <c r="I296" s="9" t="s">
        <v>11</v>
      </c>
    </row>
    <row r="297" spans="1:9" x14ac:dyDescent="0.25">
      <c r="A297" s="9">
        <v>50</v>
      </c>
      <c r="B297" s="9">
        <v>43674308</v>
      </c>
      <c r="C297" s="9" t="s">
        <v>26</v>
      </c>
      <c r="D297" s="9" t="s">
        <v>27</v>
      </c>
      <c r="E297" s="9">
        <v>979784034</v>
      </c>
      <c r="F297" s="9" t="s">
        <v>9</v>
      </c>
      <c r="G297" s="9" t="s">
        <v>10</v>
      </c>
      <c r="H297" s="9">
        <v>76</v>
      </c>
      <c r="I297" s="9" t="s">
        <v>11</v>
      </c>
    </row>
    <row r="298" spans="1:9" x14ac:dyDescent="0.25">
      <c r="A298" s="9">
        <v>58</v>
      </c>
      <c r="B298" s="9">
        <v>17451203</v>
      </c>
      <c r="C298" s="9" t="s">
        <v>28</v>
      </c>
      <c r="D298" s="9" t="s">
        <v>29</v>
      </c>
      <c r="E298" s="9">
        <v>968092042</v>
      </c>
      <c r="F298" s="9" t="s">
        <v>9</v>
      </c>
      <c r="G298" s="9" t="s">
        <v>10</v>
      </c>
      <c r="H298" s="9">
        <v>75.7</v>
      </c>
      <c r="I298" s="9" t="s">
        <v>11</v>
      </c>
    </row>
    <row r="299" spans="1:9" x14ac:dyDescent="0.25">
      <c r="A299" s="9">
        <v>65</v>
      </c>
      <c r="B299" s="9">
        <v>72747940</v>
      </c>
      <c r="C299" s="9" t="s">
        <v>30</v>
      </c>
      <c r="D299" s="9" t="s">
        <v>31</v>
      </c>
      <c r="E299" s="9">
        <v>960952982</v>
      </c>
      <c r="F299" s="9" t="s">
        <v>9</v>
      </c>
      <c r="G299" s="9" t="s">
        <v>10</v>
      </c>
      <c r="H299" s="9">
        <v>75.3</v>
      </c>
      <c r="I299" s="9" t="s">
        <v>11</v>
      </c>
    </row>
    <row r="300" spans="1:9" x14ac:dyDescent="0.25">
      <c r="A300" s="9">
        <v>61</v>
      </c>
      <c r="B300" s="9">
        <v>45620610</v>
      </c>
      <c r="C300" s="9" t="s">
        <v>32</v>
      </c>
      <c r="D300" s="9" t="s">
        <v>33</v>
      </c>
      <c r="E300" s="9">
        <v>945962546</v>
      </c>
      <c r="F300" s="9" t="s">
        <v>9</v>
      </c>
      <c r="G300" s="9" t="s">
        <v>10</v>
      </c>
      <c r="H300" s="9">
        <v>75</v>
      </c>
      <c r="I300" s="9" t="s">
        <v>11</v>
      </c>
    </row>
    <row r="301" spans="1:9" x14ac:dyDescent="0.25">
      <c r="A301" s="9">
        <v>51</v>
      </c>
      <c r="B301" s="9">
        <v>46093910</v>
      </c>
      <c r="C301" s="9" t="s">
        <v>34</v>
      </c>
      <c r="D301" s="9" t="s">
        <v>35</v>
      </c>
      <c r="E301" s="9">
        <v>980764341</v>
      </c>
      <c r="F301" s="9" t="s">
        <v>9</v>
      </c>
      <c r="G301" s="9" t="s">
        <v>10</v>
      </c>
      <c r="H301" s="9">
        <v>73.5</v>
      </c>
      <c r="I301" s="9" t="s">
        <v>11</v>
      </c>
    </row>
    <row r="302" spans="1:9" x14ac:dyDescent="0.25">
      <c r="A302" s="9">
        <v>63</v>
      </c>
      <c r="B302" s="9">
        <v>23012904</v>
      </c>
      <c r="C302" s="9" t="s">
        <v>36</v>
      </c>
      <c r="D302" s="9" t="s">
        <v>37</v>
      </c>
      <c r="E302" s="9">
        <v>979107777</v>
      </c>
      <c r="F302" s="9" t="s">
        <v>9</v>
      </c>
      <c r="G302" s="9" t="s">
        <v>10</v>
      </c>
      <c r="H302" s="9">
        <v>73.5</v>
      </c>
      <c r="I302" s="9" t="s">
        <v>11</v>
      </c>
    </row>
    <row r="303" spans="1:9" x14ac:dyDescent="0.25">
      <c r="A303" s="9">
        <v>64</v>
      </c>
      <c r="B303" s="9">
        <v>41107329</v>
      </c>
      <c r="C303" s="9" t="s">
        <v>38</v>
      </c>
      <c r="D303" s="9" t="s">
        <v>39</v>
      </c>
      <c r="E303" s="9">
        <v>906013135</v>
      </c>
      <c r="F303" s="9" t="s">
        <v>9</v>
      </c>
      <c r="G303" s="9" t="s">
        <v>10</v>
      </c>
      <c r="H303" s="9">
        <v>73</v>
      </c>
      <c r="I303" s="9" t="s">
        <v>11</v>
      </c>
    </row>
    <row r="304" spans="1:9" x14ac:dyDescent="0.25">
      <c r="A304" s="9">
        <v>52</v>
      </c>
      <c r="B304" s="9">
        <v>17629020</v>
      </c>
      <c r="C304" s="9" t="s">
        <v>40</v>
      </c>
      <c r="D304" s="9" t="s">
        <v>41</v>
      </c>
      <c r="E304" s="9">
        <v>946859409</v>
      </c>
      <c r="F304" s="9" t="s">
        <v>9</v>
      </c>
      <c r="G304" s="9" t="s">
        <v>10</v>
      </c>
      <c r="H304" s="9">
        <v>71.5</v>
      </c>
      <c r="I304" s="9" t="s">
        <v>11</v>
      </c>
    </row>
    <row r="305" spans="1:9" x14ac:dyDescent="0.25">
      <c r="A305" s="9">
        <v>49</v>
      </c>
      <c r="B305" s="9">
        <v>42910566</v>
      </c>
      <c r="C305" s="9" t="s">
        <v>42</v>
      </c>
      <c r="D305" s="9" t="s">
        <v>43</v>
      </c>
      <c r="E305" s="9">
        <v>959148878</v>
      </c>
      <c r="F305" s="9" t="s">
        <v>9</v>
      </c>
      <c r="G305" s="9" t="s">
        <v>10</v>
      </c>
      <c r="H305" s="9">
        <v>69</v>
      </c>
      <c r="I305" s="9" t="s">
        <v>11</v>
      </c>
    </row>
    <row r="306" spans="1:9" x14ac:dyDescent="0.25">
      <c r="A306" s="9">
        <v>56</v>
      </c>
      <c r="B306" s="9">
        <v>47570029</v>
      </c>
      <c r="C306" s="9" t="s">
        <v>44</v>
      </c>
      <c r="D306" s="9" t="s">
        <v>45</v>
      </c>
      <c r="E306" s="9">
        <v>994782648</v>
      </c>
      <c r="F306" s="9" t="s">
        <v>9</v>
      </c>
      <c r="G306" s="9" t="s">
        <v>10</v>
      </c>
      <c r="H306" s="9">
        <v>68.5</v>
      </c>
      <c r="I306" s="9" t="s">
        <v>11</v>
      </c>
    </row>
    <row r="307" spans="1:9" x14ac:dyDescent="0.25">
      <c r="A307" s="9">
        <v>55</v>
      </c>
      <c r="B307" s="9">
        <v>40419542</v>
      </c>
      <c r="C307" s="9" t="s">
        <v>46</v>
      </c>
      <c r="D307" s="9" t="s">
        <v>47</v>
      </c>
      <c r="E307" s="9">
        <v>979514678</v>
      </c>
      <c r="F307" s="9" t="s">
        <v>9</v>
      </c>
      <c r="G307" s="9" t="s">
        <v>10</v>
      </c>
      <c r="H307" s="9">
        <v>59.5</v>
      </c>
      <c r="I307" s="9" t="s">
        <v>11</v>
      </c>
    </row>
    <row r="308" spans="1:9" x14ac:dyDescent="0.25">
      <c r="A308" s="10">
        <v>67</v>
      </c>
      <c r="B308" s="10">
        <v>42760176</v>
      </c>
      <c r="C308" s="10" t="s">
        <v>48</v>
      </c>
      <c r="D308" s="10" t="s">
        <v>49</v>
      </c>
      <c r="E308" s="10">
        <v>952368885</v>
      </c>
      <c r="F308" s="10" t="s">
        <v>9</v>
      </c>
      <c r="G308" s="10" t="s">
        <v>10</v>
      </c>
      <c r="H308" s="10">
        <v>12</v>
      </c>
      <c r="I308" s="10" t="s">
        <v>50</v>
      </c>
    </row>
    <row r="309" spans="1:9" x14ac:dyDescent="0.25">
      <c r="A309" s="30">
        <v>1</v>
      </c>
      <c r="B309" s="30">
        <v>77917975</v>
      </c>
      <c r="C309" s="30" t="s">
        <v>810</v>
      </c>
      <c r="D309" s="30" t="s">
        <v>811</v>
      </c>
      <c r="E309" s="30">
        <v>990356090</v>
      </c>
      <c r="F309" s="30" t="s">
        <v>812</v>
      </c>
      <c r="G309" s="30" t="s">
        <v>813</v>
      </c>
      <c r="H309" s="30">
        <v>87</v>
      </c>
      <c r="I309" s="30" t="s">
        <v>11</v>
      </c>
    </row>
    <row r="310" spans="1:9" x14ac:dyDescent="0.25">
      <c r="A310" s="30">
        <v>2</v>
      </c>
      <c r="B310" s="30">
        <v>40443151</v>
      </c>
      <c r="C310" s="30" t="s">
        <v>814</v>
      </c>
      <c r="D310" s="30" t="s">
        <v>815</v>
      </c>
      <c r="E310" s="30">
        <v>941987804</v>
      </c>
      <c r="F310" s="30" t="s">
        <v>812</v>
      </c>
      <c r="G310" s="30" t="s">
        <v>813</v>
      </c>
      <c r="H310" s="30">
        <v>86.8</v>
      </c>
      <c r="I310" s="30" t="s">
        <v>11</v>
      </c>
    </row>
    <row r="311" spans="1:9" x14ac:dyDescent="0.25">
      <c r="A311" s="30">
        <v>3</v>
      </c>
      <c r="B311" s="30">
        <v>73201583</v>
      </c>
      <c r="C311" s="30" t="s">
        <v>816</v>
      </c>
      <c r="D311" s="30" t="s">
        <v>817</v>
      </c>
      <c r="E311" s="30">
        <v>980376038</v>
      </c>
      <c r="F311" s="30" t="s">
        <v>812</v>
      </c>
      <c r="G311" s="30" t="s">
        <v>813</v>
      </c>
      <c r="H311" s="30">
        <v>80.5</v>
      </c>
      <c r="I311" s="30" t="s">
        <v>11</v>
      </c>
    </row>
    <row r="312" spans="1:9" x14ac:dyDescent="0.25">
      <c r="A312" s="30">
        <v>4</v>
      </c>
      <c r="B312" s="30">
        <v>72418564</v>
      </c>
      <c r="C312" s="30" t="s">
        <v>818</v>
      </c>
      <c r="D312" s="30" t="s">
        <v>819</v>
      </c>
      <c r="E312" s="30">
        <v>978477960</v>
      </c>
      <c r="F312" s="30" t="s">
        <v>812</v>
      </c>
      <c r="G312" s="30" t="s">
        <v>813</v>
      </c>
      <c r="H312" s="30">
        <v>76.599999999999994</v>
      </c>
      <c r="I312" s="30" t="s">
        <v>11</v>
      </c>
    </row>
    <row r="313" spans="1:9" x14ac:dyDescent="0.25">
      <c r="A313" s="30">
        <v>5</v>
      </c>
      <c r="B313" s="30">
        <v>46543374</v>
      </c>
      <c r="C313" s="30" t="s">
        <v>820</v>
      </c>
      <c r="D313" s="30" t="s">
        <v>821</v>
      </c>
      <c r="E313" s="30">
        <v>968446288</v>
      </c>
      <c r="F313" s="30" t="s">
        <v>812</v>
      </c>
      <c r="G313" s="30" t="s">
        <v>813</v>
      </c>
      <c r="H313" s="30">
        <v>76.599999999999994</v>
      </c>
      <c r="I313" s="30" t="s">
        <v>11</v>
      </c>
    </row>
    <row r="314" spans="1:9" x14ac:dyDescent="0.25">
      <c r="A314" s="30">
        <v>6</v>
      </c>
      <c r="B314" s="30">
        <v>72429350</v>
      </c>
      <c r="C314" s="30" t="s">
        <v>822</v>
      </c>
      <c r="D314" s="30" t="s">
        <v>823</v>
      </c>
      <c r="E314" s="30">
        <v>920530961</v>
      </c>
      <c r="F314" s="30" t="s">
        <v>812</v>
      </c>
      <c r="G314" s="30" t="s">
        <v>813</v>
      </c>
      <c r="H314" s="30">
        <v>75</v>
      </c>
      <c r="I314" s="30" t="s">
        <v>11</v>
      </c>
    </row>
    <row r="315" spans="1:9" x14ac:dyDescent="0.25">
      <c r="A315" s="30">
        <v>7</v>
      </c>
      <c r="B315" s="30">
        <v>40682987</v>
      </c>
      <c r="C315" s="30" t="s">
        <v>824</v>
      </c>
      <c r="D315" s="30" t="s">
        <v>825</v>
      </c>
      <c r="E315" s="30">
        <v>966227751</v>
      </c>
      <c r="F315" s="30" t="s">
        <v>812</v>
      </c>
      <c r="G315" s="30" t="s">
        <v>813</v>
      </c>
      <c r="H315" s="30">
        <v>75</v>
      </c>
      <c r="I315" s="30" t="s">
        <v>11</v>
      </c>
    </row>
    <row r="316" spans="1:9" x14ac:dyDescent="0.25">
      <c r="A316" s="30">
        <v>8</v>
      </c>
      <c r="B316" s="30">
        <v>76371681</v>
      </c>
      <c r="C316" s="30" t="s">
        <v>826</v>
      </c>
      <c r="D316" s="30" t="s">
        <v>827</v>
      </c>
      <c r="E316" s="30">
        <v>966572701</v>
      </c>
      <c r="F316" s="30" t="s">
        <v>812</v>
      </c>
      <c r="G316" s="30" t="s">
        <v>813</v>
      </c>
      <c r="H316" s="30">
        <v>74.7</v>
      </c>
      <c r="I316" s="30" t="s">
        <v>11</v>
      </c>
    </row>
    <row r="317" spans="1:9" x14ac:dyDescent="0.25">
      <c r="A317" s="30">
        <v>9</v>
      </c>
      <c r="B317" s="30">
        <v>40526435</v>
      </c>
      <c r="C317" s="30" t="s">
        <v>828</v>
      </c>
      <c r="D317" s="30" t="s">
        <v>829</v>
      </c>
      <c r="E317" s="30">
        <v>901415921</v>
      </c>
      <c r="F317" s="30" t="s">
        <v>812</v>
      </c>
      <c r="G317" s="30" t="s">
        <v>813</v>
      </c>
      <c r="H317" s="30">
        <v>74</v>
      </c>
      <c r="I317" s="30" t="s">
        <v>11</v>
      </c>
    </row>
    <row r="318" spans="1:9" x14ac:dyDescent="0.25">
      <c r="A318" s="30">
        <v>10</v>
      </c>
      <c r="B318" s="30">
        <v>17447604</v>
      </c>
      <c r="C318" s="30" t="s">
        <v>830</v>
      </c>
      <c r="D318" s="30" t="s">
        <v>831</v>
      </c>
      <c r="E318" s="30">
        <v>912946485</v>
      </c>
      <c r="F318" s="30" t="s">
        <v>812</v>
      </c>
      <c r="G318" s="30" t="s">
        <v>813</v>
      </c>
      <c r="H318" s="30">
        <v>73.5</v>
      </c>
      <c r="I318" s="30" t="s">
        <v>11</v>
      </c>
    </row>
    <row r="319" spans="1:9" x14ac:dyDescent="0.25">
      <c r="A319" s="30">
        <v>11</v>
      </c>
      <c r="B319" s="30">
        <v>46602449</v>
      </c>
      <c r="C319" s="30" t="s">
        <v>832</v>
      </c>
      <c r="D319" s="30" t="s">
        <v>833</v>
      </c>
      <c r="E319" s="30">
        <v>977727216</v>
      </c>
      <c r="F319" s="30" t="s">
        <v>812</v>
      </c>
      <c r="G319" s="30" t="s">
        <v>813</v>
      </c>
      <c r="H319" s="30">
        <v>72</v>
      </c>
      <c r="I319" s="30" t="s">
        <v>11</v>
      </c>
    </row>
    <row r="320" spans="1:9" x14ac:dyDescent="0.25">
      <c r="A320" s="30">
        <v>12</v>
      </c>
      <c r="B320" s="30">
        <v>46166550</v>
      </c>
      <c r="C320" s="30" t="s">
        <v>834</v>
      </c>
      <c r="D320" s="30" t="s">
        <v>835</v>
      </c>
      <c r="E320" s="30">
        <v>948949910</v>
      </c>
      <c r="F320" s="30" t="s">
        <v>812</v>
      </c>
      <c r="G320" s="30" t="s">
        <v>813</v>
      </c>
      <c r="H320" s="30">
        <v>71.5</v>
      </c>
      <c r="I320" s="30" t="s">
        <v>11</v>
      </c>
    </row>
    <row r="321" spans="1:9" x14ac:dyDescent="0.25">
      <c r="A321" s="30">
        <v>13</v>
      </c>
      <c r="B321" s="30">
        <v>71961884</v>
      </c>
      <c r="C321" s="30" t="s">
        <v>836</v>
      </c>
      <c r="D321" s="30" t="s">
        <v>837</v>
      </c>
      <c r="E321" s="30">
        <v>968529122</v>
      </c>
      <c r="F321" s="30" t="s">
        <v>812</v>
      </c>
      <c r="G321" s="30" t="s">
        <v>813</v>
      </c>
      <c r="H321" s="30">
        <v>71</v>
      </c>
      <c r="I321" s="30" t="s">
        <v>11</v>
      </c>
    </row>
    <row r="322" spans="1:9" x14ac:dyDescent="0.25">
      <c r="A322" s="30">
        <v>14</v>
      </c>
      <c r="B322" s="30">
        <v>47153347</v>
      </c>
      <c r="C322" s="30" t="s">
        <v>838</v>
      </c>
      <c r="D322" s="30" t="s">
        <v>839</v>
      </c>
      <c r="E322" s="30">
        <v>900651194</v>
      </c>
      <c r="F322" s="30" t="s">
        <v>812</v>
      </c>
      <c r="G322" s="30" t="s">
        <v>813</v>
      </c>
      <c r="H322" s="30">
        <v>69.5</v>
      </c>
      <c r="I322" s="30" t="s">
        <v>11</v>
      </c>
    </row>
    <row r="323" spans="1:9" x14ac:dyDescent="0.25">
      <c r="A323" s="30">
        <v>15</v>
      </c>
      <c r="B323" s="30">
        <v>47472434</v>
      </c>
      <c r="C323" s="30" t="s">
        <v>840</v>
      </c>
      <c r="D323" s="30" t="s">
        <v>841</v>
      </c>
      <c r="E323" s="30">
        <v>948720491</v>
      </c>
      <c r="F323" s="30" t="s">
        <v>812</v>
      </c>
      <c r="G323" s="30" t="s">
        <v>813</v>
      </c>
      <c r="H323" s="30">
        <v>68.8</v>
      </c>
      <c r="I323" s="30" t="s">
        <v>11</v>
      </c>
    </row>
    <row r="324" spans="1:9" x14ac:dyDescent="0.25">
      <c r="A324" s="30">
        <v>16</v>
      </c>
      <c r="B324" s="30">
        <v>42631304</v>
      </c>
      <c r="C324" s="30" t="s">
        <v>842</v>
      </c>
      <c r="D324" s="30" t="s">
        <v>843</v>
      </c>
      <c r="E324" s="30">
        <v>942954525</v>
      </c>
      <c r="F324" s="30" t="s">
        <v>812</v>
      </c>
      <c r="G324" s="30" t="s">
        <v>813</v>
      </c>
      <c r="H324" s="30">
        <v>66</v>
      </c>
      <c r="I324" s="30" t="s">
        <v>11</v>
      </c>
    </row>
    <row r="325" spans="1:9" x14ac:dyDescent="0.25">
      <c r="A325" s="30">
        <v>17</v>
      </c>
      <c r="B325" s="30">
        <v>10267454</v>
      </c>
      <c r="C325" s="30" t="s">
        <v>844</v>
      </c>
      <c r="D325" s="30" t="s">
        <v>845</v>
      </c>
      <c r="E325" s="30">
        <v>944435541</v>
      </c>
      <c r="F325" s="30" t="s">
        <v>812</v>
      </c>
      <c r="G325" s="30" t="s">
        <v>813</v>
      </c>
      <c r="H325" s="30">
        <v>65.8</v>
      </c>
      <c r="I325" s="30" t="s">
        <v>11</v>
      </c>
    </row>
    <row r="326" spans="1:9" x14ac:dyDescent="0.25">
      <c r="A326" s="30">
        <v>18</v>
      </c>
      <c r="B326" s="30">
        <v>25869444</v>
      </c>
      <c r="C326" s="30" t="s">
        <v>846</v>
      </c>
      <c r="D326" s="30" t="s">
        <v>847</v>
      </c>
      <c r="E326" s="30">
        <v>929296574</v>
      </c>
      <c r="F326" s="30" t="s">
        <v>812</v>
      </c>
      <c r="G326" s="30" t="s">
        <v>813</v>
      </c>
      <c r="H326" s="30">
        <v>64.2</v>
      </c>
      <c r="I326" s="30" t="s">
        <v>11</v>
      </c>
    </row>
    <row r="327" spans="1:9" x14ac:dyDescent="0.25">
      <c r="A327" s="30">
        <v>19</v>
      </c>
      <c r="B327" s="30" t="s">
        <v>848</v>
      </c>
      <c r="C327" s="30" t="s">
        <v>849</v>
      </c>
      <c r="D327" s="30" t="s">
        <v>850</v>
      </c>
      <c r="E327" s="30">
        <v>968054988</v>
      </c>
      <c r="F327" s="30" t="s">
        <v>812</v>
      </c>
      <c r="G327" s="30" t="s">
        <v>813</v>
      </c>
      <c r="H327" s="30">
        <v>63</v>
      </c>
      <c r="I327" s="30" t="s">
        <v>11</v>
      </c>
    </row>
    <row r="328" spans="1:9" x14ac:dyDescent="0.25">
      <c r="A328" s="18">
        <v>1</v>
      </c>
      <c r="B328" s="18">
        <v>16707822</v>
      </c>
      <c r="C328" s="18" t="s">
        <v>491</v>
      </c>
      <c r="D328" s="18" t="s">
        <v>492</v>
      </c>
      <c r="E328" s="18">
        <v>949694371</v>
      </c>
      <c r="F328" s="18" t="s">
        <v>90</v>
      </c>
      <c r="G328" s="18" t="s">
        <v>493</v>
      </c>
      <c r="H328" s="18">
        <v>78</v>
      </c>
      <c r="I328" s="18" t="s">
        <v>11</v>
      </c>
    </row>
    <row r="329" spans="1:9" x14ac:dyDescent="0.25">
      <c r="A329" s="18">
        <v>2</v>
      </c>
      <c r="B329" s="18">
        <v>44453453</v>
      </c>
      <c r="C329" s="18" t="s">
        <v>494</v>
      </c>
      <c r="D329" s="18" t="s">
        <v>495</v>
      </c>
      <c r="E329" s="18">
        <v>963522492</v>
      </c>
      <c r="F329" s="18" t="s">
        <v>90</v>
      </c>
      <c r="G329" s="18" t="s">
        <v>493</v>
      </c>
      <c r="H329" s="18">
        <v>74.5</v>
      </c>
      <c r="I329" s="18" t="s">
        <v>11</v>
      </c>
    </row>
    <row r="330" spans="1:9" x14ac:dyDescent="0.25">
      <c r="A330" s="18">
        <v>3</v>
      </c>
      <c r="B330" s="18">
        <v>46720707</v>
      </c>
      <c r="C330" s="18" t="s">
        <v>496</v>
      </c>
      <c r="D330" s="18" t="s">
        <v>497</v>
      </c>
      <c r="E330" s="18">
        <v>960698218</v>
      </c>
      <c r="F330" s="18" t="s">
        <v>90</v>
      </c>
      <c r="G330" s="18" t="s">
        <v>493</v>
      </c>
      <c r="H330" s="18">
        <v>72</v>
      </c>
      <c r="I330" s="18" t="s">
        <v>11</v>
      </c>
    </row>
    <row r="331" spans="1:9" x14ac:dyDescent="0.25">
      <c r="A331" s="18">
        <v>4</v>
      </c>
      <c r="B331" s="18">
        <v>45437477</v>
      </c>
      <c r="C331" s="18" t="s">
        <v>498</v>
      </c>
      <c r="D331" s="18" t="s">
        <v>499</v>
      </c>
      <c r="E331" s="18">
        <v>979499826</v>
      </c>
      <c r="F331" s="18" t="s">
        <v>90</v>
      </c>
      <c r="G331" s="18" t="s">
        <v>493</v>
      </c>
      <c r="H331" s="18">
        <v>69.7</v>
      </c>
      <c r="I331" s="18" t="s">
        <v>11</v>
      </c>
    </row>
    <row r="332" spans="1:9" x14ac:dyDescent="0.25">
      <c r="A332" s="18">
        <v>5</v>
      </c>
      <c r="B332" s="18">
        <v>44314825</v>
      </c>
      <c r="C332" s="18" t="s">
        <v>500</v>
      </c>
      <c r="D332" s="18" t="s">
        <v>501</v>
      </c>
      <c r="E332" s="18">
        <v>995488843</v>
      </c>
      <c r="F332" s="18" t="s">
        <v>90</v>
      </c>
      <c r="G332" s="18" t="s">
        <v>493</v>
      </c>
      <c r="H332" s="18">
        <v>65.7</v>
      </c>
      <c r="I332" s="18" t="s">
        <v>11</v>
      </c>
    </row>
    <row r="333" spans="1:9" x14ac:dyDescent="0.25">
      <c r="A333" s="18">
        <v>6</v>
      </c>
      <c r="B333" s="18">
        <v>41923767</v>
      </c>
      <c r="C333" s="18" t="s">
        <v>502</v>
      </c>
      <c r="D333" s="18" t="s">
        <v>503</v>
      </c>
      <c r="E333" s="18">
        <v>990382651</v>
      </c>
      <c r="F333" s="18" t="s">
        <v>90</v>
      </c>
      <c r="G333" s="18" t="s">
        <v>493</v>
      </c>
      <c r="H333" s="18">
        <v>64.900000000000006</v>
      </c>
      <c r="I333" s="18" t="s">
        <v>11</v>
      </c>
    </row>
    <row r="334" spans="1:9" x14ac:dyDescent="0.25">
      <c r="A334" s="18">
        <v>7</v>
      </c>
      <c r="B334" s="18">
        <v>45016415</v>
      </c>
      <c r="C334" s="18" t="s">
        <v>504</v>
      </c>
      <c r="D334" s="18" t="s">
        <v>505</v>
      </c>
      <c r="E334" s="18">
        <v>968043708</v>
      </c>
      <c r="F334" s="18" t="s">
        <v>90</v>
      </c>
      <c r="G334" s="18" t="s">
        <v>493</v>
      </c>
      <c r="H334" s="18">
        <v>64.5</v>
      </c>
      <c r="I334" s="18" t="s">
        <v>11</v>
      </c>
    </row>
    <row r="335" spans="1:9" x14ac:dyDescent="0.25">
      <c r="A335" s="18">
        <v>8</v>
      </c>
      <c r="B335" s="18">
        <v>46528893</v>
      </c>
      <c r="C335" s="18" t="s">
        <v>506</v>
      </c>
      <c r="D335" s="18" t="s">
        <v>507</v>
      </c>
      <c r="E335" s="18">
        <v>920190315</v>
      </c>
      <c r="F335" s="18" t="s">
        <v>90</v>
      </c>
      <c r="G335" s="18" t="s">
        <v>493</v>
      </c>
      <c r="H335" s="18">
        <v>63.4</v>
      </c>
      <c r="I335" s="18" t="s">
        <v>11</v>
      </c>
    </row>
    <row r="336" spans="1:9" x14ac:dyDescent="0.25">
      <c r="A336" s="18">
        <v>9</v>
      </c>
      <c r="B336" s="18">
        <v>41379898</v>
      </c>
      <c r="C336" s="18" t="s">
        <v>508</v>
      </c>
      <c r="D336" s="18" t="s">
        <v>509</v>
      </c>
      <c r="E336" s="18">
        <v>990935504</v>
      </c>
      <c r="F336" s="18" t="s">
        <v>90</v>
      </c>
      <c r="G336" s="18" t="s">
        <v>493</v>
      </c>
      <c r="H336" s="18">
        <v>63</v>
      </c>
      <c r="I336" s="18" t="s">
        <v>11</v>
      </c>
    </row>
    <row r="337" spans="1:9" x14ac:dyDescent="0.25">
      <c r="A337" s="18">
        <v>10</v>
      </c>
      <c r="B337" s="18">
        <v>44685921</v>
      </c>
      <c r="C337" s="18" t="s">
        <v>510</v>
      </c>
      <c r="D337" s="18" t="s">
        <v>511</v>
      </c>
      <c r="E337" s="18">
        <v>943732547</v>
      </c>
      <c r="F337" s="18" t="s">
        <v>90</v>
      </c>
      <c r="G337" s="18" t="s">
        <v>493</v>
      </c>
      <c r="H337" s="18">
        <v>63</v>
      </c>
      <c r="I337" s="18" t="s">
        <v>11</v>
      </c>
    </row>
    <row r="338" spans="1:9" x14ac:dyDescent="0.25">
      <c r="A338" s="18">
        <v>11</v>
      </c>
      <c r="B338" s="18">
        <v>41600624</v>
      </c>
      <c r="C338" s="18" t="s">
        <v>512</v>
      </c>
      <c r="D338" s="18" t="s">
        <v>513</v>
      </c>
      <c r="E338" s="18">
        <v>968239466</v>
      </c>
      <c r="F338" s="18" t="s">
        <v>90</v>
      </c>
      <c r="G338" s="18" t="s">
        <v>493</v>
      </c>
      <c r="H338" s="18">
        <v>62.7</v>
      </c>
      <c r="I338" s="18" t="s">
        <v>11</v>
      </c>
    </row>
    <row r="339" spans="1:9" x14ac:dyDescent="0.25">
      <c r="A339" s="18">
        <v>12</v>
      </c>
      <c r="B339" s="18">
        <v>48318009</v>
      </c>
      <c r="C339" s="18" t="s">
        <v>514</v>
      </c>
      <c r="D339" s="18" t="s">
        <v>515</v>
      </c>
      <c r="E339" s="18">
        <v>978878772</v>
      </c>
      <c r="F339" s="18" t="s">
        <v>90</v>
      </c>
      <c r="G339" s="18" t="s">
        <v>493</v>
      </c>
      <c r="H339" s="18">
        <v>61</v>
      </c>
      <c r="I339" s="18" t="s">
        <v>11</v>
      </c>
    </row>
    <row r="340" spans="1:9" x14ac:dyDescent="0.25">
      <c r="A340" s="18">
        <v>13</v>
      </c>
      <c r="B340" s="18">
        <v>71075038</v>
      </c>
      <c r="C340" s="18" t="s">
        <v>516</v>
      </c>
      <c r="D340" s="18" t="s">
        <v>517</v>
      </c>
      <c r="E340" s="18">
        <v>957571871</v>
      </c>
      <c r="F340" s="18" t="s">
        <v>90</v>
      </c>
      <c r="G340" s="18" t="s">
        <v>493</v>
      </c>
      <c r="H340" s="18">
        <v>60.8</v>
      </c>
      <c r="I340" s="18" t="s">
        <v>11</v>
      </c>
    </row>
    <row r="341" spans="1:9" x14ac:dyDescent="0.25">
      <c r="A341" s="18">
        <v>14</v>
      </c>
      <c r="B341" s="18">
        <v>42883961</v>
      </c>
      <c r="C341" s="18" t="s">
        <v>518</v>
      </c>
      <c r="D341" s="18" t="s">
        <v>519</v>
      </c>
      <c r="E341" s="18">
        <v>967903668</v>
      </c>
      <c r="F341" s="18" t="s">
        <v>90</v>
      </c>
      <c r="G341" s="18" t="s">
        <v>493</v>
      </c>
      <c r="H341" s="18">
        <v>59.2</v>
      </c>
      <c r="I341" s="18" t="s">
        <v>11</v>
      </c>
    </row>
    <row r="342" spans="1:9" x14ac:dyDescent="0.25">
      <c r="A342" s="18">
        <v>15</v>
      </c>
      <c r="B342" s="18">
        <v>43300428</v>
      </c>
      <c r="C342" s="18" t="s">
        <v>520</v>
      </c>
      <c r="D342" s="18" t="s">
        <v>521</v>
      </c>
      <c r="E342" s="18">
        <v>999235588</v>
      </c>
      <c r="F342" s="18" t="s">
        <v>90</v>
      </c>
      <c r="G342" s="18" t="s">
        <v>493</v>
      </c>
      <c r="H342" s="18">
        <v>58</v>
      </c>
      <c r="I342" s="18" t="s">
        <v>11</v>
      </c>
    </row>
    <row r="343" spans="1:9" x14ac:dyDescent="0.25">
      <c r="A343" s="18">
        <v>16</v>
      </c>
      <c r="B343" s="18">
        <v>47960065</v>
      </c>
      <c r="C343" s="18" t="s">
        <v>522</v>
      </c>
      <c r="D343" s="18" t="s">
        <v>523</v>
      </c>
      <c r="E343" s="18">
        <v>927919376</v>
      </c>
      <c r="F343" s="18" t="s">
        <v>90</v>
      </c>
      <c r="G343" s="18" t="s">
        <v>493</v>
      </c>
      <c r="H343" s="18">
        <v>54.6</v>
      </c>
      <c r="I343" s="18" t="s">
        <v>11</v>
      </c>
    </row>
    <row r="344" spans="1:9" x14ac:dyDescent="0.25">
      <c r="A344" s="18">
        <v>17</v>
      </c>
      <c r="B344" s="18">
        <v>40788603</v>
      </c>
      <c r="C344" s="18" t="s">
        <v>524</v>
      </c>
      <c r="D344" s="18" t="s">
        <v>525</v>
      </c>
      <c r="E344" s="18">
        <v>979695505</v>
      </c>
      <c r="F344" s="18" t="s">
        <v>90</v>
      </c>
      <c r="G344" s="18" t="s">
        <v>493</v>
      </c>
      <c r="H344" s="18">
        <v>54.2</v>
      </c>
      <c r="I344" s="18" t="s">
        <v>11</v>
      </c>
    </row>
    <row r="345" spans="1:9" x14ac:dyDescent="0.25">
      <c r="A345" s="18">
        <v>18</v>
      </c>
      <c r="B345" s="18">
        <v>33592009</v>
      </c>
      <c r="C345" s="18" t="s">
        <v>526</v>
      </c>
      <c r="D345" s="18" t="s">
        <v>527</v>
      </c>
      <c r="E345" s="18">
        <v>932034684</v>
      </c>
      <c r="F345" s="18" t="s">
        <v>90</v>
      </c>
      <c r="G345" s="18" t="s">
        <v>493</v>
      </c>
      <c r="H345" s="18">
        <v>52</v>
      </c>
      <c r="I345" s="18" t="s">
        <v>11</v>
      </c>
    </row>
    <row r="346" spans="1:9" x14ac:dyDescent="0.25">
      <c r="A346" s="18">
        <v>19</v>
      </c>
      <c r="B346" s="19">
        <v>44846664</v>
      </c>
      <c r="C346" s="19" t="s">
        <v>528</v>
      </c>
      <c r="D346" s="19" t="s">
        <v>529</v>
      </c>
      <c r="E346" s="19">
        <v>995446821</v>
      </c>
      <c r="F346" s="19" t="s">
        <v>90</v>
      </c>
      <c r="G346" s="19" t="s">
        <v>493</v>
      </c>
      <c r="H346" s="19">
        <v>6.4</v>
      </c>
      <c r="I346" s="19" t="s">
        <v>50</v>
      </c>
    </row>
    <row r="347" spans="1:9" x14ac:dyDescent="0.25">
      <c r="A347" s="3">
        <v>1</v>
      </c>
      <c r="B347" s="3">
        <v>16734916</v>
      </c>
      <c r="C347" s="3" t="s">
        <v>88</v>
      </c>
      <c r="D347" s="3" t="s">
        <v>89</v>
      </c>
      <c r="E347" s="3">
        <v>954689163</v>
      </c>
      <c r="F347" s="3" t="s">
        <v>90</v>
      </c>
      <c r="G347" s="3" t="s">
        <v>91</v>
      </c>
      <c r="H347" s="3">
        <v>75.8</v>
      </c>
      <c r="I347" s="3" t="s">
        <v>11</v>
      </c>
    </row>
    <row r="348" spans="1:9" x14ac:dyDescent="0.25">
      <c r="A348" s="3">
        <v>2</v>
      </c>
      <c r="B348" s="3">
        <v>72086966</v>
      </c>
      <c r="C348" s="3" t="s">
        <v>92</v>
      </c>
      <c r="D348" s="3" t="s">
        <v>93</v>
      </c>
      <c r="E348" s="3">
        <v>934709713</v>
      </c>
      <c r="F348" s="3" t="s">
        <v>90</v>
      </c>
      <c r="G348" s="3" t="s">
        <v>91</v>
      </c>
      <c r="H348" s="3">
        <v>74.5</v>
      </c>
      <c r="I348" s="3" t="s">
        <v>11</v>
      </c>
    </row>
    <row r="349" spans="1:9" x14ac:dyDescent="0.25">
      <c r="A349" s="3">
        <v>3</v>
      </c>
      <c r="B349" s="3">
        <v>23008546</v>
      </c>
      <c r="C349" s="3" t="s">
        <v>94</v>
      </c>
      <c r="D349" s="3" t="s">
        <v>95</v>
      </c>
      <c r="E349" s="3">
        <v>921733886</v>
      </c>
      <c r="F349" s="3" t="s">
        <v>90</v>
      </c>
      <c r="G349" s="3" t="s">
        <v>91</v>
      </c>
      <c r="H349" s="3">
        <v>74.2</v>
      </c>
      <c r="I349" s="3" t="s">
        <v>11</v>
      </c>
    </row>
    <row r="350" spans="1:9" x14ac:dyDescent="0.25">
      <c r="A350" s="3">
        <v>4</v>
      </c>
      <c r="B350" s="3">
        <v>46041762</v>
      </c>
      <c r="C350" s="3" t="s">
        <v>96</v>
      </c>
      <c r="D350" s="3" t="s">
        <v>97</v>
      </c>
      <c r="E350" s="3">
        <v>914855171</v>
      </c>
      <c r="F350" s="3" t="s">
        <v>90</v>
      </c>
      <c r="G350" s="3" t="s">
        <v>91</v>
      </c>
      <c r="H350" s="3">
        <v>74</v>
      </c>
      <c r="I350" s="3" t="s">
        <v>11</v>
      </c>
    </row>
    <row r="351" spans="1:9" x14ac:dyDescent="0.25">
      <c r="A351" s="3">
        <v>5</v>
      </c>
      <c r="B351" s="3">
        <v>17540369</v>
      </c>
      <c r="C351" s="3" t="s">
        <v>98</v>
      </c>
      <c r="D351" s="3" t="s">
        <v>99</v>
      </c>
      <c r="E351" s="3">
        <v>945773098</v>
      </c>
      <c r="F351" s="3" t="s">
        <v>90</v>
      </c>
      <c r="G351" s="3" t="s">
        <v>91</v>
      </c>
      <c r="H351" s="3">
        <v>71.7</v>
      </c>
      <c r="I351" s="3" t="s">
        <v>11</v>
      </c>
    </row>
    <row r="352" spans="1:9" x14ac:dyDescent="0.25">
      <c r="A352" s="3">
        <v>6</v>
      </c>
      <c r="B352" s="3">
        <v>19196040</v>
      </c>
      <c r="C352" s="3" t="s">
        <v>100</v>
      </c>
      <c r="D352" s="3" t="s">
        <v>101</v>
      </c>
      <c r="E352" s="3">
        <v>949782004</v>
      </c>
      <c r="F352" s="3" t="s">
        <v>90</v>
      </c>
      <c r="G352" s="3" t="s">
        <v>91</v>
      </c>
      <c r="H352" s="3">
        <v>71.2</v>
      </c>
      <c r="I352" s="3" t="s">
        <v>11</v>
      </c>
    </row>
    <row r="353" spans="1:9" x14ac:dyDescent="0.25">
      <c r="A353" s="3">
        <v>7</v>
      </c>
      <c r="B353" s="3">
        <v>76069023</v>
      </c>
      <c r="C353" s="3" t="s">
        <v>102</v>
      </c>
      <c r="D353" s="3" t="s">
        <v>103</v>
      </c>
      <c r="E353" s="3">
        <v>912893869</v>
      </c>
      <c r="F353" s="3" t="s">
        <v>90</v>
      </c>
      <c r="G353" s="3" t="s">
        <v>91</v>
      </c>
      <c r="H353" s="3">
        <v>70.599999999999994</v>
      </c>
      <c r="I353" s="3" t="s">
        <v>11</v>
      </c>
    </row>
    <row r="354" spans="1:9" x14ac:dyDescent="0.25">
      <c r="A354" s="3">
        <v>8</v>
      </c>
      <c r="B354" s="3">
        <v>72515720</v>
      </c>
      <c r="C354" s="3" t="s">
        <v>104</v>
      </c>
      <c r="D354" s="3" t="s">
        <v>105</v>
      </c>
      <c r="E354" s="3">
        <v>939327384</v>
      </c>
      <c r="F354" s="3" t="s">
        <v>90</v>
      </c>
      <c r="G354" s="3" t="s">
        <v>91</v>
      </c>
      <c r="H354" s="3">
        <v>69.8</v>
      </c>
      <c r="I354" s="3" t="s">
        <v>11</v>
      </c>
    </row>
    <row r="355" spans="1:9" x14ac:dyDescent="0.25">
      <c r="A355" s="3">
        <v>9</v>
      </c>
      <c r="B355" s="3">
        <v>43470708</v>
      </c>
      <c r="C355" s="3" t="s">
        <v>106</v>
      </c>
      <c r="D355" s="3" t="s">
        <v>107</v>
      </c>
      <c r="E355" s="3">
        <v>953113423</v>
      </c>
      <c r="F355" s="3" t="s">
        <v>90</v>
      </c>
      <c r="G355" s="3" t="s">
        <v>91</v>
      </c>
      <c r="H355" s="3">
        <v>69.599999999999994</v>
      </c>
      <c r="I355" s="3" t="s">
        <v>11</v>
      </c>
    </row>
    <row r="356" spans="1:9" x14ac:dyDescent="0.25">
      <c r="A356" s="3">
        <v>10</v>
      </c>
      <c r="B356" s="3">
        <v>47267644</v>
      </c>
      <c r="C356" s="3" t="s">
        <v>108</v>
      </c>
      <c r="D356" s="3" t="s">
        <v>109</v>
      </c>
      <c r="E356" s="3">
        <v>979715336</v>
      </c>
      <c r="F356" s="3" t="s">
        <v>90</v>
      </c>
      <c r="G356" s="3" t="s">
        <v>91</v>
      </c>
      <c r="H356" s="3">
        <v>69.400000000000006</v>
      </c>
      <c r="I356" s="3" t="s">
        <v>11</v>
      </c>
    </row>
    <row r="357" spans="1:9" x14ac:dyDescent="0.25">
      <c r="A357" s="3">
        <v>11</v>
      </c>
      <c r="B357" s="3">
        <v>44390443</v>
      </c>
      <c r="C357" s="3" t="s">
        <v>110</v>
      </c>
      <c r="D357" s="3" t="s">
        <v>111</v>
      </c>
      <c r="E357" s="3">
        <v>945585013</v>
      </c>
      <c r="F357" s="3" t="s">
        <v>90</v>
      </c>
      <c r="G357" s="3" t="s">
        <v>91</v>
      </c>
      <c r="H357" s="3">
        <v>69</v>
      </c>
      <c r="I357" s="3" t="s">
        <v>11</v>
      </c>
    </row>
    <row r="358" spans="1:9" x14ac:dyDescent="0.25">
      <c r="A358" s="3">
        <v>12</v>
      </c>
      <c r="B358" s="3">
        <v>41160658</v>
      </c>
      <c r="C358" s="3" t="s">
        <v>112</v>
      </c>
      <c r="D358" s="3" t="s">
        <v>113</v>
      </c>
      <c r="E358" s="3">
        <v>936903797</v>
      </c>
      <c r="F358" s="3" t="s">
        <v>90</v>
      </c>
      <c r="G358" s="3" t="s">
        <v>91</v>
      </c>
      <c r="H358" s="3">
        <v>68.5</v>
      </c>
      <c r="I358" s="3" t="s">
        <v>11</v>
      </c>
    </row>
    <row r="359" spans="1:9" x14ac:dyDescent="0.25">
      <c r="A359" s="3">
        <v>13</v>
      </c>
      <c r="B359" s="3" t="s">
        <v>114</v>
      </c>
      <c r="C359" s="3" t="s">
        <v>115</v>
      </c>
      <c r="D359" s="3" t="s">
        <v>116</v>
      </c>
      <c r="E359" s="3">
        <v>905441358</v>
      </c>
      <c r="F359" s="3" t="s">
        <v>90</v>
      </c>
      <c r="G359" s="3" t="s">
        <v>91</v>
      </c>
      <c r="H359" s="3">
        <v>68.5</v>
      </c>
      <c r="I359" s="3" t="s">
        <v>11</v>
      </c>
    </row>
    <row r="360" spans="1:9" x14ac:dyDescent="0.25">
      <c r="A360" s="3">
        <v>14</v>
      </c>
      <c r="B360" s="3">
        <v>40366179</v>
      </c>
      <c r="C360" s="3" t="s">
        <v>117</v>
      </c>
      <c r="D360" s="3" t="s">
        <v>118</v>
      </c>
      <c r="E360" s="3">
        <v>926294937</v>
      </c>
      <c r="F360" s="3" t="s">
        <v>90</v>
      </c>
      <c r="G360" s="3" t="s">
        <v>91</v>
      </c>
      <c r="H360" s="3">
        <v>68.2</v>
      </c>
      <c r="I360" s="3" t="s">
        <v>11</v>
      </c>
    </row>
    <row r="361" spans="1:9" x14ac:dyDescent="0.25">
      <c r="A361" s="3">
        <v>15</v>
      </c>
      <c r="B361" s="3">
        <v>47515394</v>
      </c>
      <c r="C361" s="3" t="s">
        <v>119</v>
      </c>
      <c r="D361" s="3" t="s">
        <v>120</v>
      </c>
      <c r="E361" s="3">
        <v>976003092</v>
      </c>
      <c r="F361" s="3" t="s">
        <v>90</v>
      </c>
      <c r="G361" s="3" t="s">
        <v>91</v>
      </c>
      <c r="H361" s="3">
        <v>67</v>
      </c>
      <c r="I361" s="3" t="s">
        <v>11</v>
      </c>
    </row>
    <row r="362" spans="1:9" x14ac:dyDescent="0.25">
      <c r="A362" s="3">
        <v>16</v>
      </c>
      <c r="B362" s="3">
        <v>48042572</v>
      </c>
      <c r="C362" s="3" t="s">
        <v>121</v>
      </c>
      <c r="D362" s="3" t="s">
        <v>122</v>
      </c>
      <c r="E362" s="3">
        <v>968408629</v>
      </c>
      <c r="F362" s="3" t="s">
        <v>90</v>
      </c>
      <c r="G362" s="3" t="s">
        <v>91</v>
      </c>
      <c r="H362" s="3">
        <v>67</v>
      </c>
      <c r="I362" s="3" t="s">
        <v>11</v>
      </c>
    </row>
    <row r="363" spans="1:9" x14ac:dyDescent="0.25">
      <c r="A363" s="3">
        <v>17</v>
      </c>
      <c r="B363" s="3">
        <v>80612579</v>
      </c>
      <c r="C363" s="3" t="s">
        <v>123</v>
      </c>
      <c r="D363" s="3" t="s">
        <v>124</v>
      </c>
      <c r="E363" s="3">
        <v>996187265</v>
      </c>
      <c r="F363" s="3" t="s">
        <v>90</v>
      </c>
      <c r="G363" s="3" t="s">
        <v>91</v>
      </c>
      <c r="H363" s="3">
        <v>66.599999999999994</v>
      </c>
      <c r="I363" s="3" t="s">
        <v>11</v>
      </c>
    </row>
    <row r="364" spans="1:9" x14ac:dyDescent="0.25">
      <c r="A364" s="3">
        <v>18</v>
      </c>
      <c r="B364" s="3">
        <v>75879465</v>
      </c>
      <c r="C364" s="3" t="s">
        <v>125</v>
      </c>
      <c r="D364" s="3" t="s">
        <v>126</v>
      </c>
      <c r="E364" s="3">
        <v>935563100</v>
      </c>
      <c r="F364" s="3" t="s">
        <v>90</v>
      </c>
      <c r="G364" s="3" t="s">
        <v>91</v>
      </c>
      <c r="H364" s="3">
        <v>65.599999999999994</v>
      </c>
      <c r="I364" s="3" t="s">
        <v>11</v>
      </c>
    </row>
    <row r="365" spans="1:9" x14ac:dyDescent="0.25">
      <c r="A365" s="3">
        <v>19</v>
      </c>
      <c r="B365" s="3">
        <v>16718184</v>
      </c>
      <c r="C365" s="3" t="s">
        <v>127</v>
      </c>
      <c r="D365" s="3" t="s">
        <v>128</v>
      </c>
      <c r="E365" s="3">
        <v>914244340</v>
      </c>
      <c r="F365" s="3" t="s">
        <v>90</v>
      </c>
      <c r="G365" s="3" t="s">
        <v>91</v>
      </c>
      <c r="H365" s="3">
        <v>62.4</v>
      </c>
      <c r="I365" s="3" t="s">
        <v>11</v>
      </c>
    </row>
    <row r="366" spans="1:9" x14ac:dyDescent="0.25">
      <c r="A366" s="3">
        <v>20</v>
      </c>
      <c r="B366" s="3">
        <v>42707881</v>
      </c>
      <c r="C366" s="3" t="s">
        <v>129</v>
      </c>
      <c r="D366" s="3" t="s">
        <v>130</v>
      </c>
      <c r="E366" s="3">
        <v>977177076</v>
      </c>
      <c r="F366" s="3" t="s">
        <v>90</v>
      </c>
      <c r="G366" s="3" t="s">
        <v>91</v>
      </c>
      <c r="H366" s="3">
        <v>61</v>
      </c>
      <c r="I366" s="3" t="s">
        <v>11</v>
      </c>
    </row>
    <row r="367" spans="1:9" x14ac:dyDescent="0.25">
      <c r="A367" s="3">
        <v>21</v>
      </c>
      <c r="B367" s="3">
        <v>75475198</v>
      </c>
      <c r="C367" s="3" t="s">
        <v>131</v>
      </c>
      <c r="D367" s="3" t="s">
        <v>132</v>
      </c>
      <c r="E367" s="3">
        <v>934195823</v>
      </c>
      <c r="F367" s="3" t="s">
        <v>90</v>
      </c>
      <c r="G367" s="3" t="s">
        <v>91</v>
      </c>
      <c r="H367" s="3">
        <v>57.8</v>
      </c>
      <c r="I367" s="3" t="s">
        <v>11</v>
      </c>
    </row>
    <row r="368" spans="1:9" x14ac:dyDescent="0.25">
      <c r="A368" s="28">
        <v>1</v>
      </c>
      <c r="B368" s="28">
        <v>45810268</v>
      </c>
      <c r="C368" s="28" t="s">
        <v>767</v>
      </c>
      <c r="D368" s="28" t="s">
        <v>768</v>
      </c>
      <c r="E368" s="28">
        <v>979109191</v>
      </c>
      <c r="F368" s="28" t="s">
        <v>90</v>
      </c>
      <c r="G368" s="28" t="s">
        <v>769</v>
      </c>
      <c r="H368" s="28">
        <v>83</v>
      </c>
      <c r="I368" s="28" t="s">
        <v>11</v>
      </c>
    </row>
    <row r="369" spans="1:9" x14ac:dyDescent="0.25">
      <c r="A369" s="28">
        <v>2</v>
      </c>
      <c r="B369" s="28">
        <v>47373478</v>
      </c>
      <c r="C369" s="28" t="s">
        <v>770</v>
      </c>
      <c r="D369" s="28" t="s">
        <v>771</v>
      </c>
      <c r="E369" s="28">
        <v>954693044</v>
      </c>
      <c r="F369" s="28" t="s">
        <v>90</v>
      </c>
      <c r="G369" s="28" t="s">
        <v>769</v>
      </c>
      <c r="H369" s="28">
        <v>80.3</v>
      </c>
      <c r="I369" s="28" t="s">
        <v>11</v>
      </c>
    </row>
    <row r="370" spans="1:9" x14ac:dyDescent="0.25">
      <c r="A370" s="28">
        <v>3</v>
      </c>
      <c r="B370" s="28">
        <v>44842913</v>
      </c>
      <c r="C370" s="28" t="s">
        <v>772</v>
      </c>
      <c r="D370" s="28" t="s">
        <v>773</v>
      </c>
      <c r="E370" s="28">
        <v>923026775</v>
      </c>
      <c r="F370" s="28" t="s">
        <v>90</v>
      </c>
      <c r="G370" s="28" t="s">
        <v>769</v>
      </c>
      <c r="H370" s="28">
        <v>79.599999999999994</v>
      </c>
      <c r="I370" s="28" t="s">
        <v>11</v>
      </c>
    </row>
    <row r="371" spans="1:9" x14ac:dyDescent="0.25">
      <c r="A371" s="28">
        <v>4</v>
      </c>
      <c r="B371" s="28">
        <v>40021177</v>
      </c>
      <c r="C371" s="28" t="s">
        <v>774</v>
      </c>
      <c r="D371" s="28" t="s">
        <v>775</v>
      </c>
      <c r="E371" s="28">
        <v>925812685</v>
      </c>
      <c r="F371" s="28" t="s">
        <v>90</v>
      </c>
      <c r="G371" s="28" t="s">
        <v>769</v>
      </c>
      <c r="H371" s="28">
        <v>78.5</v>
      </c>
      <c r="I371" s="28" t="s">
        <v>11</v>
      </c>
    </row>
    <row r="372" spans="1:9" x14ac:dyDescent="0.25">
      <c r="A372" s="28">
        <v>5</v>
      </c>
      <c r="B372" s="28" t="s">
        <v>776</v>
      </c>
      <c r="C372" s="28" t="s">
        <v>777</v>
      </c>
      <c r="D372" s="28" t="s">
        <v>778</v>
      </c>
      <c r="E372" s="28">
        <v>969268674</v>
      </c>
      <c r="F372" s="28" t="s">
        <v>90</v>
      </c>
      <c r="G372" s="28" t="s">
        <v>769</v>
      </c>
      <c r="H372" s="28">
        <v>78.2</v>
      </c>
      <c r="I372" s="28" t="s">
        <v>11</v>
      </c>
    </row>
    <row r="373" spans="1:9" x14ac:dyDescent="0.25">
      <c r="A373" s="28">
        <v>6</v>
      </c>
      <c r="B373" s="28">
        <v>44249936</v>
      </c>
      <c r="C373" s="28" t="s">
        <v>779</v>
      </c>
      <c r="D373" s="28" t="s">
        <v>780</v>
      </c>
      <c r="E373" s="28">
        <v>979066416</v>
      </c>
      <c r="F373" s="28" t="s">
        <v>90</v>
      </c>
      <c r="G373" s="28" t="s">
        <v>769</v>
      </c>
      <c r="H373" s="28">
        <v>77.5</v>
      </c>
      <c r="I373" s="28" t="s">
        <v>11</v>
      </c>
    </row>
    <row r="374" spans="1:9" x14ac:dyDescent="0.25">
      <c r="A374" s="28">
        <v>7</v>
      </c>
      <c r="B374" s="28">
        <v>46558332</v>
      </c>
      <c r="C374" s="28" t="s">
        <v>781</v>
      </c>
      <c r="D374" s="28" t="s">
        <v>782</v>
      </c>
      <c r="E374" s="28">
        <v>940990391</v>
      </c>
      <c r="F374" s="28" t="s">
        <v>90</v>
      </c>
      <c r="G374" s="28" t="s">
        <v>769</v>
      </c>
      <c r="H374" s="28">
        <v>76.599999999999994</v>
      </c>
      <c r="I374" s="28" t="s">
        <v>11</v>
      </c>
    </row>
    <row r="375" spans="1:9" x14ac:dyDescent="0.25">
      <c r="A375" s="28">
        <v>8</v>
      </c>
      <c r="B375" s="28">
        <v>77355069</v>
      </c>
      <c r="C375" s="28" t="s">
        <v>783</v>
      </c>
      <c r="D375" s="28" t="s">
        <v>784</v>
      </c>
      <c r="E375" s="28">
        <v>948721925</v>
      </c>
      <c r="F375" s="28" t="s">
        <v>90</v>
      </c>
      <c r="G375" s="28" t="s">
        <v>769</v>
      </c>
      <c r="H375" s="28">
        <v>75</v>
      </c>
      <c r="I375" s="28" t="s">
        <v>11</v>
      </c>
    </row>
    <row r="376" spans="1:9" x14ac:dyDescent="0.25">
      <c r="A376" s="28">
        <v>9</v>
      </c>
      <c r="B376" s="28" t="s">
        <v>785</v>
      </c>
      <c r="C376" s="28" t="s">
        <v>786</v>
      </c>
      <c r="D376" s="28" t="s">
        <v>787</v>
      </c>
      <c r="E376" s="28">
        <v>918567044</v>
      </c>
      <c r="F376" s="28" t="s">
        <v>90</v>
      </c>
      <c r="G376" s="28" t="s">
        <v>769</v>
      </c>
      <c r="H376" s="28">
        <v>73.900000000000006</v>
      </c>
      <c r="I376" s="28" t="s">
        <v>11</v>
      </c>
    </row>
    <row r="377" spans="1:9" x14ac:dyDescent="0.25">
      <c r="A377" s="28">
        <v>10</v>
      </c>
      <c r="B377" s="28">
        <v>41203836</v>
      </c>
      <c r="C377" s="28" t="s">
        <v>788</v>
      </c>
      <c r="D377" s="28" t="s">
        <v>789</v>
      </c>
      <c r="E377" s="28">
        <v>979114738</v>
      </c>
      <c r="F377" s="28" t="s">
        <v>90</v>
      </c>
      <c r="G377" s="28" t="s">
        <v>769</v>
      </c>
      <c r="H377" s="28">
        <v>72</v>
      </c>
      <c r="I377" s="28" t="s">
        <v>11</v>
      </c>
    </row>
    <row r="378" spans="1:9" x14ac:dyDescent="0.25">
      <c r="A378" s="28">
        <v>11</v>
      </c>
      <c r="B378" s="28">
        <v>42091229</v>
      </c>
      <c r="C378" s="28" t="s">
        <v>790</v>
      </c>
      <c r="D378" s="28" t="s">
        <v>791</v>
      </c>
      <c r="E378" s="28">
        <v>969032110</v>
      </c>
      <c r="F378" s="28" t="s">
        <v>90</v>
      </c>
      <c r="G378" s="28" t="s">
        <v>769</v>
      </c>
      <c r="H378" s="28">
        <v>71.400000000000006</v>
      </c>
      <c r="I378" s="28" t="s">
        <v>11</v>
      </c>
    </row>
    <row r="379" spans="1:9" x14ac:dyDescent="0.25">
      <c r="A379" s="28">
        <v>12</v>
      </c>
      <c r="B379" s="28">
        <v>72044190</v>
      </c>
      <c r="C379" s="28" t="s">
        <v>792</v>
      </c>
      <c r="D379" s="28" t="s">
        <v>793</v>
      </c>
      <c r="E379" s="28">
        <v>923655551</v>
      </c>
      <c r="F379" s="28" t="s">
        <v>90</v>
      </c>
      <c r="G379" s="28" t="s">
        <v>769</v>
      </c>
      <c r="H379" s="28">
        <v>70.599999999999994</v>
      </c>
      <c r="I379" s="28" t="s">
        <v>11</v>
      </c>
    </row>
    <row r="380" spans="1:9" x14ac:dyDescent="0.25">
      <c r="A380" s="28">
        <v>13</v>
      </c>
      <c r="B380" s="28">
        <v>75796634</v>
      </c>
      <c r="C380" s="28" t="s">
        <v>794</v>
      </c>
      <c r="D380" s="28" t="s">
        <v>795</v>
      </c>
      <c r="E380" s="28">
        <v>963591442</v>
      </c>
      <c r="F380" s="28" t="s">
        <v>90</v>
      </c>
      <c r="G380" s="28" t="s">
        <v>769</v>
      </c>
      <c r="H380" s="28">
        <v>69.2</v>
      </c>
      <c r="I380" s="28" t="s">
        <v>11</v>
      </c>
    </row>
    <row r="381" spans="1:9" x14ac:dyDescent="0.25">
      <c r="A381" s="28">
        <v>14</v>
      </c>
      <c r="B381" s="28">
        <v>71643302</v>
      </c>
      <c r="C381" s="28" t="s">
        <v>796</v>
      </c>
      <c r="D381" s="28" t="s">
        <v>797</v>
      </c>
      <c r="E381" s="28">
        <v>993645001</v>
      </c>
      <c r="F381" s="28" t="s">
        <v>90</v>
      </c>
      <c r="G381" s="28" t="s">
        <v>769</v>
      </c>
      <c r="H381" s="28">
        <v>68.599999999999994</v>
      </c>
      <c r="I381" s="28" t="s">
        <v>11</v>
      </c>
    </row>
    <row r="382" spans="1:9" x14ac:dyDescent="0.25">
      <c r="A382" s="28">
        <v>15</v>
      </c>
      <c r="B382" s="28">
        <v>41891142</v>
      </c>
      <c r="C382" s="28" t="s">
        <v>798</v>
      </c>
      <c r="D382" s="28" t="s">
        <v>799</v>
      </c>
      <c r="E382" s="28">
        <v>943873493</v>
      </c>
      <c r="F382" s="28" t="s">
        <v>90</v>
      </c>
      <c r="G382" s="28" t="s">
        <v>769</v>
      </c>
      <c r="H382" s="28">
        <v>67.400000000000006</v>
      </c>
      <c r="I382" s="28" t="s">
        <v>11</v>
      </c>
    </row>
    <row r="383" spans="1:9" x14ac:dyDescent="0.25">
      <c r="A383" s="28">
        <v>16</v>
      </c>
      <c r="B383" s="28">
        <v>75397174</v>
      </c>
      <c r="C383" s="28" t="s">
        <v>800</v>
      </c>
      <c r="D383" s="28" t="s">
        <v>801</v>
      </c>
      <c r="E383" s="28">
        <v>962072750</v>
      </c>
      <c r="F383" s="28" t="s">
        <v>90</v>
      </c>
      <c r="G383" s="28" t="s">
        <v>769</v>
      </c>
      <c r="H383" s="28">
        <v>66</v>
      </c>
      <c r="I383" s="28" t="s">
        <v>11</v>
      </c>
    </row>
    <row r="384" spans="1:9" x14ac:dyDescent="0.25">
      <c r="A384" s="28">
        <v>17</v>
      </c>
      <c r="B384" s="28">
        <v>16688080</v>
      </c>
      <c r="C384" s="28" t="s">
        <v>802</v>
      </c>
      <c r="D384" s="28" t="s">
        <v>803</v>
      </c>
      <c r="E384" s="28">
        <v>946922965</v>
      </c>
      <c r="F384" s="28" t="s">
        <v>90</v>
      </c>
      <c r="G384" s="28" t="s">
        <v>769</v>
      </c>
      <c r="H384" s="28">
        <v>54</v>
      </c>
      <c r="I384" s="28" t="s">
        <v>11</v>
      </c>
    </row>
    <row r="385" spans="1:9" x14ac:dyDescent="0.25">
      <c r="A385" s="28">
        <v>18</v>
      </c>
      <c r="B385" s="28">
        <v>70822466</v>
      </c>
      <c r="C385" s="28" t="s">
        <v>804</v>
      </c>
      <c r="D385" s="28" t="s">
        <v>805</v>
      </c>
      <c r="E385" s="28">
        <v>930151853</v>
      </c>
      <c r="F385" s="28" t="s">
        <v>90</v>
      </c>
      <c r="G385" s="28" t="s">
        <v>769</v>
      </c>
      <c r="H385" s="28">
        <v>48.9</v>
      </c>
      <c r="I385" s="28" t="s">
        <v>11</v>
      </c>
    </row>
    <row r="386" spans="1:9" x14ac:dyDescent="0.25">
      <c r="A386" s="28">
        <v>19</v>
      </c>
      <c r="B386" s="29">
        <v>47825525</v>
      </c>
      <c r="C386" s="29" t="s">
        <v>806</v>
      </c>
      <c r="D386" s="29" t="s">
        <v>807</v>
      </c>
      <c r="E386" s="29">
        <v>947521209</v>
      </c>
      <c r="F386" s="29" t="s">
        <v>90</v>
      </c>
      <c r="G386" s="29" t="s">
        <v>769</v>
      </c>
      <c r="H386" s="29">
        <v>4.5999999999999996</v>
      </c>
      <c r="I386" s="29" t="s">
        <v>50</v>
      </c>
    </row>
    <row r="387" spans="1:9" x14ac:dyDescent="0.25">
      <c r="A387" s="28">
        <v>20</v>
      </c>
      <c r="B387" s="29">
        <v>47406981</v>
      </c>
      <c r="C387" s="29" t="s">
        <v>808</v>
      </c>
      <c r="D387" s="29" t="s">
        <v>809</v>
      </c>
      <c r="E387" s="29">
        <v>989935201</v>
      </c>
      <c r="F387" s="29" t="s">
        <v>90</v>
      </c>
      <c r="G387" s="29" t="s">
        <v>769</v>
      </c>
      <c r="H387" s="29">
        <v>4.2</v>
      </c>
      <c r="I387" s="29" t="s">
        <v>50</v>
      </c>
    </row>
    <row r="388" spans="1:9" x14ac:dyDescent="0.25">
      <c r="A388" s="6">
        <v>1</v>
      </c>
      <c r="B388" s="6">
        <v>16694733</v>
      </c>
      <c r="C388" s="6" t="s">
        <v>174</v>
      </c>
      <c r="D388" s="6" t="s">
        <v>175</v>
      </c>
      <c r="E388" s="6">
        <v>939815572</v>
      </c>
      <c r="F388" s="6" t="s">
        <v>90</v>
      </c>
      <c r="G388" s="6" t="s">
        <v>176</v>
      </c>
      <c r="H388" s="6">
        <v>83.1</v>
      </c>
      <c r="I388" s="6" t="s">
        <v>11</v>
      </c>
    </row>
    <row r="389" spans="1:9" x14ac:dyDescent="0.25">
      <c r="A389" s="6">
        <v>2</v>
      </c>
      <c r="B389" s="6">
        <v>74226566</v>
      </c>
      <c r="C389" s="6" t="s">
        <v>177</v>
      </c>
      <c r="D389" s="6" t="s">
        <v>178</v>
      </c>
      <c r="E389" s="6">
        <v>989866778</v>
      </c>
      <c r="F389" s="6" t="s">
        <v>90</v>
      </c>
      <c r="G389" s="6" t="s">
        <v>176</v>
      </c>
      <c r="H389" s="6">
        <v>78.2</v>
      </c>
      <c r="I389" s="6" t="s">
        <v>11</v>
      </c>
    </row>
    <row r="390" spans="1:9" x14ac:dyDescent="0.25">
      <c r="A390" s="6">
        <v>3</v>
      </c>
      <c r="B390" s="6">
        <v>75357455</v>
      </c>
      <c r="C390" s="6" t="s">
        <v>179</v>
      </c>
      <c r="D390" s="6" t="s">
        <v>180</v>
      </c>
      <c r="E390" s="6">
        <v>928720337</v>
      </c>
      <c r="F390" s="6" t="s">
        <v>90</v>
      </c>
      <c r="G390" s="6" t="s">
        <v>176</v>
      </c>
      <c r="H390" s="6">
        <v>77</v>
      </c>
      <c r="I390" s="6" t="s">
        <v>11</v>
      </c>
    </row>
    <row r="391" spans="1:9" x14ac:dyDescent="0.25">
      <c r="A391" s="6">
        <v>4</v>
      </c>
      <c r="B391" s="6">
        <v>75822747</v>
      </c>
      <c r="C391" s="6" t="s">
        <v>181</v>
      </c>
      <c r="D391" s="6" t="s">
        <v>182</v>
      </c>
      <c r="E391" s="6">
        <v>972930955</v>
      </c>
      <c r="F391" s="6" t="s">
        <v>90</v>
      </c>
      <c r="G391" s="6" t="s">
        <v>176</v>
      </c>
      <c r="H391" s="6">
        <v>76.3</v>
      </c>
      <c r="I391" s="6" t="s">
        <v>11</v>
      </c>
    </row>
    <row r="392" spans="1:9" x14ac:dyDescent="0.25">
      <c r="A392" s="6">
        <v>5</v>
      </c>
      <c r="B392" s="6">
        <v>77148412</v>
      </c>
      <c r="C392" s="6" t="s">
        <v>183</v>
      </c>
      <c r="D392" s="6" t="s">
        <v>184</v>
      </c>
      <c r="E392" s="6">
        <v>966693463</v>
      </c>
      <c r="F392" s="6" t="s">
        <v>90</v>
      </c>
      <c r="G392" s="6" t="s">
        <v>176</v>
      </c>
      <c r="H392" s="6">
        <v>75</v>
      </c>
      <c r="I392" s="6" t="s">
        <v>11</v>
      </c>
    </row>
    <row r="393" spans="1:9" x14ac:dyDescent="0.25">
      <c r="A393" s="6">
        <v>6</v>
      </c>
      <c r="B393" s="6">
        <v>74243164</v>
      </c>
      <c r="C393" s="6" t="s">
        <v>185</v>
      </c>
      <c r="D393" s="6" t="s">
        <v>186</v>
      </c>
      <c r="E393" s="6">
        <v>954546987</v>
      </c>
      <c r="F393" s="6" t="s">
        <v>90</v>
      </c>
      <c r="G393" s="6" t="s">
        <v>176</v>
      </c>
      <c r="H393" s="6">
        <v>71.8</v>
      </c>
      <c r="I393" s="6" t="s">
        <v>11</v>
      </c>
    </row>
    <row r="394" spans="1:9" x14ac:dyDescent="0.25">
      <c r="A394" s="6">
        <v>7</v>
      </c>
      <c r="B394" s="6">
        <v>47571093</v>
      </c>
      <c r="C394" s="6" t="s">
        <v>187</v>
      </c>
      <c r="D394" s="6" t="s">
        <v>188</v>
      </c>
      <c r="E394" s="6">
        <v>949747028</v>
      </c>
      <c r="F394" s="6" t="s">
        <v>90</v>
      </c>
      <c r="G394" s="6" t="s">
        <v>176</v>
      </c>
      <c r="H394" s="6">
        <v>71.5</v>
      </c>
      <c r="I394" s="6" t="s">
        <v>11</v>
      </c>
    </row>
    <row r="395" spans="1:9" x14ac:dyDescent="0.25">
      <c r="A395" s="6">
        <v>8</v>
      </c>
      <c r="B395" s="6">
        <v>40472061</v>
      </c>
      <c r="C395" s="6" t="s">
        <v>189</v>
      </c>
      <c r="D395" s="6" t="s">
        <v>190</v>
      </c>
      <c r="E395" s="6">
        <v>956749492</v>
      </c>
      <c r="F395" s="6" t="s">
        <v>90</v>
      </c>
      <c r="G395" s="6" t="s">
        <v>176</v>
      </c>
      <c r="H395" s="6">
        <v>69.7</v>
      </c>
      <c r="I395" s="6" t="s">
        <v>11</v>
      </c>
    </row>
    <row r="396" spans="1:9" x14ac:dyDescent="0.25">
      <c r="A396" s="6">
        <v>9</v>
      </c>
      <c r="B396" s="6">
        <v>45674376</v>
      </c>
      <c r="C396" s="6" t="s">
        <v>191</v>
      </c>
      <c r="D396" s="6" t="s">
        <v>192</v>
      </c>
      <c r="E396" s="6">
        <v>929304528</v>
      </c>
      <c r="F396" s="6" t="s">
        <v>90</v>
      </c>
      <c r="G396" s="6" t="s">
        <v>176</v>
      </c>
      <c r="H396" s="6">
        <v>69.3</v>
      </c>
      <c r="I396" s="6" t="s">
        <v>11</v>
      </c>
    </row>
    <row r="397" spans="1:9" x14ac:dyDescent="0.25">
      <c r="A397" s="6">
        <v>10</v>
      </c>
      <c r="B397" s="6">
        <v>75209895</v>
      </c>
      <c r="C397" s="6" t="s">
        <v>193</v>
      </c>
      <c r="D397" s="6" t="s">
        <v>194</v>
      </c>
      <c r="E397" s="6">
        <v>963923481</v>
      </c>
      <c r="F397" s="6" t="s">
        <v>90</v>
      </c>
      <c r="G397" s="6" t="s">
        <v>176</v>
      </c>
      <c r="H397" s="6">
        <v>69</v>
      </c>
      <c r="I397" s="6" t="s">
        <v>11</v>
      </c>
    </row>
    <row r="398" spans="1:9" x14ac:dyDescent="0.25">
      <c r="A398" s="6">
        <v>11</v>
      </c>
      <c r="B398" s="6">
        <v>43871941</v>
      </c>
      <c r="C398" s="6" t="s">
        <v>195</v>
      </c>
      <c r="D398" s="6" t="s">
        <v>196</v>
      </c>
      <c r="E398" s="6">
        <v>953165306</v>
      </c>
      <c r="F398" s="6" t="s">
        <v>90</v>
      </c>
      <c r="G398" s="6" t="s">
        <v>176</v>
      </c>
      <c r="H398" s="6">
        <v>68.3</v>
      </c>
      <c r="I398" s="6" t="s">
        <v>11</v>
      </c>
    </row>
    <row r="399" spans="1:9" x14ac:dyDescent="0.25">
      <c r="A399" s="6">
        <v>12</v>
      </c>
      <c r="B399" s="6">
        <v>16742508</v>
      </c>
      <c r="C399" s="6" t="s">
        <v>197</v>
      </c>
      <c r="D399" s="6" t="s">
        <v>198</v>
      </c>
      <c r="E399" s="6">
        <v>990676586</v>
      </c>
      <c r="F399" s="6" t="s">
        <v>90</v>
      </c>
      <c r="G399" s="6" t="s">
        <v>176</v>
      </c>
      <c r="H399" s="6">
        <v>67.5</v>
      </c>
      <c r="I399" s="6" t="s">
        <v>11</v>
      </c>
    </row>
    <row r="400" spans="1:9" x14ac:dyDescent="0.25">
      <c r="A400" s="6">
        <v>13</v>
      </c>
      <c r="B400" s="6">
        <v>17614550</v>
      </c>
      <c r="C400" s="6" t="s">
        <v>199</v>
      </c>
      <c r="D400" s="6" t="s">
        <v>200</v>
      </c>
      <c r="E400" s="6">
        <v>978032851</v>
      </c>
      <c r="F400" s="6" t="s">
        <v>90</v>
      </c>
      <c r="G400" s="6" t="s">
        <v>176</v>
      </c>
      <c r="H400" s="6">
        <v>66.400000000000006</v>
      </c>
      <c r="I400" s="6" t="s">
        <v>11</v>
      </c>
    </row>
    <row r="401" spans="1:9" x14ac:dyDescent="0.25">
      <c r="A401" s="6">
        <v>14</v>
      </c>
      <c r="B401" s="6">
        <v>72023858</v>
      </c>
      <c r="C401" s="6" t="s">
        <v>201</v>
      </c>
      <c r="D401" s="6" t="s">
        <v>202</v>
      </c>
      <c r="E401" s="6">
        <v>965346380</v>
      </c>
      <c r="F401" s="6" t="s">
        <v>90</v>
      </c>
      <c r="G401" s="6" t="s">
        <v>176</v>
      </c>
      <c r="H401" s="6">
        <v>65.7</v>
      </c>
      <c r="I401" s="6" t="s">
        <v>11</v>
      </c>
    </row>
    <row r="402" spans="1:9" x14ac:dyDescent="0.25">
      <c r="A402" s="6">
        <v>15</v>
      </c>
      <c r="B402" s="6">
        <v>16672714</v>
      </c>
      <c r="C402" s="6" t="s">
        <v>203</v>
      </c>
      <c r="D402" s="6" t="s">
        <v>204</v>
      </c>
      <c r="E402" s="6">
        <v>979724416</v>
      </c>
      <c r="F402" s="6" t="s">
        <v>90</v>
      </c>
      <c r="G402" s="6" t="s">
        <v>176</v>
      </c>
      <c r="H402" s="6">
        <v>65</v>
      </c>
      <c r="I402" s="6" t="s">
        <v>11</v>
      </c>
    </row>
    <row r="403" spans="1:9" x14ac:dyDescent="0.25">
      <c r="A403" s="6">
        <v>16</v>
      </c>
      <c r="B403" s="6">
        <v>40564490</v>
      </c>
      <c r="C403" s="6" t="s">
        <v>205</v>
      </c>
      <c r="D403" s="6" t="s">
        <v>206</v>
      </c>
      <c r="E403" s="6">
        <v>954573441</v>
      </c>
      <c r="F403" s="6" t="s">
        <v>90</v>
      </c>
      <c r="G403" s="6" t="s">
        <v>176</v>
      </c>
      <c r="H403" s="6">
        <v>63.8</v>
      </c>
      <c r="I403" s="6" t="s">
        <v>11</v>
      </c>
    </row>
    <row r="404" spans="1:9" x14ac:dyDescent="0.25">
      <c r="A404" s="6">
        <v>17</v>
      </c>
      <c r="B404" s="6">
        <v>72931068</v>
      </c>
      <c r="C404" s="6" t="s">
        <v>207</v>
      </c>
      <c r="D404" s="6" t="s">
        <v>208</v>
      </c>
      <c r="E404" s="6">
        <v>943747988</v>
      </c>
      <c r="F404" s="6" t="s">
        <v>90</v>
      </c>
      <c r="G404" s="6" t="s">
        <v>176</v>
      </c>
      <c r="H404" s="6">
        <v>62.3</v>
      </c>
      <c r="I404" s="6" t="s">
        <v>11</v>
      </c>
    </row>
    <row r="405" spans="1:9" x14ac:dyDescent="0.25">
      <c r="A405" s="6">
        <v>18</v>
      </c>
      <c r="B405" s="6">
        <v>47366638</v>
      </c>
      <c r="C405" s="6" t="s">
        <v>209</v>
      </c>
      <c r="D405" s="6" t="s">
        <v>210</v>
      </c>
      <c r="E405" s="6">
        <v>949255581</v>
      </c>
      <c r="F405" s="6" t="s">
        <v>90</v>
      </c>
      <c r="G405" s="6" t="s">
        <v>176</v>
      </c>
      <c r="H405" s="6">
        <v>61.5</v>
      </c>
      <c r="I405" s="6" t="s">
        <v>11</v>
      </c>
    </row>
    <row r="406" spans="1:9" x14ac:dyDescent="0.25">
      <c r="A406" s="6">
        <v>19</v>
      </c>
      <c r="B406" s="6">
        <v>70040696</v>
      </c>
      <c r="C406" s="6" t="s">
        <v>211</v>
      </c>
      <c r="D406" s="6" t="s">
        <v>212</v>
      </c>
      <c r="E406" s="6">
        <v>976125167</v>
      </c>
      <c r="F406" s="6" t="s">
        <v>90</v>
      </c>
      <c r="G406" s="6" t="s">
        <v>176</v>
      </c>
      <c r="H406" s="6">
        <v>61</v>
      </c>
      <c r="I406" s="6" t="s">
        <v>11</v>
      </c>
    </row>
    <row r="407" spans="1:9" x14ac:dyDescent="0.25">
      <c r="A407" s="6">
        <v>20</v>
      </c>
      <c r="B407" s="6">
        <v>47368239</v>
      </c>
      <c r="C407" s="6" t="s">
        <v>213</v>
      </c>
      <c r="D407" s="6" t="s">
        <v>214</v>
      </c>
      <c r="E407" s="6">
        <v>994149180</v>
      </c>
      <c r="F407" s="6" t="s">
        <v>90</v>
      </c>
      <c r="G407" s="6" t="s">
        <v>176</v>
      </c>
      <c r="H407" s="6">
        <v>60.7</v>
      </c>
      <c r="I407" s="6" t="s">
        <v>11</v>
      </c>
    </row>
    <row r="408" spans="1:9" x14ac:dyDescent="0.25">
      <c r="A408" s="6">
        <v>21</v>
      </c>
      <c r="B408" s="6">
        <v>75765882</v>
      </c>
      <c r="C408" s="6" t="s">
        <v>215</v>
      </c>
      <c r="D408" s="6" t="s">
        <v>216</v>
      </c>
      <c r="E408" s="6">
        <v>930162153</v>
      </c>
      <c r="F408" s="6" t="s">
        <v>90</v>
      </c>
      <c r="G408" s="6" t="s">
        <v>176</v>
      </c>
      <c r="H408" s="6">
        <v>58.7</v>
      </c>
      <c r="I408" s="6" t="s">
        <v>11</v>
      </c>
    </row>
    <row r="409" spans="1:9" x14ac:dyDescent="0.25">
      <c r="A409" s="6">
        <v>22</v>
      </c>
      <c r="B409" s="7">
        <v>72842637</v>
      </c>
      <c r="C409" s="7" t="s">
        <v>217</v>
      </c>
      <c r="D409" s="7" t="s">
        <v>218</v>
      </c>
      <c r="E409" s="7">
        <v>979261628</v>
      </c>
      <c r="F409" s="7" t="s">
        <v>90</v>
      </c>
      <c r="G409" s="7" t="s">
        <v>176</v>
      </c>
      <c r="H409" s="7">
        <v>7</v>
      </c>
      <c r="I409" s="7" t="s">
        <v>50</v>
      </c>
    </row>
    <row r="410" spans="1:9" x14ac:dyDescent="0.25">
      <c r="A410" s="6">
        <v>23</v>
      </c>
      <c r="B410" s="7">
        <v>73011536</v>
      </c>
      <c r="C410" s="7" t="s">
        <v>219</v>
      </c>
      <c r="D410" s="7" t="s">
        <v>220</v>
      </c>
      <c r="E410" s="7">
        <v>956670863</v>
      </c>
      <c r="F410" s="7" t="s">
        <v>90</v>
      </c>
      <c r="G410" s="7" t="s">
        <v>176</v>
      </c>
      <c r="H410" s="7">
        <v>5</v>
      </c>
      <c r="I410" s="7" t="s">
        <v>50</v>
      </c>
    </row>
  </sheetData>
  <sortState ref="A2:I103">
    <sortCondition ref="G2:G103"/>
    <sortCondition ref="I2:I103"/>
    <sortCondition descending="1" ref="H2:H103"/>
    <sortCondition ref="C2:C103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1D84B-558F-4BEE-BD11-1B05A5204FA9}">
  <dimension ref="A1:O383"/>
  <sheetViews>
    <sheetView topLeftCell="I272" zoomScale="130" zoomScaleNormal="130" workbookViewId="0">
      <selection activeCell="M287" sqref="M287"/>
    </sheetView>
  </sheetViews>
  <sheetFormatPr baseColWidth="10" defaultRowHeight="15" x14ac:dyDescent="0.25"/>
  <cols>
    <col min="1" max="1" width="5" bestFit="1" customWidth="1"/>
    <col min="2" max="2" width="5" customWidth="1"/>
    <col min="3" max="3" width="9.85546875" bestFit="1" customWidth="1"/>
    <col min="4" max="4" width="37.85546875" bestFit="1" customWidth="1"/>
    <col min="5" max="5" width="37.85546875" customWidth="1"/>
    <col min="6" max="6" width="16.28515625" bestFit="1" customWidth="1"/>
    <col min="7" max="7" width="14.5703125" bestFit="1" customWidth="1"/>
    <col min="8" max="8" width="37.85546875" customWidth="1"/>
    <col min="9" max="9" width="36.140625" bestFit="1" customWidth="1"/>
    <col min="10" max="10" width="36.140625" customWidth="1"/>
    <col min="11" max="11" width="10.85546875" bestFit="1" customWidth="1"/>
    <col min="12" max="12" width="35.7109375" bestFit="1" customWidth="1"/>
    <col min="13" max="13" width="45.42578125" customWidth="1"/>
    <col min="14" max="14" width="11.7109375" bestFit="1" customWidth="1"/>
    <col min="15" max="15" width="21.85546875" bestFit="1" customWidth="1"/>
  </cols>
  <sheetData>
    <row r="1" spans="1:15" x14ac:dyDescent="0.25">
      <c r="A1" s="2" t="s">
        <v>852</v>
      </c>
      <c r="B1" s="31" t="s">
        <v>2103</v>
      </c>
      <c r="C1" s="2" t="s">
        <v>0</v>
      </c>
      <c r="D1" s="2" t="s">
        <v>1</v>
      </c>
      <c r="E1" s="31" t="s">
        <v>2102</v>
      </c>
      <c r="F1" s="31" t="s">
        <v>854</v>
      </c>
      <c r="G1" s="31" t="s">
        <v>855</v>
      </c>
      <c r="H1" s="31" t="s">
        <v>856</v>
      </c>
      <c r="I1" s="2" t="s">
        <v>2</v>
      </c>
      <c r="J1" s="31" t="s">
        <v>853</v>
      </c>
      <c r="K1" s="2" t="s">
        <v>851</v>
      </c>
      <c r="L1" s="2" t="s">
        <v>3</v>
      </c>
      <c r="M1" s="2" t="s">
        <v>4</v>
      </c>
      <c r="N1" s="2" t="s">
        <v>5</v>
      </c>
      <c r="O1" s="2" t="s">
        <v>6</v>
      </c>
    </row>
    <row r="2" spans="1:15" x14ac:dyDescent="0.25">
      <c r="A2" s="4">
        <v>1</v>
      </c>
      <c r="B2" s="33" t="s">
        <v>1719</v>
      </c>
      <c r="C2" s="4">
        <v>75363208</v>
      </c>
      <c r="D2" s="4" t="s">
        <v>133</v>
      </c>
      <c r="E2" s="4" t="s">
        <v>1720</v>
      </c>
      <c r="F2" s="4" t="s">
        <v>857</v>
      </c>
      <c r="G2" s="4" t="s">
        <v>858</v>
      </c>
      <c r="H2" s="4" t="s">
        <v>1301</v>
      </c>
      <c r="I2" s="4" t="s">
        <v>134</v>
      </c>
      <c r="J2" s="34" t="s">
        <v>2104</v>
      </c>
      <c r="K2" s="4">
        <v>955850651</v>
      </c>
      <c r="L2" s="4" t="s">
        <v>90</v>
      </c>
      <c r="M2" s="4" t="s">
        <v>135</v>
      </c>
      <c r="N2" s="4">
        <v>80.5</v>
      </c>
      <c r="O2" s="4" t="s">
        <v>11</v>
      </c>
    </row>
    <row r="3" spans="1:15" x14ac:dyDescent="0.25">
      <c r="A3" s="4">
        <v>2</v>
      </c>
      <c r="B3" s="33" t="s">
        <v>1719</v>
      </c>
      <c r="C3" s="4">
        <v>44666269</v>
      </c>
      <c r="D3" s="4" t="s">
        <v>136</v>
      </c>
      <c r="E3" s="4" t="s">
        <v>1721</v>
      </c>
      <c r="F3" s="4" t="s">
        <v>859</v>
      </c>
      <c r="G3" s="4" t="s">
        <v>860</v>
      </c>
      <c r="H3" s="4" t="s">
        <v>1302</v>
      </c>
      <c r="I3" s="4" t="s">
        <v>137</v>
      </c>
      <c r="J3" s="34" t="s">
        <v>2104</v>
      </c>
      <c r="K3" s="4">
        <v>926186587</v>
      </c>
      <c r="L3" s="4" t="s">
        <v>90</v>
      </c>
      <c r="M3" s="4" t="s">
        <v>135</v>
      </c>
      <c r="N3" s="4">
        <v>74.5</v>
      </c>
      <c r="O3" s="4" t="s">
        <v>11</v>
      </c>
    </row>
    <row r="4" spans="1:15" x14ac:dyDescent="0.25">
      <c r="A4" s="4">
        <v>3</v>
      </c>
      <c r="B4" s="33" t="s">
        <v>1719</v>
      </c>
      <c r="C4" s="4">
        <v>71491689</v>
      </c>
      <c r="D4" s="4" t="s">
        <v>138</v>
      </c>
      <c r="E4" s="4" t="s">
        <v>1722</v>
      </c>
      <c r="F4" s="4" t="s">
        <v>861</v>
      </c>
      <c r="G4" s="4" t="s">
        <v>862</v>
      </c>
      <c r="H4" s="4" t="s">
        <v>1303</v>
      </c>
      <c r="I4" s="4" t="s">
        <v>139</v>
      </c>
      <c r="J4" s="34" t="s">
        <v>2104</v>
      </c>
      <c r="K4" s="4">
        <v>968750910</v>
      </c>
      <c r="L4" s="4" t="s">
        <v>90</v>
      </c>
      <c r="M4" s="4" t="s">
        <v>135</v>
      </c>
      <c r="N4" s="4">
        <v>74</v>
      </c>
      <c r="O4" s="4" t="s">
        <v>11</v>
      </c>
    </row>
    <row r="5" spans="1:15" x14ac:dyDescent="0.25">
      <c r="A5" s="4">
        <v>4</v>
      </c>
      <c r="B5" s="33" t="s">
        <v>1719</v>
      </c>
      <c r="C5" s="4">
        <v>73462669</v>
      </c>
      <c r="D5" s="4" t="s">
        <v>140</v>
      </c>
      <c r="E5" s="4" t="s">
        <v>1723</v>
      </c>
      <c r="F5" s="4" t="s">
        <v>864</v>
      </c>
      <c r="G5" s="4" t="s">
        <v>865</v>
      </c>
      <c r="H5" s="4" t="s">
        <v>1304</v>
      </c>
      <c r="I5" s="4" t="s">
        <v>141</v>
      </c>
      <c r="J5" s="34" t="s">
        <v>2104</v>
      </c>
      <c r="K5" s="4">
        <v>975609988</v>
      </c>
      <c r="L5" s="4" t="s">
        <v>90</v>
      </c>
      <c r="M5" s="4" t="s">
        <v>135</v>
      </c>
      <c r="N5" s="4">
        <v>74</v>
      </c>
      <c r="O5" s="4" t="s">
        <v>11</v>
      </c>
    </row>
    <row r="6" spans="1:15" x14ac:dyDescent="0.25">
      <c r="A6" s="4">
        <v>5</v>
      </c>
      <c r="B6" s="33" t="s">
        <v>1719</v>
      </c>
      <c r="C6" s="4">
        <v>71396806</v>
      </c>
      <c r="D6" s="4" t="s">
        <v>142</v>
      </c>
      <c r="E6" s="4" t="s">
        <v>1724</v>
      </c>
      <c r="F6" s="4" t="s">
        <v>866</v>
      </c>
      <c r="G6" s="4" t="s">
        <v>867</v>
      </c>
      <c r="H6" s="4" t="s">
        <v>1305</v>
      </c>
      <c r="I6" s="4" t="s">
        <v>143</v>
      </c>
      <c r="J6" s="34" t="s">
        <v>2104</v>
      </c>
      <c r="K6" s="4">
        <v>972026173</v>
      </c>
      <c r="L6" s="4" t="s">
        <v>90</v>
      </c>
      <c r="M6" s="4" t="s">
        <v>135</v>
      </c>
      <c r="N6" s="4">
        <v>73.5</v>
      </c>
      <c r="O6" s="4" t="s">
        <v>11</v>
      </c>
    </row>
    <row r="7" spans="1:15" x14ac:dyDescent="0.25">
      <c r="A7" s="4">
        <v>6</v>
      </c>
      <c r="B7" s="33" t="s">
        <v>1719</v>
      </c>
      <c r="C7" s="4">
        <v>43111414</v>
      </c>
      <c r="D7" s="4" t="s">
        <v>144</v>
      </c>
      <c r="E7" s="4" t="s">
        <v>1725</v>
      </c>
      <c r="F7" s="4" t="s">
        <v>868</v>
      </c>
      <c r="G7" s="4" t="s">
        <v>869</v>
      </c>
      <c r="H7" s="4" t="s">
        <v>1306</v>
      </c>
      <c r="I7" s="4" t="s">
        <v>145</v>
      </c>
      <c r="J7" s="34" t="s">
        <v>2104</v>
      </c>
      <c r="K7" s="4">
        <v>939737207</v>
      </c>
      <c r="L7" s="4" t="s">
        <v>90</v>
      </c>
      <c r="M7" s="4" t="s">
        <v>135</v>
      </c>
      <c r="N7" s="4">
        <v>72.5</v>
      </c>
      <c r="O7" s="4" t="s">
        <v>11</v>
      </c>
    </row>
    <row r="8" spans="1:15" x14ac:dyDescent="0.25">
      <c r="A8" s="4">
        <v>7</v>
      </c>
      <c r="B8" s="33" t="s">
        <v>1719</v>
      </c>
      <c r="C8" s="4">
        <v>60258953</v>
      </c>
      <c r="D8" s="4" t="s">
        <v>146</v>
      </c>
      <c r="E8" s="4" t="s">
        <v>1726</v>
      </c>
      <c r="F8" s="4" t="s">
        <v>870</v>
      </c>
      <c r="G8" s="4" t="s">
        <v>871</v>
      </c>
      <c r="H8" s="4" t="s">
        <v>1307</v>
      </c>
      <c r="I8" s="4" t="s">
        <v>147</v>
      </c>
      <c r="J8" s="34" t="s">
        <v>2104</v>
      </c>
      <c r="K8" s="4">
        <v>990453660</v>
      </c>
      <c r="L8" s="4" t="s">
        <v>90</v>
      </c>
      <c r="M8" s="4" t="s">
        <v>135</v>
      </c>
      <c r="N8" s="4">
        <v>72.5</v>
      </c>
      <c r="O8" s="4" t="s">
        <v>11</v>
      </c>
    </row>
    <row r="9" spans="1:15" x14ac:dyDescent="0.25">
      <c r="A9" s="4">
        <v>8</v>
      </c>
      <c r="B9" s="33" t="s">
        <v>1719</v>
      </c>
      <c r="C9" s="4">
        <v>73025102</v>
      </c>
      <c r="D9" s="4" t="s">
        <v>148</v>
      </c>
      <c r="E9" s="4" t="s">
        <v>1727</v>
      </c>
      <c r="F9" s="4" t="s">
        <v>872</v>
      </c>
      <c r="G9" s="4" t="s">
        <v>873</v>
      </c>
      <c r="H9" s="4" t="s">
        <v>1308</v>
      </c>
      <c r="I9" s="4" t="s">
        <v>149</v>
      </c>
      <c r="J9" s="34" t="s">
        <v>2104</v>
      </c>
      <c r="K9" s="4">
        <v>963584802</v>
      </c>
      <c r="L9" s="4" t="s">
        <v>90</v>
      </c>
      <c r="M9" s="4" t="s">
        <v>135</v>
      </c>
      <c r="N9" s="4">
        <v>72.5</v>
      </c>
      <c r="O9" s="4" t="s">
        <v>11</v>
      </c>
    </row>
    <row r="10" spans="1:15" x14ac:dyDescent="0.25">
      <c r="A10" s="4">
        <v>9</v>
      </c>
      <c r="B10" s="33" t="s">
        <v>1719</v>
      </c>
      <c r="C10" s="4">
        <v>75720372</v>
      </c>
      <c r="D10" s="4" t="s">
        <v>150</v>
      </c>
      <c r="E10" s="4" t="s">
        <v>1728</v>
      </c>
      <c r="F10" s="4" t="s">
        <v>874</v>
      </c>
      <c r="G10" s="4" t="s">
        <v>875</v>
      </c>
      <c r="H10" s="4" t="s">
        <v>1309</v>
      </c>
      <c r="I10" s="4" t="s">
        <v>151</v>
      </c>
      <c r="J10" s="34" t="s">
        <v>2104</v>
      </c>
      <c r="K10" s="4">
        <v>941361826</v>
      </c>
      <c r="L10" s="4" t="s">
        <v>90</v>
      </c>
      <c r="M10" s="4" t="s">
        <v>135</v>
      </c>
      <c r="N10" s="4">
        <v>72</v>
      </c>
      <c r="O10" s="4" t="s">
        <v>11</v>
      </c>
    </row>
    <row r="11" spans="1:15" x14ac:dyDescent="0.25">
      <c r="A11" s="4">
        <v>10</v>
      </c>
      <c r="B11" s="33" t="s">
        <v>1719</v>
      </c>
      <c r="C11" s="4">
        <v>46135037</v>
      </c>
      <c r="D11" s="4" t="s">
        <v>152</v>
      </c>
      <c r="E11" s="4" t="s">
        <v>1729</v>
      </c>
      <c r="F11" s="4" t="s">
        <v>876</v>
      </c>
      <c r="G11" s="4" t="s">
        <v>877</v>
      </c>
      <c r="H11" s="4" t="s">
        <v>1310</v>
      </c>
      <c r="I11" s="4" t="s">
        <v>153</v>
      </c>
      <c r="J11" s="34" t="s">
        <v>2104</v>
      </c>
      <c r="K11" s="4">
        <v>918313510</v>
      </c>
      <c r="L11" s="4" t="s">
        <v>90</v>
      </c>
      <c r="M11" s="4" t="s">
        <v>135</v>
      </c>
      <c r="N11" s="4">
        <v>70</v>
      </c>
      <c r="O11" s="4" t="s">
        <v>11</v>
      </c>
    </row>
    <row r="12" spans="1:15" x14ac:dyDescent="0.25">
      <c r="A12" s="4">
        <v>11</v>
      </c>
      <c r="B12" s="33" t="s">
        <v>1719</v>
      </c>
      <c r="C12" s="4">
        <v>48199611</v>
      </c>
      <c r="D12" s="4" t="s">
        <v>154</v>
      </c>
      <c r="E12" s="4" t="s">
        <v>1730</v>
      </c>
      <c r="F12" s="4" t="s">
        <v>878</v>
      </c>
      <c r="G12" s="4" t="s">
        <v>878</v>
      </c>
      <c r="H12" s="4" t="s">
        <v>1311</v>
      </c>
      <c r="I12" s="4" t="s">
        <v>155</v>
      </c>
      <c r="J12" s="34" t="s">
        <v>2104</v>
      </c>
      <c r="K12" s="4">
        <v>925882492</v>
      </c>
      <c r="L12" s="4" t="s">
        <v>90</v>
      </c>
      <c r="M12" s="4" t="s">
        <v>135</v>
      </c>
      <c r="N12" s="4">
        <v>68.5</v>
      </c>
      <c r="O12" s="4" t="s">
        <v>11</v>
      </c>
    </row>
    <row r="13" spans="1:15" x14ac:dyDescent="0.25">
      <c r="A13" s="4">
        <v>12</v>
      </c>
      <c r="B13" s="33" t="s">
        <v>1719</v>
      </c>
      <c r="C13" s="4">
        <v>73514125</v>
      </c>
      <c r="D13" s="4" t="s">
        <v>156</v>
      </c>
      <c r="E13" s="4" t="s">
        <v>1731</v>
      </c>
      <c r="F13" s="4" t="s">
        <v>1298</v>
      </c>
      <c r="G13" s="4" t="s">
        <v>1298</v>
      </c>
      <c r="H13" s="4" t="s">
        <v>1312</v>
      </c>
      <c r="I13" s="4" t="s">
        <v>157</v>
      </c>
      <c r="J13" s="34" t="s">
        <v>2104</v>
      </c>
      <c r="K13" s="4">
        <v>973854830</v>
      </c>
      <c r="L13" s="4" t="s">
        <v>90</v>
      </c>
      <c r="M13" s="4" t="s">
        <v>135</v>
      </c>
      <c r="N13" s="4">
        <v>67.5</v>
      </c>
      <c r="O13" s="4" t="s">
        <v>11</v>
      </c>
    </row>
    <row r="14" spans="1:15" x14ac:dyDescent="0.25">
      <c r="A14" s="4">
        <v>13</v>
      </c>
      <c r="B14" s="33" t="s">
        <v>1719</v>
      </c>
      <c r="C14" s="4">
        <v>43774455</v>
      </c>
      <c r="D14" s="4" t="s">
        <v>158</v>
      </c>
      <c r="E14" s="4" t="s">
        <v>1732</v>
      </c>
      <c r="F14" s="4" t="s">
        <v>880</v>
      </c>
      <c r="G14" s="4" t="s">
        <v>881</v>
      </c>
      <c r="H14" s="4" t="s">
        <v>1313</v>
      </c>
      <c r="I14" s="4" t="s">
        <v>159</v>
      </c>
      <c r="J14" s="34" t="s">
        <v>2104</v>
      </c>
      <c r="K14" s="4">
        <v>938289726</v>
      </c>
      <c r="L14" s="4" t="s">
        <v>90</v>
      </c>
      <c r="M14" s="4" t="s">
        <v>135</v>
      </c>
      <c r="N14" s="4">
        <v>66.5</v>
      </c>
      <c r="O14" s="4" t="s">
        <v>11</v>
      </c>
    </row>
    <row r="15" spans="1:15" x14ac:dyDescent="0.25">
      <c r="A15" s="4">
        <v>14</v>
      </c>
      <c r="B15" s="33" t="s">
        <v>1719</v>
      </c>
      <c r="C15" s="4">
        <v>29542684</v>
      </c>
      <c r="D15" s="4" t="s">
        <v>160</v>
      </c>
      <c r="E15" s="4" t="s">
        <v>1733</v>
      </c>
      <c r="F15" s="4" t="s">
        <v>882</v>
      </c>
      <c r="G15" s="4" t="s">
        <v>883</v>
      </c>
      <c r="H15" s="4" t="s">
        <v>1314</v>
      </c>
      <c r="I15" s="4" t="s">
        <v>161</v>
      </c>
      <c r="J15" s="34" t="s">
        <v>2104</v>
      </c>
      <c r="K15" s="4">
        <v>971168300</v>
      </c>
      <c r="L15" s="4" t="s">
        <v>90</v>
      </c>
      <c r="M15" s="4" t="s">
        <v>135</v>
      </c>
      <c r="N15" s="4">
        <v>65.5</v>
      </c>
      <c r="O15" s="4" t="s">
        <v>11</v>
      </c>
    </row>
    <row r="16" spans="1:15" x14ac:dyDescent="0.25">
      <c r="A16" s="4">
        <v>15</v>
      </c>
      <c r="B16" s="33" t="s">
        <v>1719</v>
      </c>
      <c r="C16" s="4">
        <v>72841146</v>
      </c>
      <c r="D16" s="4" t="s">
        <v>162</v>
      </c>
      <c r="E16" s="4" t="s">
        <v>1734</v>
      </c>
      <c r="F16" s="4" t="s">
        <v>884</v>
      </c>
      <c r="G16" s="4" t="s">
        <v>859</v>
      </c>
      <c r="H16" s="4" t="s">
        <v>1315</v>
      </c>
      <c r="I16" s="4" t="s">
        <v>163</v>
      </c>
      <c r="J16" s="34" t="s">
        <v>2104</v>
      </c>
      <c r="K16" s="4">
        <v>964522597</v>
      </c>
      <c r="L16" s="4" t="s">
        <v>90</v>
      </c>
      <c r="M16" s="4" t="s">
        <v>135</v>
      </c>
      <c r="N16" s="4">
        <v>64.5</v>
      </c>
      <c r="O16" s="4" t="s">
        <v>11</v>
      </c>
    </row>
    <row r="17" spans="1:15" x14ac:dyDescent="0.25">
      <c r="A17" s="4">
        <v>16</v>
      </c>
      <c r="B17" s="33" t="s">
        <v>1719</v>
      </c>
      <c r="C17" s="4">
        <v>74212099</v>
      </c>
      <c r="D17" s="4" t="s">
        <v>164</v>
      </c>
      <c r="E17" s="4" t="s">
        <v>1735</v>
      </c>
      <c r="F17" s="4" t="s">
        <v>885</v>
      </c>
      <c r="G17" s="4" t="s">
        <v>886</v>
      </c>
      <c r="H17" s="4" t="s">
        <v>1316</v>
      </c>
      <c r="I17" s="4" t="s">
        <v>165</v>
      </c>
      <c r="J17" s="34" t="s">
        <v>2104</v>
      </c>
      <c r="K17" s="4">
        <v>913428467</v>
      </c>
      <c r="L17" s="4" t="s">
        <v>90</v>
      </c>
      <c r="M17" s="4" t="s">
        <v>135</v>
      </c>
      <c r="N17" s="4">
        <v>64.5</v>
      </c>
      <c r="O17" s="4" t="s">
        <v>11</v>
      </c>
    </row>
    <row r="18" spans="1:15" x14ac:dyDescent="0.25">
      <c r="A18" s="4">
        <v>17</v>
      </c>
      <c r="B18" s="33" t="s">
        <v>1719</v>
      </c>
      <c r="C18" s="4">
        <v>72740097</v>
      </c>
      <c r="D18" s="4" t="s">
        <v>166</v>
      </c>
      <c r="E18" s="4" t="s">
        <v>1736</v>
      </c>
      <c r="F18" s="4" t="s">
        <v>887</v>
      </c>
      <c r="G18" s="4" t="s">
        <v>888</v>
      </c>
      <c r="H18" s="4" t="s">
        <v>1317</v>
      </c>
      <c r="I18" s="4" t="s">
        <v>167</v>
      </c>
      <c r="J18" s="34" t="s">
        <v>2104</v>
      </c>
      <c r="K18" s="4">
        <v>977489076</v>
      </c>
      <c r="L18" s="4" t="s">
        <v>90</v>
      </c>
      <c r="M18" s="4" t="s">
        <v>135</v>
      </c>
      <c r="N18" s="4">
        <v>61</v>
      </c>
      <c r="O18" s="4" t="s">
        <v>11</v>
      </c>
    </row>
    <row r="19" spans="1:15" x14ac:dyDescent="0.25">
      <c r="A19" s="4">
        <v>18</v>
      </c>
      <c r="B19" s="33" t="s">
        <v>1719</v>
      </c>
      <c r="C19" s="4">
        <v>43636883</v>
      </c>
      <c r="D19" s="4" t="s">
        <v>168</v>
      </c>
      <c r="E19" s="4" t="s">
        <v>1737</v>
      </c>
      <c r="F19" s="4" t="s">
        <v>889</v>
      </c>
      <c r="G19" s="4" t="s">
        <v>890</v>
      </c>
      <c r="H19" s="4" t="s">
        <v>1318</v>
      </c>
      <c r="I19" s="4" t="s">
        <v>169</v>
      </c>
      <c r="J19" s="34" t="s">
        <v>2104</v>
      </c>
      <c r="K19" s="4">
        <v>979258187</v>
      </c>
      <c r="L19" s="4" t="s">
        <v>90</v>
      </c>
      <c r="M19" s="4" t="s">
        <v>135</v>
      </c>
      <c r="N19" s="4">
        <v>58</v>
      </c>
      <c r="O19" s="4" t="s">
        <v>11</v>
      </c>
    </row>
    <row r="20" spans="1:15" x14ac:dyDescent="0.25">
      <c r="A20" s="4">
        <v>19</v>
      </c>
      <c r="B20" s="33" t="s">
        <v>1719</v>
      </c>
      <c r="C20" s="1">
        <v>74720963</v>
      </c>
      <c r="D20" s="1" t="s">
        <v>221</v>
      </c>
      <c r="E20" s="1" t="s">
        <v>1738</v>
      </c>
      <c r="F20" s="1" t="s">
        <v>886</v>
      </c>
      <c r="G20" s="1" t="s">
        <v>891</v>
      </c>
      <c r="H20" s="1" t="s">
        <v>1319</v>
      </c>
      <c r="I20" s="1" t="s">
        <v>222</v>
      </c>
      <c r="J20" s="34" t="s">
        <v>2104</v>
      </c>
      <c r="K20" s="1">
        <v>973086900</v>
      </c>
      <c r="L20" s="1" t="s">
        <v>90</v>
      </c>
      <c r="M20" s="1" t="s">
        <v>223</v>
      </c>
      <c r="N20" s="1">
        <v>79.099999999999994</v>
      </c>
      <c r="O20" s="1" t="s">
        <v>11</v>
      </c>
    </row>
    <row r="21" spans="1:15" x14ac:dyDescent="0.25">
      <c r="A21" s="4">
        <v>20</v>
      </c>
      <c r="B21" s="33" t="s">
        <v>1719</v>
      </c>
      <c r="C21" s="1">
        <v>73977233</v>
      </c>
      <c r="D21" s="1" t="s">
        <v>224</v>
      </c>
      <c r="E21" s="1" t="s">
        <v>1739</v>
      </c>
      <c r="F21" s="1" t="s">
        <v>892</v>
      </c>
      <c r="G21" s="1" t="s">
        <v>893</v>
      </c>
      <c r="H21" s="1" t="s">
        <v>1320</v>
      </c>
      <c r="I21" s="1" t="s">
        <v>225</v>
      </c>
      <c r="J21" s="34" t="s">
        <v>2104</v>
      </c>
      <c r="K21" s="1">
        <v>921092300</v>
      </c>
      <c r="L21" s="1" t="s">
        <v>90</v>
      </c>
      <c r="M21" s="1" t="s">
        <v>223</v>
      </c>
      <c r="N21" s="1">
        <v>77</v>
      </c>
      <c r="O21" s="1" t="s">
        <v>11</v>
      </c>
    </row>
    <row r="22" spans="1:15" x14ac:dyDescent="0.25">
      <c r="A22" s="4">
        <v>21</v>
      </c>
      <c r="B22" s="33" t="s">
        <v>1719</v>
      </c>
      <c r="C22" s="1">
        <v>72705857</v>
      </c>
      <c r="D22" s="1" t="s">
        <v>226</v>
      </c>
      <c r="E22" s="1" t="s">
        <v>1740</v>
      </c>
      <c r="F22" s="1" t="s">
        <v>887</v>
      </c>
      <c r="G22" s="1" t="s">
        <v>894</v>
      </c>
      <c r="H22" s="1" t="s">
        <v>1321</v>
      </c>
      <c r="I22" s="1" t="s">
        <v>227</v>
      </c>
      <c r="J22" s="34" t="s">
        <v>2104</v>
      </c>
      <c r="K22" s="1">
        <v>923075704</v>
      </c>
      <c r="L22" s="1" t="s">
        <v>90</v>
      </c>
      <c r="M22" s="1" t="s">
        <v>223</v>
      </c>
      <c r="N22" s="1">
        <v>74.400000000000006</v>
      </c>
      <c r="O22" s="1" t="s">
        <v>11</v>
      </c>
    </row>
    <row r="23" spans="1:15" x14ac:dyDescent="0.25">
      <c r="A23" s="4">
        <v>22</v>
      </c>
      <c r="B23" s="33" t="s">
        <v>1719</v>
      </c>
      <c r="C23" s="1">
        <v>76557578</v>
      </c>
      <c r="D23" s="1" t="s">
        <v>228</v>
      </c>
      <c r="E23" s="1" t="s">
        <v>1741</v>
      </c>
      <c r="F23" s="1" t="s">
        <v>895</v>
      </c>
      <c r="G23" s="1" t="s">
        <v>896</v>
      </c>
      <c r="H23" s="1" t="s">
        <v>1322</v>
      </c>
      <c r="I23" s="1" t="s">
        <v>229</v>
      </c>
      <c r="J23" s="34" t="s">
        <v>2104</v>
      </c>
      <c r="K23" s="1">
        <v>927503554</v>
      </c>
      <c r="L23" s="1" t="s">
        <v>90</v>
      </c>
      <c r="M23" s="1" t="s">
        <v>223</v>
      </c>
      <c r="N23" s="1">
        <v>72</v>
      </c>
      <c r="O23" s="1" t="s">
        <v>11</v>
      </c>
    </row>
    <row r="24" spans="1:15" x14ac:dyDescent="0.25">
      <c r="A24" s="4">
        <v>23</v>
      </c>
      <c r="B24" s="33" t="s">
        <v>1719</v>
      </c>
      <c r="C24" s="1">
        <v>73532196</v>
      </c>
      <c r="D24" s="1" t="s">
        <v>230</v>
      </c>
      <c r="E24" s="1" t="s">
        <v>1742</v>
      </c>
      <c r="F24" s="1" t="s">
        <v>897</v>
      </c>
      <c r="G24" s="1" t="s">
        <v>898</v>
      </c>
      <c r="H24" s="1" t="s">
        <v>1323</v>
      </c>
      <c r="I24" s="1" t="s">
        <v>231</v>
      </c>
      <c r="J24" s="34" t="s">
        <v>2104</v>
      </c>
      <c r="K24" s="1">
        <v>979743526</v>
      </c>
      <c r="L24" s="1" t="s">
        <v>90</v>
      </c>
      <c r="M24" s="1" t="s">
        <v>223</v>
      </c>
      <c r="N24" s="1">
        <v>71</v>
      </c>
      <c r="O24" s="1" t="s">
        <v>11</v>
      </c>
    </row>
    <row r="25" spans="1:15" x14ac:dyDescent="0.25">
      <c r="A25" s="4">
        <v>24</v>
      </c>
      <c r="B25" s="33" t="s">
        <v>1719</v>
      </c>
      <c r="C25" s="1">
        <v>44346477</v>
      </c>
      <c r="D25" s="1" t="s">
        <v>232</v>
      </c>
      <c r="E25" s="1" t="s">
        <v>1743</v>
      </c>
      <c r="F25" s="1" t="s">
        <v>899</v>
      </c>
      <c r="G25" s="1" t="s">
        <v>898</v>
      </c>
      <c r="H25" s="1" t="s">
        <v>1324</v>
      </c>
      <c r="I25" s="1" t="s">
        <v>233</v>
      </c>
      <c r="J25" s="34" t="s">
        <v>2104</v>
      </c>
      <c r="K25" s="1">
        <v>940462464</v>
      </c>
      <c r="L25" s="1" t="s">
        <v>90</v>
      </c>
      <c r="M25" s="1" t="s">
        <v>223</v>
      </c>
      <c r="N25" s="1">
        <v>69.5</v>
      </c>
      <c r="O25" s="1" t="s">
        <v>11</v>
      </c>
    </row>
    <row r="26" spans="1:15" x14ac:dyDescent="0.25">
      <c r="A26" s="4">
        <v>25</v>
      </c>
      <c r="B26" s="33" t="s">
        <v>1719</v>
      </c>
      <c r="C26" s="1">
        <v>70673235</v>
      </c>
      <c r="D26" s="1" t="s">
        <v>234</v>
      </c>
      <c r="E26" s="1" t="s">
        <v>1744</v>
      </c>
      <c r="F26" s="1" t="s">
        <v>879</v>
      </c>
      <c r="G26" s="1" t="s">
        <v>900</v>
      </c>
      <c r="H26" s="1" t="s">
        <v>1325</v>
      </c>
      <c r="I26" s="1" t="s">
        <v>235</v>
      </c>
      <c r="J26" s="34" t="s">
        <v>2104</v>
      </c>
      <c r="K26" s="1">
        <v>903358427</v>
      </c>
      <c r="L26" s="1" t="s">
        <v>90</v>
      </c>
      <c r="M26" s="1" t="s">
        <v>223</v>
      </c>
      <c r="N26" s="1">
        <v>69.5</v>
      </c>
      <c r="O26" s="1" t="s">
        <v>11</v>
      </c>
    </row>
    <row r="27" spans="1:15" x14ac:dyDescent="0.25">
      <c r="A27" s="4">
        <v>26</v>
      </c>
      <c r="B27" s="33" t="s">
        <v>1719</v>
      </c>
      <c r="C27" s="1">
        <v>73704207</v>
      </c>
      <c r="D27" s="1" t="s">
        <v>236</v>
      </c>
      <c r="E27" s="1" t="s">
        <v>1745</v>
      </c>
      <c r="F27" s="1" t="s">
        <v>901</v>
      </c>
      <c r="G27" s="1" t="s">
        <v>902</v>
      </c>
      <c r="H27" s="1" t="s">
        <v>1326</v>
      </c>
      <c r="I27" s="1" t="s">
        <v>237</v>
      </c>
      <c r="J27" s="34" t="s">
        <v>2104</v>
      </c>
      <c r="K27" s="1">
        <v>952699247</v>
      </c>
      <c r="L27" s="1" t="s">
        <v>90</v>
      </c>
      <c r="M27" s="1" t="s">
        <v>223</v>
      </c>
      <c r="N27" s="1">
        <v>69</v>
      </c>
      <c r="O27" s="1" t="s">
        <v>11</v>
      </c>
    </row>
    <row r="28" spans="1:15" x14ac:dyDescent="0.25">
      <c r="A28" s="4">
        <v>27</v>
      </c>
      <c r="B28" s="33" t="s">
        <v>1719</v>
      </c>
      <c r="C28" s="1">
        <v>71323716</v>
      </c>
      <c r="D28" s="1" t="s">
        <v>238</v>
      </c>
      <c r="E28" s="1" t="s">
        <v>1746</v>
      </c>
      <c r="F28" s="1" t="s">
        <v>903</v>
      </c>
      <c r="G28" s="1" t="s">
        <v>904</v>
      </c>
      <c r="H28" s="1" t="s">
        <v>1327</v>
      </c>
      <c r="I28" s="1" t="s">
        <v>239</v>
      </c>
      <c r="J28" s="34" t="s">
        <v>2104</v>
      </c>
      <c r="K28" s="1">
        <v>991672212</v>
      </c>
      <c r="L28" s="1" t="s">
        <v>90</v>
      </c>
      <c r="M28" s="1" t="s">
        <v>223</v>
      </c>
      <c r="N28" s="1">
        <v>65.900000000000006</v>
      </c>
      <c r="O28" s="1" t="s">
        <v>11</v>
      </c>
    </row>
    <row r="29" spans="1:15" x14ac:dyDescent="0.25">
      <c r="A29" s="4">
        <v>28</v>
      </c>
      <c r="B29" s="33" t="s">
        <v>1719</v>
      </c>
      <c r="C29" s="1">
        <v>72329588</v>
      </c>
      <c r="D29" s="1" t="s">
        <v>240</v>
      </c>
      <c r="E29" s="1" t="s">
        <v>1747</v>
      </c>
      <c r="F29" s="1" t="s">
        <v>906</v>
      </c>
      <c r="G29" s="1" t="s">
        <v>907</v>
      </c>
      <c r="H29" s="1" t="s">
        <v>1328</v>
      </c>
      <c r="I29" s="1" t="s">
        <v>241</v>
      </c>
      <c r="J29" s="34" t="s">
        <v>2104</v>
      </c>
      <c r="K29" s="1">
        <v>941776414</v>
      </c>
      <c r="L29" s="1" t="s">
        <v>90</v>
      </c>
      <c r="M29" s="1" t="s">
        <v>223</v>
      </c>
      <c r="N29" s="1">
        <v>65.5</v>
      </c>
      <c r="O29" s="1" t="s">
        <v>11</v>
      </c>
    </row>
    <row r="30" spans="1:15" x14ac:dyDescent="0.25">
      <c r="A30" s="4">
        <v>29</v>
      </c>
      <c r="B30" s="33" t="s">
        <v>1719</v>
      </c>
      <c r="C30" s="1">
        <v>41154905</v>
      </c>
      <c r="D30" s="1" t="s">
        <v>242</v>
      </c>
      <c r="E30" s="1" t="s">
        <v>1748</v>
      </c>
      <c r="F30" s="1" t="s">
        <v>908</v>
      </c>
      <c r="G30" s="1" t="s">
        <v>888</v>
      </c>
      <c r="H30" s="1" t="s">
        <v>1329</v>
      </c>
      <c r="I30" s="1" t="s">
        <v>243</v>
      </c>
      <c r="J30" s="34" t="s">
        <v>2104</v>
      </c>
      <c r="K30" s="1">
        <v>955641956</v>
      </c>
      <c r="L30" s="1" t="s">
        <v>90</v>
      </c>
      <c r="M30" s="1" t="s">
        <v>223</v>
      </c>
      <c r="N30" s="1">
        <v>65.099999999999994</v>
      </c>
      <c r="O30" s="1" t="s">
        <v>11</v>
      </c>
    </row>
    <row r="31" spans="1:15" x14ac:dyDescent="0.25">
      <c r="A31" s="4">
        <v>30</v>
      </c>
      <c r="B31" s="33" t="s">
        <v>1719</v>
      </c>
      <c r="C31" s="1">
        <v>73699282</v>
      </c>
      <c r="D31" s="1" t="s">
        <v>244</v>
      </c>
      <c r="E31" s="1" t="s">
        <v>1749</v>
      </c>
      <c r="F31" s="1" t="s">
        <v>909</v>
      </c>
      <c r="G31" s="1" t="s">
        <v>910</v>
      </c>
      <c r="H31" s="1" t="s">
        <v>1330</v>
      </c>
      <c r="I31" s="1" t="s">
        <v>245</v>
      </c>
      <c r="J31" s="34" t="s">
        <v>2104</v>
      </c>
      <c r="K31" s="1">
        <v>942238971</v>
      </c>
      <c r="L31" s="1" t="s">
        <v>90</v>
      </c>
      <c r="M31" s="1" t="s">
        <v>223</v>
      </c>
      <c r="N31" s="1">
        <v>64.7</v>
      </c>
      <c r="O31" s="1" t="s">
        <v>11</v>
      </c>
    </row>
    <row r="32" spans="1:15" x14ac:dyDescent="0.25">
      <c r="A32" s="4">
        <v>31</v>
      </c>
      <c r="B32" s="33" t="s">
        <v>1719</v>
      </c>
      <c r="C32" s="1">
        <v>71208115</v>
      </c>
      <c r="D32" s="1" t="s">
        <v>246</v>
      </c>
      <c r="E32" s="1" t="s">
        <v>1750</v>
      </c>
      <c r="F32" s="1" t="s">
        <v>911</v>
      </c>
      <c r="G32" s="1" t="s">
        <v>912</v>
      </c>
      <c r="H32" s="1" t="s">
        <v>1331</v>
      </c>
      <c r="I32" s="1" t="s">
        <v>247</v>
      </c>
      <c r="J32" s="34" t="s">
        <v>2104</v>
      </c>
      <c r="K32" s="1">
        <v>970963109</v>
      </c>
      <c r="L32" s="1" t="s">
        <v>90</v>
      </c>
      <c r="M32" s="1" t="s">
        <v>223</v>
      </c>
      <c r="N32" s="1">
        <v>63.5</v>
      </c>
      <c r="O32" s="1" t="s">
        <v>11</v>
      </c>
    </row>
    <row r="33" spans="1:15" x14ac:dyDescent="0.25">
      <c r="A33" s="4">
        <v>32</v>
      </c>
      <c r="B33" s="33" t="s">
        <v>1719</v>
      </c>
      <c r="C33" s="1">
        <v>45586127</v>
      </c>
      <c r="D33" s="1" t="s">
        <v>248</v>
      </c>
      <c r="E33" s="1" t="s">
        <v>1751</v>
      </c>
      <c r="F33" s="1" t="s">
        <v>913</v>
      </c>
      <c r="G33" s="1" t="s">
        <v>914</v>
      </c>
      <c r="H33" s="1" t="s">
        <v>1332</v>
      </c>
      <c r="I33" s="1" t="s">
        <v>249</v>
      </c>
      <c r="J33" s="34" t="s">
        <v>2104</v>
      </c>
      <c r="K33" s="1">
        <v>954639109</v>
      </c>
      <c r="L33" s="1" t="s">
        <v>90</v>
      </c>
      <c r="M33" s="1" t="s">
        <v>223</v>
      </c>
      <c r="N33" s="1">
        <v>63.1</v>
      </c>
      <c r="O33" s="1" t="s">
        <v>11</v>
      </c>
    </row>
    <row r="34" spans="1:15" x14ac:dyDescent="0.25">
      <c r="A34" s="4">
        <v>33</v>
      </c>
      <c r="B34" s="33" t="s">
        <v>1719</v>
      </c>
      <c r="C34" s="1">
        <v>72729965</v>
      </c>
      <c r="D34" s="1" t="s">
        <v>250</v>
      </c>
      <c r="E34" s="1" t="s">
        <v>1752</v>
      </c>
      <c r="F34" s="1" t="s">
        <v>915</v>
      </c>
      <c r="G34" s="1" t="s">
        <v>916</v>
      </c>
      <c r="H34" s="1" t="s">
        <v>1333</v>
      </c>
      <c r="I34" s="1" t="s">
        <v>251</v>
      </c>
      <c r="J34" s="34" t="s">
        <v>2104</v>
      </c>
      <c r="K34" s="1">
        <v>900794195</v>
      </c>
      <c r="L34" s="1" t="s">
        <v>90</v>
      </c>
      <c r="M34" s="1" t="s">
        <v>223</v>
      </c>
      <c r="N34" s="1">
        <v>61.9</v>
      </c>
      <c r="O34" s="1" t="s">
        <v>11</v>
      </c>
    </row>
    <row r="35" spans="1:15" x14ac:dyDescent="0.25">
      <c r="A35" s="4">
        <v>34</v>
      </c>
      <c r="B35" s="33" t="s">
        <v>1719</v>
      </c>
      <c r="C35" s="1">
        <v>77036935</v>
      </c>
      <c r="D35" s="1" t="s">
        <v>252</v>
      </c>
      <c r="E35" s="1" t="s">
        <v>1753</v>
      </c>
      <c r="F35" s="1" t="s">
        <v>917</v>
      </c>
      <c r="G35" s="1" t="s">
        <v>918</v>
      </c>
      <c r="H35" s="1" t="s">
        <v>1334</v>
      </c>
      <c r="I35" s="1" t="s">
        <v>253</v>
      </c>
      <c r="J35" s="34" t="s">
        <v>2104</v>
      </c>
      <c r="K35" s="1">
        <v>975822946</v>
      </c>
      <c r="L35" s="1" t="s">
        <v>90</v>
      </c>
      <c r="M35" s="1" t="s">
        <v>223</v>
      </c>
      <c r="N35" s="1">
        <v>61.9</v>
      </c>
      <c r="O35" s="1" t="s">
        <v>11</v>
      </c>
    </row>
    <row r="36" spans="1:15" x14ac:dyDescent="0.25">
      <c r="A36" s="4">
        <v>35</v>
      </c>
      <c r="B36" s="33" t="s">
        <v>1719</v>
      </c>
      <c r="C36" s="1">
        <v>47186679</v>
      </c>
      <c r="D36" s="1" t="s">
        <v>254</v>
      </c>
      <c r="E36" s="1" t="s">
        <v>1754</v>
      </c>
      <c r="F36" s="1" t="s">
        <v>858</v>
      </c>
      <c r="G36" s="1" t="s">
        <v>919</v>
      </c>
      <c r="H36" s="1" t="s">
        <v>1335</v>
      </c>
      <c r="I36" s="1" t="s">
        <v>255</v>
      </c>
      <c r="J36" s="34" t="s">
        <v>2104</v>
      </c>
      <c r="K36" s="1">
        <v>916705746</v>
      </c>
      <c r="L36" s="1" t="s">
        <v>90</v>
      </c>
      <c r="M36" s="1" t="s">
        <v>223</v>
      </c>
      <c r="N36" s="1">
        <v>60</v>
      </c>
      <c r="O36" s="1" t="s">
        <v>11</v>
      </c>
    </row>
    <row r="37" spans="1:15" x14ac:dyDescent="0.25">
      <c r="A37" s="4">
        <v>36</v>
      </c>
      <c r="B37" s="33" t="s">
        <v>1719</v>
      </c>
      <c r="C37" s="1">
        <v>71089422</v>
      </c>
      <c r="D37" s="1" t="s">
        <v>256</v>
      </c>
      <c r="E37" s="1" t="s">
        <v>1755</v>
      </c>
      <c r="F37" s="1" t="s">
        <v>920</v>
      </c>
      <c r="G37" s="1" t="s">
        <v>921</v>
      </c>
      <c r="H37" s="1" t="s">
        <v>1336</v>
      </c>
      <c r="I37" s="1" t="s">
        <v>257</v>
      </c>
      <c r="J37" s="34" t="s">
        <v>2104</v>
      </c>
      <c r="K37" s="1">
        <v>997645512</v>
      </c>
      <c r="L37" s="1" t="s">
        <v>90</v>
      </c>
      <c r="M37" s="1" t="s">
        <v>223</v>
      </c>
      <c r="N37" s="1">
        <v>59.8</v>
      </c>
      <c r="O37" s="1" t="s">
        <v>11</v>
      </c>
    </row>
    <row r="38" spans="1:15" x14ac:dyDescent="0.25">
      <c r="A38" s="4">
        <v>37</v>
      </c>
      <c r="B38" s="33" t="s">
        <v>1719</v>
      </c>
      <c r="C38" s="1">
        <v>71524448</v>
      </c>
      <c r="D38" s="1" t="s">
        <v>258</v>
      </c>
      <c r="E38" s="1" t="s">
        <v>1756</v>
      </c>
      <c r="F38" s="1" t="s">
        <v>868</v>
      </c>
      <c r="G38" s="1" t="s">
        <v>922</v>
      </c>
      <c r="H38" s="1" t="s">
        <v>1337</v>
      </c>
      <c r="I38" s="1" t="s">
        <v>259</v>
      </c>
      <c r="J38" s="34" t="s">
        <v>2104</v>
      </c>
      <c r="K38" s="1">
        <v>932957667</v>
      </c>
      <c r="L38" s="1" t="s">
        <v>90</v>
      </c>
      <c r="M38" s="1" t="s">
        <v>223</v>
      </c>
      <c r="N38" s="1">
        <v>57.2</v>
      </c>
      <c r="O38" s="1" t="s">
        <v>11</v>
      </c>
    </row>
    <row r="39" spans="1:15" x14ac:dyDescent="0.25">
      <c r="A39" s="4">
        <v>38</v>
      </c>
      <c r="B39" s="33" t="s">
        <v>1719</v>
      </c>
      <c r="C39" s="1">
        <v>46876752</v>
      </c>
      <c r="D39" s="1" t="s">
        <v>260</v>
      </c>
      <c r="E39" s="1" t="s">
        <v>1757</v>
      </c>
      <c r="F39" s="1" t="s">
        <v>923</v>
      </c>
      <c r="G39" s="1" t="s">
        <v>924</v>
      </c>
      <c r="H39" s="1" t="s">
        <v>1338</v>
      </c>
      <c r="I39" s="1" t="s">
        <v>261</v>
      </c>
      <c r="J39" s="34" t="s">
        <v>2104</v>
      </c>
      <c r="K39" s="1">
        <v>976169053</v>
      </c>
      <c r="L39" s="1" t="s">
        <v>90</v>
      </c>
      <c r="M39" s="1" t="s">
        <v>223</v>
      </c>
      <c r="N39" s="1">
        <v>57.2</v>
      </c>
      <c r="O39" s="1" t="s">
        <v>11</v>
      </c>
    </row>
    <row r="40" spans="1:15" x14ac:dyDescent="0.25">
      <c r="A40" s="4">
        <v>39</v>
      </c>
      <c r="B40" s="33" t="s">
        <v>1719</v>
      </c>
      <c r="C40" s="1">
        <v>75875291</v>
      </c>
      <c r="D40" s="1" t="s">
        <v>262</v>
      </c>
      <c r="E40" s="1" t="s">
        <v>1758</v>
      </c>
      <c r="F40" s="1" t="s">
        <v>883</v>
      </c>
      <c r="G40" s="1" t="s">
        <v>925</v>
      </c>
      <c r="H40" s="1" t="s">
        <v>1339</v>
      </c>
      <c r="I40" s="1" t="s">
        <v>263</v>
      </c>
      <c r="J40" s="34" t="s">
        <v>2104</v>
      </c>
      <c r="K40" s="1">
        <v>922815639</v>
      </c>
      <c r="L40" s="1" t="s">
        <v>90</v>
      </c>
      <c r="M40" s="1" t="s">
        <v>223</v>
      </c>
      <c r="N40" s="1">
        <v>57.1</v>
      </c>
      <c r="O40" s="1" t="s">
        <v>11</v>
      </c>
    </row>
    <row r="41" spans="1:15" x14ac:dyDescent="0.25">
      <c r="A41" s="4">
        <v>40</v>
      </c>
      <c r="B41" s="33" t="s">
        <v>1719</v>
      </c>
      <c r="C41" s="1">
        <v>47409507</v>
      </c>
      <c r="D41" s="1" t="s">
        <v>264</v>
      </c>
      <c r="E41" s="1" t="s">
        <v>1759</v>
      </c>
      <c r="F41" s="1" t="s">
        <v>926</v>
      </c>
      <c r="G41" s="1" t="s">
        <v>927</v>
      </c>
      <c r="H41" s="1" t="s">
        <v>1340</v>
      </c>
      <c r="I41" s="1" t="s">
        <v>265</v>
      </c>
      <c r="J41" s="34" t="s">
        <v>2104</v>
      </c>
      <c r="K41" s="1">
        <v>995782624</v>
      </c>
      <c r="L41" s="1" t="s">
        <v>90</v>
      </c>
      <c r="M41" s="1" t="s">
        <v>223</v>
      </c>
      <c r="N41" s="1">
        <v>47.5</v>
      </c>
      <c r="O41" s="1" t="s">
        <v>11</v>
      </c>
    </row>
    <row r="42" spans="1:15" x14ac:dyDescent="0.25">
      <c r="A42" s="4">
        <v>41</v>
      </c>
      <c r="B42" s="33" t="s">
        <v>1719</v>
      </c>
      <c r="C42" s="24">
        <v>76458509</v>
      </c>
      <c r="D42" s="24" t="s">
        <v>617</v>
      </c>
      <c r="E42" s="24" t="s">
        <v>1760</v>
      </c>
      <c r="F42" s="24" t="s">
        <v>928</v>
      </c>
      <c r="G42" s="24" t="s">
        <v>877</v>
      </c>
      <c r="H42" s="24" t="s">
        <v>1341</v>
      </c>
      <c r="I42" s="24" t="s">
        <v>618</v>
      </c>
      <c r="J42" s="34" t="s">
        <v>2104</v>
      </c>
      <c r="K42" s="24">
        <v>996103952</v>
      </c>
      <c r="L42" s="24" t="s">
        <v>90</v>
      </c>
      <c r="M42" s="24" t="s">
        <v>619</v>
      </c>
      <c r="N42" s="24">
        <v>84.5</v>
      </c>
      <c r="O42" s="24" t="s">
        <v>11</v>
      </c>
    </row>
    <row r="43" spans="1:15" x14ac:dyDescent="0.25">
      <c r="A43" s="4">
        <v>42</v>
      </c>
      <c r="B43" s="33" t="s">
        <v>1719</v>
      </c>
      <c r="C43" s="24">
        <v>46445208</v>
      </c>
      <c r="D43" s="24" t="s">
        <v>620</v>
      </c>
      <c r="E43" s="24" t="s">
        <v>1761</v>
      </c>
      <c r="F43" s="24" t="s">
        <v>929</v>
      </c>
      <c r="G43" s="24" t="s">
        <v>930</v>
      </c>
      <c r="H43" s="24" t="s">
        <v>1342</v>
      </c>
      <c r="I43" s="24" t="s">
        <v>621</v>
      </c>
      <c r="J43" s="34" t="s">
        <v>2104</v>
      </c>
      <c r="K43" s="24">
        <v>977956362</v>
      </c>
      <c r="L43" s="24" t="s">
        <v>90</v>
      </c>
      <c r="M43" s="24" t="s">
        <v>619</v>
      </c>
      <c r="N43" s="24">
        <v>80.5</v>
      </c>
      <c r="O43" s="24" t="s">
        <v>11</v>
      </c>
    </row>
    <row r="44" spans="1:15" x14ac:dyDescent="0.25">
      <c r="A44" s="4">
        <v>43</v>
      </c>
      <c r="B44" s="33" t="s">
        <v>1719</v>
      </c>
      <c r="C44" s="24">
        <v>70382269</v>
      </c>
      <c r="D44" s="24" t="s">
        <v>622</v>
      </c>
      <c r="E44" s="24" t="s">
        <v>1762</v>
      </c>
      <c r="F44" s="24" t="s">
        <v>931</v>
      </c>
      <c r="G44" s="24" t="s">
        <v>932</v>
      </c>
      <c r="H44" s="24" t="s">
        <v>1343</v>
      </c>
      <c r="I44" s="24" t="s">
        <v>623</v>
      </c>
      <c r="J44" s="34" t="s">
        <v>2104</v>
      </c>
      <c r="K44" s="24">
        <v>906607662</v>
      </c>
      <c r="L44" s="24" t="s">
        <v>90</v>
      </c>
      <c r="M44" s="24" t="s">
        <v>619</v>
      </c>
      <c r="N44" s="24">
        <v>77.5</v>
      </c>
      <c r="O44" s="24" t="s">
        <v>11</v>
      </c>
    </row>
    <row r="45" spans="1:15" x14ac:dyDescent="0.25">
      <c r="A45" s="4">
        <v>44</v>
      </c>
      <c r="B45" s="33" t="s">
        <v>1719</v>
      </c>
      <c r="C45" s="24">
        <v>47193453</v>
      </c>
      <c r="D45" s="24" t="s">
        <v>624</v>
      </c>
      <c r="E45" s="24" t="s">
        <v>1763</v>
      </c>
      <c r="F45" s="24" t="s">
        <v>933</v>
      </c>
      <c r="G45" s="24" t="s">
        <v>934</v>
      </c>
      <c r="H45" s="24" t="s">
        <v>1344</v>
      </c>
      <c r="I45" s="24" t="s">
        <v>625</v>
      </c>
      <c r="J45" s="34" t="s">
        <v>2104</v>
      </c>
      <c r="K45" s="24">
        <v>981710342</v>
      </c>
      <c r="L45" s="24" t="s">
        <v>90</v>
      </c>
      <c r="M45" s="24" t="s">
        <v>619</v>
      </c>
      <c r="N45" s="24">
        <v>77.5</v>
      </c>
      <c r="O45" s="24" t="s">
        <v>11</v>
      </c>
    </row>
    <row r="46" spans="1:15" x14ac:dyDescent="0.25">
      <c r="A46" s="4">
        <v>45</v>
      </c>
      <c r="B46" s="33" t="s">
        <v>1719</v>
      </c>
      <c r="C46" s="24">
        <v>71577882</v>
      </c>
      <c r="D46" s="24" t="s">
        <v>626</v>
      </c>
      <c r="E46" s="24" t="s">
        <v>1764</v>
      </c>
      <c r="F46" s="24" t="s">
        <v>935</v>
      </c>
      <c r="G46" s="24" t="s">
        <v>936</v>
      </c>
      <c r="H46" s="24" t="s">
        <v>1345</v>
      </c>
      <c r="I46" s="24" t="s">
        <v>627</v>
      </c>
      <c r="J46" s="34" t="s">
        <v>2104</v>
      </c>
      <c r="K46" s="24">
        <v>950251896</v>
      </c>
      <c r="L46" s="24" t="s">
        <v>90</v>
      </c>
      <c r="M46" s="24" t="s">
        <v>619</v>
      </c>
      <c r="N46" s="24">
        <v>77.5</v>
      </c>
      <c r="O46" s="24" t="s">
        <v>11</v>
      </c>
    </row>
    <row r="47" spans="1:15" x14ac:dyDescent="0.25">
      <c r="A47" s="4">
        <v>46</v>
      </c>
      <c r="B47" s="33" t="s">
        <v>1719</v>
      </c>
      <c r="C47" s="24">
        <v>78007600</v>
      </c>
      <c r="D47" s="24" t="s">
        <v>628</v>
      </c>
      <c r="E47" s="24" t="s">
        <v>1765</v>
      </c>
      <c r="F47" s="24" t="s">
        <v>937</v>
      </c>
      <c r="G47" s="24" t="s">
        <v>938</v>
      </c>
      <c r="H47" s="24" t="s">
        <v>1346</v>
      </c>
      <c r="I47" s="24" t="s">
        <v>629</v>
      </c>
      <c r="J47" s="34" t="s">
        <v>2104</v>
      </c>
      <c r="K47" s="24">
        <v>930226970</v>
      </c>
      <c r="L47" s="24" t="s">
        <v>90</v>
      </c>
      <c r="M47" s="24" t="s">
        <v>619</v>
      </c>
      <c r="N47" s="24">
        <v>77.5</v>
      </c>
      <c r="O47" s="24" t="s">
        <v>11</v>
      </c>
    </row>
    <row r="48" spans="1:15" x14ac:dyDescent="0.25">
      <c r="A48" s="4">
        <v>47</v>
      </c>
      <c r="B48" s="33" t="s">
        <v>1719</v>
      </c>
      <c r="C48" s="24">
        <v>71997323</v>
      </c>
      <c r="D48" s="24" t="s">
        <v>630</v>
      </c>
      <c r="E48" s="24" t="s">
        <v>1766</v>
      </c>
      <c r="F48" s="24" t="s">
        <v>860</v>
      </c>
      <c r="G48" s="24" t="s">
        <v>939</v>
      </c>
      <c r="H48" s="24" t="s">
        <v>1347</v>
      </c>
      <c r="I48" s="24" t="s">
        <v>631</v>
      </c>
      <c r="J48" s="34" t="s">
        <v>2104</v>
      </c>
      <c r="K48" s="24">
        <v>985342872</v>
      </c>
      <c r="L48" s="24" t="s">
        <v>90</v>
      </c>
      <c r="M48" s="24" t="s">
        <v>619</v>
      </c>
      <c r="N48" s="24">
        <v>77</v>
      </c>
      <c r="O48" s="24" t="s">
        <v>11</v>
      </c>
    </row>
    <row r="49" spans="1:15" x14ac:dyDescent="0.25">
      <c r="A49" s="4">
        <v>48</v>
      </c>
      <c r="B49" s="33" t="s">
        <v>1719</v>
      </c>
      <c r="C49" s="24">
        <v>47786848</v>
      </c>
      <c r="D49" s="24" t="s">
        <v>632</v>
      </c>
      <c r="E49" s="24" t="s">
        <v>1767</v>
      </c>
      <c r="F49" s="24" t="s">
        <v>940</v>
      </c>
      <c r="G49" s="24" t="s">
        <v>941</v>
      </c>
      <c r="H49" s="24" t="s">
        <v>1348</v>
      </c>
      <c r="I49" s="24" t="s">
        <v>633</v>
      </c>
      <c r="J49" s="34" t="s">
        <v>2104</v>
      </c>
      <c r="K49" s="24">
        <v>957156436</v>
      </c>
      <c r="L49" s="24" t="s">
        <v>90</v>
      </c>
      <c r="M49" s="24" t="s">
        <v>619</v>
      </c>
      <c r="N49" s="24">
        <v>77</v>
      </c>
      <c r="O49" s="24" t="s">
        <v>11</v>
      </c>
    </row>
    <row r="50" spans="1:15" x14ac:dyDescent="0.25">
      <c r="A50" s="4">
        <v>49</v>
      </c>
      <c r="B50" s="33" t="s">
        <v>1719</v>
      </c>
      <c r="C50" s="24">
        <v>72936235</v>
      </c>
      <c r="D50" s="24" t="s">
        <v>634</v>
      </c>
      <c r="E50" s="24" t="s">
        <v>1768</v>
      </c>
      <c r="F50" s="24" t="s">
        <v>942</v>
      </c>
      <c r="G50" s="24" t="s">
        <v>943</v>
      </c>
      <c r="H50" s="24" t="s">
        <v>1349</v>
      </c>
      <c r="I50" s="24" t="s">
        <v>635</v>
      </c>
      <c r="J50" s="34" t="s">
        <v>2104</v>
      </c>
      <c r="K50" s="24">
        <v>970315835</v>
      </c>
      <c r="L50" s="24" t="s">
        <v>90</v>
      </c>
      <c r="M50" s="24" t="s">
        <v>619</v>
      </c>
      <c r="N50" s="24">
        <v>76.5</v>
      </c>
      <c r="O50" s="24" t="s">
        <v>11</v>
      </c>
    </row>
    <row r="51" spans="1:15" x14ac:dyDescent="0.25">
      <c r="A51" s="4">
        <v>50</v>
      </c>
      <c r="B51" s="33" t="s">
        <v>1719</v>
      </c>
      <c r="C51" s="24">
        <v>73778331</v>
      </c>
      <c r="D51" s="24" t="s">
        <v>636</v>
      </c>
      <c r="E51" s="24" t="s">
        <v>1769</v>
      </c>
      <c r="F51" s="24" t="s">
        <v>862</v>
      </c>
      <c r="G51" s="24" t="s">
        <v>901</v>
      </c>
      <c r="H51" s="24" t="s">
        <v>1350</v>
      </c>
      <c r="I51" s="24" t="s">
        <v>637</v>
      </c>
      <c r="J51" s="34" t="s">
        <v>2104</v>
      </c>
      <c r="K51" s="24">
        <v>945782644</v>
      </c>
      <c r="L51" s="24" t="s">
        <v>90</v>
      </c>
      <c r="M51" s="24" t="s">
        <v>619</v>
      </c>
      <c r="N51" s="24">
        <v>76</v>
      </c>
      <c r="O51" s="24" t="s">
        <v>11</v>
      </c>
    </row>
    <row r="52" spans="1:15" x14ac:dyDescent="0.25">
      <c r="A52" s="4">
        <v>51</v>
      </c>
      <c r="B52" s="33" t="s">
        <v>1719</v>
      </c>
      <c r="C52" s="24">
        <v>75652596</v>
      </c>
      <c r="D52" s="24" t="s">
        <v>638</v>
      </c>
      <c r="E52" s="24" t="s">
        <v>1770</v>
      </c>
      <c r="F52" s="24" t="s">
        <v>944</v>
      </c>
      <c r="G52" s="24" t="s">
        <v>945</v>
      </c>
      <c r="H52" s="24" t="s">
        <v>1351</v>
      </c>
      <c r="I52" s="24" t="s">
        <v>639</v>
      </c>
      <c r="J52" s="34" t="s">
        <v>2104</v>
      </c>
      <c r="K52" s="24">
        <v>939888555</v>
      </c>
      <c r="L52" s="24" t="s">
        <v>90</v>
      </c>
      <c r="M52" s="24" t="s">
        <v>619</v>
      </c>
      <c r="N52" s="24">
        <v>75.5</v>
      </c>
      <c r="O52" s="24" t="s">
        <v>11</v>
      </c>
    </row>
    <row r="53" spans="1:15" x14ac:dyDescent="0.25">
      <c r="A53" s="4">
        <v>52</v>
      </c>
      <c r="B53" s="33" t="s">
        <v>1719</v>
      </c>
      <c r="C53" s="24">
        <v>72329597</v>
      </c>
      <c r="D53" s="24" t="s">
        <v>640</v>
      </c>
      <c r="E53" s="24" t="s">
        <v>1771</v>
      </c>
      <c r="F53" s="24" t="s">
        <v>946</v>
      </c>
      <c r="G53" s="24" t="s">
        <v>947</v>
      </c>
      <c r="H53" s="24" t="s">
        <v>1352</v>
      </c>
      <c r="I53" s="24" t="s">
        <v>641</v>
      </c>
      <c r="J53" s="34" t="s">
        <v>2104</v>
      </c>
      <c r="K53" s="24">
        <v>945214015</v>
      </c>
      <c r="L53" s="24" t="s">
        <v>90</v>
      </c>
      <c r="M53" s="24" t="s">
        <v>619</v>
      </c>
      <c r="N53" s="24">
        <v>75</v>
      </c>
      <c r="O53" s="24" t="s">
        <v>11</v>
      </c>
    </row>
    <row r="54" spans="1:15" x14ac:dyDescent="0.25">
      <c r="A54" s="4">
        <v>53</v>
      </c>
      <c r="B54" s="33" t="s">
        <v>1719</v>
      </c>
      <c r="C54" s="24">
        <v>77380711</v>
      </c>
      <c r="D54" s="24" t="s">
        <v>642</v>
      </c>
      <c r="E54" s="24" t="s">
        <v>1772</v>
      </c>
      <c r="F54" s="24" t="s">
        <v>859</v>
      </c>
      <c r="G54" s="24" t="s">
        <v>901</v>
      </c>
      <c r="H54" s="24" t="s">
        <v>1353</v>
      </c>
      <c r="I54" s="24" t="s">
        <v>643</v>
      </c>
      <c r="J54" s="34" t="s">
        <v>2104</v>
      </c>
      <c r="K54" s="24">
        <v>970401965</v>
      </c>
      <c r="L54" s="24" t="s">
        <v>90</v>
      </c>
      <c r="M54" s="24" t="s">
        <v>619</v>
      </c>
      <c r="N54" s="24">
        <v>75</v>
      </c>
      <c r="O54" s="24" t="s">
        <v>11</v>
      </c>
    </row>
    <row r="55" spans="1:15" x14ac:dyDescent="0.25">
      <c r="A55" s="4">
        <v>54</v>
      </c>
      <c r="B55" s="33" t="s">
        <v>1719</v>
      </c>
      <c r="C55" s="24">
        <v>45711302</v>
      </c>
      <c r="D55" s="24" t="s">
        <v>644</v>
      </c>
      <c r="E55" s="24" t="s">
        <v>1773</v>
      </c>
      <c r="F55" s="24" t="s">
        <v>858</v>
      </c>
      <c r="G55" s="24" t="s">
        <v>948</v>
      </c>
      <c r="H55" s="24" t="s">
        <v>1354</v>
      </c>
      <c r="I55" s="24" t="s">
        <v>645</v>
      </c>
      <c r="J55" s="34" t="s">
        <v>2104</v>
      </c>
      <c r="K55" s="24">
        <v>966977049</v>
      </c>
      <c r="L55" s="24" t="s">
        <v>90</v>
      </c>
      <c r="M55" s="24" t="s">
        <v>619</v>
      </c>
      <c r="N55" s="24">
        <v>74</v>
      </c>
      <c r="O55" s="24" t="s">
        <v>11</v>
      </c>
    </row>
    <row r="56" spans="1:15" x14ac:dyDescent="0.25">
      <c r="A56" s="4">
        <v>55</v>
      </c>
      <c r="B56" s="33" t="s">
        <v>1719</v>
      </c>
      <c r="C56" s="24">
        <v>73018843</v>
      </c>
      <c r="D56" s="24" t="s">
        <v>646</v>
      </c>
      <c r="E56" s="24" t="s">
        <v>1774</v>
      </c>
      <c r="F56" s="24" t="s">
        <v>949</v>
      </c>
      <c r="G56" s="24" t="s">
        <v>950</v>
      </c>
      <c r="H56" s="24" t="s">
        <v>1355</v>
      </c>
      <c r="I56" s="24" t="s">
        <v>647</v>
      </c>
      <c r="J56" s="34" t="s">
        <v>2104</v>
      </c>
      <c r="K56" s="24">
        <v>957816200</v>
      </c>
      <c r="L56" s="24" t="s">
        <v>90</v>
      </c>
      <c r="M56" s="24" t="s">
        <v>619</v>
      </c>
      <c r="N56" s="24">
        <v>73.5</v>
      </c>
      <c r="O56" s="24" t="s">
        <v>11</v>
      </c>
    </row>
    <row r="57" spans="1:15" x14ac:dyDescent="0.25">
      <c r="A57" s="4">
        <v>56</v>
      </c>
      <c r="B57" s="33" t="s">
        <v>1719</v>
      </c>
      <c r="C57" s="24">
        <v>44291488</v>
      </c>
      <c r="D57" s="24" t="s">
        <v>648</v>
      </c>
      <c r="E57" s="24" t="s">
        <v>1775</v>
      </c>
      <c r="F57" s="24" t="s">
        <v>951</v>
      </c>
      <c r="G57" s="24" t="s">
        <v>870</v>
      </c>
      <c r="H57" s="24" t="s">
        <v>1356</v>
      </c>
      <c r="I57" s="24" t="s">
        <v>649</v>
      </c>
      <c r="J57" s="34" t="s">
        <v>2104</v>
      </c>
      <c r="K57" s="24">
        <v>917741071</v>
      </c>
      <c r="L57" s="24" t="s">
        <v>90</v>
      </c>
      <c r="M57" s="24" t="s">
        <v>619</v>
      </c>
      <c r="N57" s="24">
        <v>72.5</v>
      </c>
      <c r="O57" s="24" t="s">
        <v>11</v>
      </c>
    </row>
    <row r="58" spans="1:15" x14ac:dyDescent="0.25">
      <c r="A58" s="4">
        <v>57</v>
      </c>
      <c r="B58" s="33" t="s">
        <v>1719</v>
      </c>
      <c r="C58" s="24">
        <v>73004270</v>
      </c>
      <c r="D58" s="24" t="s">
        <v>650</v>
      </c>
      <c r="E58" s="24" t="s">
        <v>1776</v>
      </c>
      <c r="F58" s="24" t="s">
        <v>952</v>
      </c>
      <c r="G58" s="24" t="s">
        <v>953</v>
      </c>
      <c r="H58" s="24" t="s">
        <v>1357</v>
      </c>
      <c r="I58" s="24" t="s">
        <v>651</v>
      </c>
      <c r="J58" s="34" t="s">
        <v>2104</v>
      </c>
      <c r="K58" s="24">
        <v>974272916</v>
      </c>
      <c r="L58" s="24" t="s">
        <v>90</v>
      </c>
      <c r="M58" s="24" t="s">
        <v>619</v>
      </c>
      <c r="N58" s="24">
        <v>72</v>
      </c>
      <c r="O58" s="24" t="s">
        <v>11</v>
      </c>
    </row>
    <row r="59" spans="1:15" x14ac:dyDescent="0.25">
      <c r="A59" s="4">
        <v>58</v>
      </c>
      <c r="B59" s="33" t="s">
        <v>1719</v>
      </c>
      <c r="C59" s="24">
        <v>72842158</v>
      </c>
      <c r="D59" s="24" t="s">
        <v>652</v>
      </c>
      <c r="E59" s="24" t="s">
        <v>1777</v>
      </c>
      <c r="F59" s="24" t="s">
        <v>954</v>
      </c>
      <c r="G59" s="24" t="s">
        <v>891</v>
      </c>
      <c r="H59" s="24" t="s">
        <v>1358</v>
      </c>
      <c r="I59" s="24" t="s">
        <v>653</v>
      </c>
      <c r="J59" s="34" t="s">
        <v>2104</v>
      </c>
      <c r="K59" s="24">
        <v>901800994</v>
      </c>
      <c r="L59" s="24" t="s">
        <v>90</v>
      </c>
      <c r="M59" s="24" t="s">
        <v>619</v>
      </c>
      <c r="N59" s="24">
        <v>72</v>
      </c>
      <c r="O59" s="24" t="s">
        <v>11</v>
      </c>
    </row>
    <row r="60" spans="1:15" x14ac:dyDescent="0.25">
      <c r="A60" s="4">
        <v>59</v>
      </c>
      <c r="B60" s="33" t="s">
        <v>1719</v>
      </c>
      <c r="C60" s="24">
        <v>77567953</v>
      </c>
      <c r="D60" s="24" t="s">
        <v>654</v>
      </c>
      <c r="E60" s="24" t="s">
        <v>1778</v>
      </c>
      <c r="F60" s="24" t="s">
        <v>921</v>
      </c>
      <c r="G60" s="24" t="s">
        <v>946</v>
      </c>
      <c r="H60" s="24" t="s">
        <v>1359</v>
      </c>
      <c r="I60" s="24" t="s">
        <v>655</v>
      </c>
      <c r="J60" s="34" t="s">
        <v>2104</v>
      </c>
      <c r="K60" s="24">
        <v>974055052</v>
      </c>
      <c r="L60" s="24" t="s">
        <v>90</v>
      </c>
      <c r="M60" s="24" t="s">
        <v>619</v>
      </c>
      <c r="N60" s="24">
        <v>72</v>
      </c>
      <c r="O60" s="24" t="s">
        <v>11</v>
      </c>
    </row>
    <row r="61" spans="1:15" x14ac:dyDescent="0.25">
      <c r="A61" s="4">
        <v>60</v>
      </c>
      <c r="B61" s="33" t="s">
        <v>1719</v>
      </c>
      <c r="C61" s="24">
        <v>76446303</v>
      </c>
      <c r="D61" s="24" t="s">
        <v>656</v>
      </c>
      <c r="E61" s="24" t="s">
        <v>1779</v>
      </c>
      <c r="F61" s="24" t="s">
        <v>955</v>
      </c>
      <c r="G61" s="24" t="s">
        <v>956</v>
      </c>
      <c r="H61" s="24" t="s">
        <v>1360</v>
      </c>
      <c r="I61" s="24" t="s">
        <v>657</v>
      </c>
      <c r="J61" s="34" t="s">
        <v>2104</v>
      </c>
      <c r="K61" s="24">
        <v>966328518</v>
      </c>
      <c r="L61" s="24" t="s">
        <v>90</v>
      </c>
      <c r="M61" s="24" t="s">
        <v>619</v>
      </c>
      <c r="N61" s="24">
        <v>71</v>
      </c>
      <c r="O61" s="24" t="s">
        <v>11</v>
      </c>
    </row>
    <row r="62" spans="1:15" x14ac:dyDescent="0.25">
      <c r="A62" s="4">
        <v>61</v>
      </c>
      <c r="B62" s="33" t="s">
        <v>1719</v>
      </c>
      <c r="C62" s="24">
        <v>73262743</v>
      </c>
      <c r="D62" s="24" t="s">
        <v>658</v>
      </c>
      <c r="E62" s="24" t="s">
        <v>1780</v>
      </c>
      <c r="F62" s="24" t="s">
        <v>957</v>
      </c>
      <c r="G62" s="24" t="s">
        <v>882</v>
      </c>
      <c r="H62" s="24" t="s">
        <v>1361</v>
      </c>
      <c r="I62" s="24" t="s">
        <v>659</v>
      </c>
      <c r="J62" s="34" t="s">
        <v>2104</v>
      </c>
      <c r="K62" s="24">
        <v>965043594</v>
      </c>
      <c r="L62" s="24" t="s">
        <v>90</v>
      </c>
      <c r="M62" s="24" t="s">
        <v>619</v>
      </c>
      <c r="N62" s="24">
        <v>71</v>
      </c>
      <c r="O62" s="24" t="s">
        <v>11</v>
      </c>
    </row>
    <row r="63" spans="1:15" x14ac:dyDescent="0.25">
      <c r="A63" s="4">
        <v>62</v>
      </c>
      <c r="B63" s="33" t="s">
        <v>1719</v>
      </c>
      <c r="C63" s="24">
        <v>72840362</v>
      </c>
      <c r="D63" s="24" t="s">
        <v>660</v>
      </c>
      <c r="E63" s="24" t="s">
        <v>1781</v>
      </c>
      <c r="F63" s="24" t="s">
        <v>958</v>
      </c>
      <c r="G63" s="24" t="s">
        <v>959</v>
      </c>
      <c r="H63" s="24" t="s">
        <v>1362</v>
      </c>
      <c r="I63" s="24" t="s">
        <v>661</v>
      </c>
      <c r="J63" s="34" t="s">
        <v>2104</v>
      </c>
      <c r="K63" s="24">
        <v>954885982</v>
      </c>
      <c r="L63" s="24" t="s">
        <v>90</v>
      </c>
      <c r="M63" s="24" t="s">
        <v>619</v>
      </c>
      <c r="N63" s="24">
        <v>70.5</v>
      </c>
      <c r="O63" s="24" t="s">
        <v>11</v>
      </c>
    </row>
    <row r="64" spans="1:15" x14ac:dyDescent="0.25">
      <c r="A64" s="4">
        <v>63</v>
      </c>
      <c r="B64" s="33" t="s">
        <v>1719</v>
      </c>
      <c r="C64" s="24">
        <v>73881546</v>
      </c>
      <c r="D64" s="24" t="s">
        <v>662</v>
      </c>
      <c r="E64" s="24" t="s">
        <v>1782</v>
      </c>
      <c r="F64" s="24" t="s">
        <v>960</v>
      </c>
      <c r="G64" s="24" t="s">
        <v>858</v>
      </c>
      <c r="H64" s="24" t="s">
        <v>1363</v>
      </c>
      <c r="I64" s="24" t="s">
        <v>663</v>
      </c>
      <c r="J64" s="34" t="s">
        <v>2104</v>
      </c>
      <c r="K64" s="24">
        <v>996271288</v>
      </c>
      <c r="L64" s="24" t="s">
        <v>90</v>
      </c>
      <c r="M64" s="24" t="s">
        <v>619</v>
      </c>
      <c r="N64" s="24">
        <v>70.5</v>
      </c>
      <c r="O64" s="24" t="s">
        <v>11</v>
      </c>
    </row>
    <row r="65" spans="1:15" x14ac:dyDescent="0.25">
      <c r="A65" s="4">
        <v>64</v>
      </c>
      <c r="B65" s="33" t="s">
        <v>1719</v>
      </c>
      <c r="C65" s="24">
        <v>74774492</v>
      </c>
      <c r="D65" s="24" t="s">
        <v>664</v>
      </c>
      <c r="E65" s="24" t="s">
        <v>1783</v>
      </c>
      <c r="F65" s="24" t="s">
        <v>961</v>
      </c>
      <c r="G65" s="24" t="s">
        <v>962</v>
      </c>
      <c r="H65" s="24" t="s">
        <v>1364</v>
      </c>
      <c r="I65" s="24" t="s">
        <v>665</v>
      </c>
      <c r="J65" s="34" t="s">
        <v>2104</v>
      </c>
      <c r="K65" s="24">
        <v>972856018</v>
      </c>
      <c r="L65" s="24" t="s">
        <v>90</v>
      </c>
      <c r="M65" s="24" t="s">
        <v>619</v>
      </c>
      <c r="N65" s="24">
        <v>70.5</v>
      </c>
      <c r="O65" s="24" t="s">
        <v>11</v>
      </c>
    </row>
    <row r="66" spans="1:15" x14ac:dyDescent="0.25">
      <c r="A66" s="4">
        <v>65</v>
      </c>
      <c r="B66" s="33" t="s">
        <v>1719</v>
      </c>
      <c r="C66" s="24">
        <v>46356337</v>
      </c>
      <c r="D66" s="24" t="s">
        <v>666</v>
      </c>
      <c r="E66" s="24" t="s">
        <v>1784</v>
      </c>
      <c r="F66" s="24" t="s">
        <v>901</v>
      </c>
      <c r="G66" s="24" t="s">
        <v>891</v>
      </c>
      <c r="H66" s="24" t="s">
        <v>1365</v>
      </c>
      <c r="I66" s="24" t="s">
        <v>667</v>
      </c>
      <c r="J66" s="34" t="s">
        <v>2104</v>
      </c>
      <c r="K66" s="24">
        <v>974520117</v>
      </c>
      <c r="L66" s="24" t="s">
        <v>90</v>
      </c>
      <c r="M66" s="24" t="s">
        <v>619</v>
      </c>
      <c r="N66" s="24">
        <v>70.5</v>
      </c>
      <c r="O66" s="24" t="s">
        <v>11</v>
      </c>
    </row>
    <row r="67" spans="1:15" x14ac:dyDescent="0.25">
      <c r="A67" s="4">
        <v>66</v>
      </c>
      <c r="B67" s="33" t="s">
        <v>1719</v>
      </c>
      <c r="C67" s="24">
        <v>74587230</v>
      </c>
      <c r="D67" s="24" t="s">
        <v>668</v>
      </c>
      <c r="E67" s="24" t="s">
        <v>1785</v>
      </c>
      <c r="F67" s="24" t="s">
        <v>963</v>
      </c>
      <c r="G67" s="24" t="s">
        <v>1298</v>
      </c>
      <c r="H67" s="24" t="s">
        <v>1366</v>
      </c>
      <c r="I67" s="24" t="s">
        <v>669</v>
      </c>
      <c r="J67" s="34" t="s">
        <v>2104</v>
      </c>
      <c r="K67" s="24">
        <v>973668917</v>
      </c>
      <c r="L67" s="24" t="s">
        <v>90</v>
      </c>
      <c r="M67" s="24" t="s">
        <v>619</v>
      </c>
      <c r="N67" s="24">
        <v>70</v>
      </c>
      <c r="O67" s="24" t="s">
        <v>11</v>
      </c>
    </row>
    <row r="68" spans="1:15" x14ac:dyDescent="0.25">
      <c r="A68" s="4">
        <v>67</v>
      </c>
      <c r="B68" s="33" t="s">
        <v>1719</v>
      </c>
      <c r="C68" s="24">
        <v>44750307</v>
      </c>
      <c r="D68" s="24" t="s">
        <v>670</v>
      </c>
      <c r="E68" s="24" t="s">
        <v>1786</v>
      </c>
      <c r="F68" s="24" t="s">
        <v>964</v>
      </c>
      <c r="G68" s="24" t="s">
        <v>965</v>
      </c>
      <c r="H68" s="24" t="s">
        <v>1367</v>
      </c>
      <c r="I68" s="24" t="s">
        <v>671</v>
      </c>
      <c r="J68" s="34" t="s">
        <v>2104</v>
      </c>
      <c r="K68" s="24">
        <v>973194602</v>
      </c>
      <c r="L68" s="24" t="s">
        <v>90</v>
      </c>
      <c r="M68" s="24" t="s">
        <v>619</v>
      </c>
      <c r="N68" s="24">
        <v>70</v>
      </c>
      <c r="O68" s="24" t="s">
        <v>11</v>
      </c>
    </row>
    <row r="69" spans="1:15" x14ac:dyDescent="0.25">
      <c r="A69" s="4">
        <v>68</v>
      </c>
      <c r="B69" s="33" t="s">
        <v>1719</v>
      </c>
      <c r="C69" s="24">
        <v>17632519</v>
      </c>
      <c r="D69" s="24" t="s">
        <v>672</v>
      </c>
      <c r="E69" s="24" t="s">
        <v>1787</v>
      </c>
      <c r="F69" s="24" t="s">
        <v>966</v>
      </c>
      <c r="G69" s="24" t="s">
        <v>901</v>
      </c>
      <c r="H69" s="24" t="s">
        <v>1368</v>
      </c>
      <c r="I69" s="24" t="s">
        <v>673</v>
      </c>
      <c r="J69" s="34" t="s">
        <v>2104</v>
      </c>
      <c r="K69" s="24">
        <v>949946806</v>
      </c>
      <c r="L69" s="24" t="s">
        <v>90</v>
      </c>
      <c r="M69" s="24" t="s">
        <v>619</v>
      </c>
      <c r="N69" s="24">
        <v>70</v>
      </c>
      <c r="O69" s="24" t="s">
        <v>11</v>
      </c>
    </row>
    <row r="70" spans="1:15" x14ac:dyDescent="0.25">
      <c r="A70" s="4">
        <v>69</v>
      </c>
      <c r="B70" s="33" t="s">
        <v>1719</v>
      </c>
      <c r="C70" s="24">
        <v>76388252</v>
      </c>
      <c r="D70" s="24" t="s">
        <v>674</v>
      </c>
      <c r="E70" s="24" t="s">
        <v>1788</v>
      </c>
      <c r="F70" s="24" t="s">
        <v>967</v>
      </c>
      <c r="G70" s="24" t="s">
        <v>921</v>
      </c>
      <c r="H70" s="24" t="s">
        <v>1369</v>
      </c>
      <c r="I70" s="24" t="s">
        <v>675</v>
      </c>
      <c r="J70" s="34" t="s">
        <v>2104</v>
      </c>
      <c r="K70" s="24">
        <v>901854704</v>
      </c>
      <c r="L70" s="24" t="s">
        <v>90</v>
      </c>
      <c r="M70" s="24" t="s">
        <v>619</v>
      </c>
      <c r="N70" s="24">
        <v>69.5</v>
      </c>
      <c r="O70" s="24" t="s">
        <v>11</v>
      </c>
    </row>
    <row r="71" spans="1:15" x14ac:dyDescent="0.25">
      <c r="A71" s="4">
        <v>70</v>
      </c>
      <c r="B71" s="33" t="s">
        <v>1719</v>
      </c>
      <c r="C71" s="24">
        <v>76457342</v>
      </c>
      <c r="D71" s="24" t="s">
        <v>676</v>
      </c>
      <c r="E71" s="24" t="s">
        <v>1789</v>
      </c>
      <c r="F71" s="24" t="s">
        <v>905</v>
      </c>
      <c r="G71" s="24" t="s">
        <v>883</v>
      </c>
      <c r="H71" s="24" t="s">
        <v>1370</v>
      </c>
      <c r="I71" s="24" t="s">
        <v>677</v>
      </c>
      <c r="J71" s="34" t="s">
        <v>2104</v>
      </c>
      <c r="K71" s="24">
        <v>949872191</v>
      </c>
      <c r="L71" s="24" t="s">
        <v>90</v>
      </c>
      <c r="M71" s="24" t="s">
        <v>619</v>
      </c>
      <c r="N71" s="24">
        <v>68.5</v>
      </c>
      <c r="O71" s="24" t="s">
        <v>11</v>
      </c>
    </row>
    <row r="72" spans="1:15" x14ac:dyDescent="0.25">
      <c r="A72" s="4">
        <v>71</v>
      </c>
      <c r="B72" s="33" t="s">
        <v>1719</v>
      </c>
      <c r="C72" s="24">
        <v>41732773</v>
      </c>
      <c r="D72" s="24" t="s">
        <v>678</v>
      </c>
      <c r="E72" s="24" t="s">
        <v>1790</v>
      </c>
      <c r="F72" s="24" t="s">
        <v>968</v>
      </c>
      <c r="G72" s="24" t="s">
        <v>969</v>
      </c>
      <c r="H72" s="24" t="s">
        <v>1371</v>
      </c>
      <c r="I72" s="24" t="s">
        <v>679</v>
      </c>
      <c r="J72" s="34" t="s">
        <v>2104</v>
      </c>
      <c r="K72" s="24">
        <v>942423103</v>
      </c>
      <c r="L72" s="24" t="s">
        <v>90</v>
      </c>
      <c r="M72" s="24" t="s">
        <v>619</v>
      </c>
      <c r="N72" s="24">
        <v>68</v>
      </c>
      <c r="O72" s="24" t="s">
        <v>11</v>
      </c>
    </row>
    <row r="73" spans="1:15" x14ac:dyDescent="0.25">
      <c r="A73" s="4">
        <v>72</v>
      </c>
      <c r="B73" s="33" t="s">
        <v>1719</v>
      </c>
      <c r="C73" s="24">
        <v>72729980</v>
      </c>
      <c r="D73" s="24" t="s">
        <v>680</v>
      </c>
      <c r="E73" s="24" t="s">
        <v>1791</v>
      </c>
      <c r="F73" s="24" t="s">
        <v>970</v>
      </c>
      <c r="G73" s="24" t="s">
        <v>971</v>
      </c>
      <c r="H73" s="24" t="s">
        <v>1372</v>
      </c>
      <c r="I73" s="24" t="s">
        <v>681</v>
      </c>
      <c r="J73" s="34" t="s">
        <v>2104</v>
      </c>
      <c r="K73" s="24">
        <v>980985081</v>
      </c>
      <c r="L73" s="24" t="s">
        <v>90</v>
      </c>
      <c r="M73" s="24" t="s">
        <v>619</v>
      </c>
      <c r="N73" s="24">
        <v>68</v>
      </c>
      <c r="O73" s="24" t="s">
        <v>11</v>
      </c>
    </row>
    <row r="74" spans="1:15" x14ac:dyDescent="0.25">
      <c r="A74" s="4">
        <v>73</v>
      </c>
      <c r="B74" s="33" t="s">
        <v>1719</v>
      </c>
      <c r="C74" s="24">
        <v>70768967</v>
      </c>
      <c r="D74" s="24" t="s">
        <v>682</v>
      </c>
      <c r="E74" s="24" t="s">
        <v>1792</v>
      </c>
      <c r="F74" s="24" t="s">
        <v>972</v>
      </c>
      <c r="G74" s="24" t="s">
        <v>973</v>
      </c>
      <c r="H74" s="24" t="s">
        <v>1373</v>
      </c>
      <c r="I74" s="24" t="s">
        <v>683</v>
      </c>
      <c r="J74" s="34" t="s">
        <v>2104</v>
      </c>
      <c r="K74" s="24">
        <v>971517579</v>
      </c>
      <c r="L74" s="24" t="s">
        <v>90</v>
      </c>
      <c r="M74" s="24" t="s">
        <v>619</v>
      </c>
      <c r="N74" s="24">
        <v>68</v>
      </c>
      <c r="O74" s="24" t="s">
        <v>11</v>
      </c>
    </row>
    <row r="75" spans="1:15" x14ac:dyDescent="0.25">
      <c r="A75" s="4">
        <v>74</v>
      </c>
      <c r="B75" s="33" t="s">
        <v>1719</v>
      </c>
      <c r="C75" s="24">
        <v>16714301</v>
      </c>
      <c r="D75" s="24" t="s">
        <v>684</v>
      </c>
      <c r="E75" s="24" t="s">
        <v>1793</v>
      </c>
      <c r="F75" s="24" t="s">
        <v>974</v>
      </c>
      <c r="G75" s="24" t="s">
        <v>962</v>
      </c>
      <c r="H75" s="24" t="s">
        <v>1374</v>
      </c>
      <c r="I75" s="24" t="s">
        <v>685</v>
      </c>
      <c r="J75" s="34" t="s">
        <v>2104</v>
      </c>
      <c r="K75" s="24">
        <v>978761783</v>
      </c>
      <c r="L75" s="24" t="s">
        <v>90</v>
      </c>
      <c r="M75" s="24" t="s">
        <v>619</v>
      </c>
      <c r="N75" s="24">
        <v>68</v>
      </c>
      <c r="O75" s="24" t="s">
        <v>11</v>
      </c>
    </row>
    <row r="76" spans="1:15" x14ac:dyDescent="0.25">
      <c r="A76" s="4">
        <v>75</v>
      </c>
      <c r="B76" s="33" t="s">
        <v>1719</v>
      </c>
      <c r="C76" s="24">
        <v>76767502</v>
      </c>
      <c r="D76" s="24" t="s">
        <v>686</v>
      </c>
      <c r="E76" s="24" t="s">
        <v>1794</v>
      </c>
      <c r="F76" s="24" t="s">
        <v>975</v>
      </c>
      <c r="G76" s="24" t="s">
        <v>913</v>
      </c>
      <c r="H76" s="24" t="s">
        <v>1375</v>
      </c>
      <c r="I76" s="24" t="s">
        <v>687</v>
      </c>
      <c r="J76" s="34" t="s">
        <v>2104</v>
      </c>
      <c r="K76" s="24">
        <v>937352418</v>
      </c>
      <c r="L76" s="24" t="s">
        <v>90</v>
      </c>
      <c r="M76" s="24" t="s">
        <v>619</v>
      </c>
      <c r="N76" s="24">
        <v>68</v>
      </c>
      <c r="O76" s="24" t="s">
        <v>11</v>
      </c>
    </row>
    <row r="77" spans="1:15" x14ac:dyDescent="0.25">
      <c r="A77" s="4">
        <v>76</v>
      </c>
      <c r="B77" s="33" t="s">
        <v>1719</v>
      </c>
      <c r="C77" s="24">
        <v>27424102</v>
      </c>
      <c r="D77" s="24" t="s">
        <v>688</v>
      </c>
      <c r="E77" s="24" t="s">
        <v>1795</v>
      </c>
      <c r="F77" s="24" t="s">
        <v>975</v>
      </c>
      <c r="G77" s="24" t="s">
        <v>976</v>
      </c>
      <c r="H77" s="24" t="s">
        <v>1376</v>
      </c>
      <c r="I77" s="24" t="s">
        <v>689</v>
      </c>
      <c r="J77" s="34" t="s">
        <v>2104</v>
      </c>
      <c r="K77" s="24">
        <v>976841193</v>
      </c>
      <c r="L77" s="24" t="s">
        <v>90</v>
      </c>
      <c r="M77" s="24" t="s">
        <v>619</v>
      </c>
      <c r="N77" s="24">
        <v>67.5</v>
      </c>
      <c r="O77" s="24" t="s">
        <v>11</v>
      </c>
    </row>
    <row r="78" spans="1:15" x14ac:dyDescent="0.25">
      <c r="A78" s="4">
        <v>77</v>
      </c>
      <c r="B78" s="33" t="s">
        <v>1719</v>
      </c>
      <c r="C78" s="24">
        <v>71038489</v>
      </c>
      <c r="D78" s="24" t="s">
        <v>690</v>
      </c>
      <c r="E78" s="24" t="s">
        <v>1796</v>
      </c>
      <c r="F78" s="24" t="s">
        <v>963</v>
      </c>
      <c r="G78" s="24" t="s">
        <v>977</v>
      </c>
      <c r="H78" s="24" t="s">
        <v>1377</v>
      </c>
      <c r="I78" s="24" t="s">
        <v>691</v>
      </c>
      <c r="J78" s="34" t="s">
        <v>2104</v>
      </c>
      <c r="K78" s="24">
        <v>978505368</v>
      </c>
      <c r="L78" s="24" t="s">
        <v>90</v>
      </c>
      <c r="M78" s="24" t="s">
        <v>619</v>
      </c>
      <c r="N78" s="24">
        <v>67</v>
      </c>
      <c r="O78" s="24" t="s">
        <v>11</v>
      </c>
    </row>
    <row r="79" spans="1:15" x14ac:dyDescent="0.25">
      <c r="A79" s="4">
        <v>78</v>
      </c>
      <c r="B79" s="33" t="s">
        <v>1719</v>
      </c>
      <c r="C79" s="24">
        <v>74475031</v>
      </c>
      <c r="D79" s="24" t="s">
        <v>692</v>
      </c>
      <c r="E79" s="24" t="s">
        <v>1797</v>
      </c>
      <c r="F79" s="24" t="s">
        <v>978</v>
      </c>
      <c r="G79" s="24" t="s">
        <v>887</v>
      </c>
      <c r="H79" s="24" t="s">
        <v>1356</v>
      </c>
      <c r="I79" s="24" t="s">
        <v>693</v>
      </c>
      <c r="J79" s="34" t="s">
        <v>2104</v>
      </c>
      <c r="K79" s="24">
        <v>920407141</v>
      </c>
      <c r="L79" s="24" t="s">
        <v>90</v>
      </c>
      <c r="M79" s="24" t="s">
        <v>619</v>
      </c>
      <c r="N79" s="24">
        <v>66</v>
      </c>
      <c r="O79" s="24" t="s">
        <v>11</v>
      </c>
    </row>
    <row r="80" spans="1:15" x14ac:dyDescent="0.25">
      <c r="A80" s="4">
        <v>79</v>
      </c>
      <c r="B80" s="33" t="s">
        <v>1719</v>
      </c>
      <c r="C80" s="24">
        <v>76377028</v>
      </c>
      <c r="D80" s="24" t="s">
        <v>694</v>
      </c>
      <c r="E80" s="24" t="s">
        <v>1798</v>
      </c>
      <c r="F80" s="24" t="s">
        <v>895</v>
      </c>
      <c r="G80" s="24" t="s">
        <v>978</v>
      </c>
      <c r="H80" s="24" t="s">
        <v>1378</v>
      </c>
      <c r="I80" s="24" t="s">
        <v>695</v>
      </c>
      <c r="J80" s="34" t="s">
        <v>2104</v>
      </c>
      <c r="K80" s="24">
        <v>900531365</v>
      </c>
      <c r="L80" s="24" t="s">
        <v>90</v>
      </c>
      <c r="M80" s="24" t="s">
        <v>619</v>
      </c>
      <c r="N80" s="24">
        <v>65.5</v>
      </c>
      <c r="O80" s="24" t="s">
        <v>11</v>
      </c>
    </row>
    <row r="81" spans="1:15" x14ac:dyDescent="0.25">
      <c r="A81" s="4">
        <v>80</v>
      </c>
      <c r="B81" s="33" t="s">
        <v>1719</v>
      </c>
      <c r="C81" s="24">
        <v>70069728</v>
      </c>
      <c r="D81" s="24" t="s">
        <v>696</v>
      </c>
      <c r="E81" s="24" t="s">
        <v>1799</v>
      </c>
      <c r="F81" s="24" t="s">
        <v>979</v>
      </c>
      <c r="G81" s="24" t="s">
        <v>980</v>
      </c>
      <c r="H81" s="24" t="s">
        <v>1379</v>
      </c>
      <c r="I81" s="24" t="s">
        <v>697</v>
      </c>
      <c r="J81" s="34" t="s">
        <v>2104</v>
      </c>
      <c r="K81" s="24">
        <v>936616909</v>
      </c>
      <c r="L81" s="24" t="s">
        <v>90</v>
      </c>
      <c r="M81" s="24" t="s">
        <v>619</v>
      </c>
      <c r="N81" s="24">
        <v>65.5</v>
      </c>
      <c r="O81" s="24" t="s">
        <v>11</v>
      </c>
    </row>
    <row r="82" spans="1:15" x14ac:dyDescent="0.25">
      <c r="A82" s="4">
        <v>81</v>
      </c>
      <c r="B82" s="33" t="s">
        <v>1719</v>
      </c>
      <c r="C82" s="24">
        <v>72127985</v>
      </c>
      <c r="D82" s="24" t="s">
        <v>698</v>
      </c>
      <c r="E82" s="24" t="s">
        <v>1800</v>
      </c>
      <c r="F82" s="24" t="s">
        <v>981</v>
      </c>
      <c r="G82" s="24" t="s">
        <v>982</v>
      </c>
      <c r="H82" s="24" t="s">
        <v>1380</v>
      </c>
      <c r="I82" s="24" t="s">
        <v>699</v>
      </c>
      <c r="J82" s="34" t="s">
        <v>2104</v>
      </c>
      <c r="K82" s="24">
        <v>958547673</v>
      </c>
      <c r="L82" s="24" t="s">
        <v>90</v>
      </c>
      <c r="M82" s="24" t="s">
        <v>619</v>
      </c>
      <c r="N82" s="24">
        <v>65.5</v>
      </c>
      <c r="O82" s="24" t="s">
        <v>11</v>
      </c>
    </row>
    <row r="83" spans="1:15" x14ac:dyDescent="0.25">
      <c r="A83" s="4">
        <v>82</v>
      </c>
      <c r="B83" s="33" t="s">
        <v>1719</v>
      </c>
      <c r="C83" s="24">
        <v>43895655</v>
      </c>
      <c r="D83" s="24" t="s">
        <v>700</v>
      </c>
      <c r="E83" s="24" t="s">
        <v>1801</v>
      </c>
      <c r="F83" s="24" t="s">
        <v>983</v>
      </c>
      <c r="G83" s="24" t="s">
        <v>984</v>
      </c>
      <c r="H83" s="24" t="s">
        <v>1381</v>
      </c>
      <c r="I83" s="24" t="s">
        <v>701</v>
      </c>
      <c r="J83" s="34" t="s">
        <v>2104</v>
      </c>
      <c r="K83" s="24">
        <v>945098819</v>
      </c>
      <c r="L83" s="24" t="s">
        <v>90</v>
      </c>
      <c r="M83" s="24" t="s">
        <v>619</v>
      </c>
      <c r="N83" s="24">
        <v>65.5</v>
      </c>
      <c r="O83" s="24" t="s">
        <v>11</v>
      </c>
    </row>
    <row r="84" spans="1:15" x14ac:dyDescent="0.25">
      <c r="A84" s="4">
        <v>83</v>
      </c>
      <c r="B84" s="33" t="s">
        <v>1719</v>
      </c>
      <c r="C84" s="24">
        <v>40769239</v>
      </c>
      <c r="D84" s="24" t="s">
        <v>702</v>
      </c>
      <c r="E84" s="24" t="s">
        <v>1802</v>
      </c>
      <c r="F84" s="24" t="s">
        <v>895</v>
      </c>
      <c r="G84" s="24" t="s">
        <v>938</v>
      </c>
      <c r="H84" s="24" t="s">
        <v>1382</v>
      </c>
      <c r="I84" s="24" t="s">
        <v>703</v>
      </c>
      <c r="J84" s="34" t="s">
        <v>2104</v>
      </c>
      <c r="K84" s="24">
        <v>979461317</v>
      </c>
      <c r="L84" s="24" t="s">
        <v>90</v>
      </c>
      <c r="M84" s="24" t="s">
        <v>619</v>
      </c>
      <c r="N84" s="24">
        <v>65</v>
      </c>
      <c r="O84" s="24" t="s">
        <v>11</v>
      </c>
    </row>
    <row r="85" spans="1:15" x14ac:dyDescent="0.25">
      <c r="A85" s="4">
        <v>84</v>
      </c>
      <c r="B85" s="33" t="s">
        <v>1719</v>
      </c>
      <c r="C85" s="24">
        <v>72449188</v>
      </c>
      <c r="D85" s="24" t="s">
        <v>704</v>
      </c>
      <c r="E85" s="24" t="s">
        <v>1803</v>
      </c>
      <c r="F85" s="24" t="s">
        <v>985</v>
      </c>
      <c r="G85" s="24" t="s">
        <v>986</v>
      </c>
      <c r="H85" s="24" t="s">
        <v>1383</v>
      </c>
      <c r="I85" s="24" t="s">
        <v>705</v>
      </c>
      <c r="J85" s="34" t="s">
        <v>2104</v>
      </c>
      <c r="K85" s="24">
        <v>952709693</v>
      </c>
      <c r="L85" s="24" t="s">
        <v>90</v>
      </c>
      <c r="M85" s="24" t="s">
        <v>619</v>
      </c>
      <c r="N85" s="24">
        <v>65</v>
      </c>
      <c r="O85" s="24" t="s">
        <v>11</v>
      </c>
    </row>
    <row r="86" spans="1:15" x14ac:dyDescent="0.25">
      <c r="A86" s="4">
        <v>85</v>
      </c>
      <c r="B86" s="33" t="s">
        <v>1719</v>
      </c>
      <c r="C86" s="24">
        <v>17522586</v>
      </c>
      <c r="D86" s="24" t="s">
        <v>706</v>
      </c>
      <c r="E86" s="24" t="s">
        <v>1804</v>
      </c>
      <c r="F86" s="24" t="s">
        <v>987</v>
      </c>
      <c r="G86" s="24" t="s">
        <v>910</v>
      </c>
      <c r="H86" s="24" t="s">
        <v>1384</v>
      </c>
      <c r="I86" s="24" t="s">
        <v>707</v>
      </c>
      <c r="J86" s="34" t="s">
        <v>2104</v>
      </c>
      <c r="K86" s="24">
        <v>969558679</v>
      </c>
      <c r="L86" s="24" t="s">
        <v>90</v>
      </c>
      <c r="M86" s="24" t="s">
        <v>619</v>
      </c>
      <c r="N86" s="24">
        <v>64.5</v>
      </c>
      <c r="O86" s="24" t="s">
        <v>11</v>
      </c>
    </row>
    <row r="87" spans="1:15" x14ac:dyDescent="0.25">
      <c r="A87" s="4">
        <v>86</v>
      </c>
      <c r="B87" s="33" t="s">
        <v>1719</v>
      </c>
      <c r="C87" s="24">
        <v>73484734</v>
      </c>
      <c r="D87" s="24" t="s">
        <v>708</v>
      </c>
      <c r="E87" s="24" t="s">
        <v>1805</v>
      </c>
      <c r="F87" s="24" t="s">
        <v>923</v>
      </c>
      <c r="G87" s="24" t="s">
        <v>1298</v>
      </c>
      <c r="H87" s="24" t="s">
        <v>1385</v>
      </c>
      <c r="I87" s="24" t="s">
        <v>709</v>
      </c>
      <c r="J87" s="34" t="s">
        <v>2104</v>
      </c>
      <c r="K87" s="24">
        <v>966223518</v>
      </c>
      <c r="L87" s="24" t="s">
        <v>90</v>
      </c>
      <c r="M87" s="24" t="s">
        <v>619</v>
      </c>
      <c r="N87" s="24">
        <v>63.5</v>
      </c>
      <c r="O87" s="24" t="s">
        <v>11</v>
      </c>
    </row>
    <row r="88" spans="1:15" x14ac:dyDescent="0.25">
      <c r="A88" s="4">
        <v>87</v>
      </c>
      <c r="B88" s="33" t="s">
        <v>1719</v>
      </c>
      <c r="C88" s="24">
        <v>17520944</v>
      </c>
      <c r="D88" s="24" t="s">
        <v>710</v>
      </c>
      <c r="E88" s="24" t="s">
        <v>1806</v>
      </c>
      <c r="F88" s="24" t="s">
        <v>988</v>
      </c>
      <c r="G88" s="24" t="s">
        <v>989</v>
      </c>
      <c r="H88" s="24" t="s">
        <v>1386</v>
      </c>
      <c r="I88" s="24" t="s">
        <v>711</v>
      </c>
      <c r="J88" s="34" t="s">
        <v>2104</v>
      </c>
      <c r="K88" s="24">
        <v>998892711</v>
      </c>
      <c r="L88" s="24" t="s">
        <v>90</v>
      </c>
      <c r="M88" s="24" t="s">
        <v>619</v>
      </c>
      <c r="N88" s="24">
        <v>61.5</v>
      </c>
      <c r="O88" s="24" t="s">
        <v>11</v>
      </c>
    </row>
    <row r="89" spans="1:15" x14ac:dyDescent="0.25">
      <c r="A89" s="4">
        <v>88</v>
      </c>
      <c r="B89" s="33" t="s">
        <v>1719</v>
      </c>
      <c r="C89" s="24">
        <v>77353656</v>
      </c>
      <c r="D89" s="24" t="s">
        <v>712</v>
      </c>
      <c r="E89" s="24" t="s">
        <v>1807</v>
      </c>
      <c r="F89" s="24" t="s">
        <v>990</v>
      </c>
      <c r="G89" s="24" t="s">
        <v>990</v>
      </c>
      <c r="H89" s="24" t="s">
        <v>1387</v>
      </c>
      <c r="I89" s="24" t="s">
        <v>713</v>
      </c>
      <c r="J89" s="34" t="s">
        <v>2104</v>
      </c>
      <c r="K89" s="24">
        <v>948401236</v>
      </c>
      <c r="L89" s="24" t="s">
        <v>90</v>
      </c>
      <c r="M89" s="24" t="s">
        <v>619</v>
      </c>
      <c r="N89" s="24">
        <v>61</v>
      </c>
      <c r="O89" s="24" t="s">
        <v>11</v>
      </c>
    </row>
    <row r="90" spans="1:15" x14ac:dyDescent="0.25">
      <c r="A90" s="4">
        <v>89</v>
      </c>
      <c r="B90" s="33" t="s">
        <v>1719</v>
      </c>
      <c r="C90" s="24">
        <v>16756045</v>
      </c>
      <c r="D90" s="24" t="s">
        <v>714</v>
      </c>
      <c r="E90" s="24" t="s">
        <v>1808</v>
      </c>
      <c r="F90" s="24" t="s">
        <v>891</v>
      </c>
      <c r="G90" s="24" t="s">
        <v>917</v>
      </c>
      <c r="H90" s="24" t="s">
        <v>1388</v>
      </c>
      <c r="I90" s="24" t="s">
        <v>715</v>
      </c>
      <c r="J90" s="34" t="s">
        <v>2104</v>
      </c>
      <c r="K90" s="24">
        <v>934052648</v>
      </c>
      <c r="L90" s="24" t="s">
        <v>90</v>
      </c>
      <c r="M90" s="24" t="s">
        <v>619</v>
      </c>
      <c r="N90" s="24">
        <v>61</v>
      </c>
      <c r="O90" s="24" t="s">
        <v>11</v>
      </c>
    </row>
    <row r="91" spans="1:15" x14ac:dyDescent="0.25">
      <c r="A91" s="4">
        <v>90</v>
      </c>
      <c r="B91" s="33" t="s">
        <v>1719</v>
      </c>
      <c r="C91" s="24">
        <v>17624843</v>
      </c>
      <c r="D91" s="24" t="s">
        <v>716</v>
      </c>
      <c r="E91" s="24" t="s">
        <v>1809</v>
      </c>
      <c r="F91" s="24" t="s">
        <v>991</v>
      </c>
      <c r="G91" s="24" t="s">
        <v>992</v>
      </c>
      <c r="H91" s="24" t="s">
        <v>1386</v>
      </c>
      <c r="I91" s="24" t="s">
        <v>717</v>
      </c>
      <c r="J91" s="34" t="s">
        <v>2104</v>
      </c>
      <c r="K91" s="24">
        <v>979955686</v>
      </c>
      <c r="L91" s="24" t="s">
        <v>90</v>
      </c>
      <c r="M91" s="24" t="s">
        <v>619</v>
      </c>
      <c r="N91" s="24">
        <v>56.5</v>
      </c>
      <c r="O91" s="24" t="s">
        <v>11</v>
      </c>
    </row>
    <row r="92" spans="1:15" x14ac:dyDescent="0.25">
      <c r="A92" s="4">
        <v>91</v>
      </c>
      <c r="B92" s="33" t="s">
        <v>1719</v>
      </c>
      <c r="C92" s="24">
        <v>42830102</v>
      </c>
      <c r="D92" s="24" t="s">
        <v>718</v>
      </c>
      <c r="E92" s="24" t="s">
        <v>1810</v>
      </c>
      <c r="F92" s="24" t="s">
        <v>993</v>
      </c>
      <c r="G92" s="24" t="s">
        <v>994</v>
      </c>
      <c r="H92" s="24" t="s">
        <v>1389</v>
      </c>
      <c r="I92" s="24" t="s">
        <v>719</v>
      </c>
      <c r="J92" s="34" t="s">
        <v>2104</v>
      </c>
      <c r="K92" s="24">
        <v>979210538</v>
      </c>
      <c r="L92" s="24" t="s">
        <v>90</v>
      </c>
      <c r="M92" s="24" t="s">
        <v>619</v>
      </c>
      <c r="N92" s="24">
        <v>56</v>
      </c>
      <c r="O92" s="24" t="s">
        <v>11</v>
      </c>
    </row>
    <row r="93" spans="1:15" x14ac:dyDescent="0.25">
      <c r="A93" s="4">
        <v>92</v>
      </c>
      <c r="B93" s="33" t="s">
        <v>1719</v>
      </c>
      <c r="C93" s="26">
        <v>43227051</v>
      </c>
      <c r="D93" s="26" t="s">
        <v>728</v>
      </c>
      <c r="E93" s="26" t="s">
        <v>1811</v>
      </c>
      <c r="F93" s="26" t="s">
        <v>913</v>
      </c>
      <c r="G93" s="26" t="s">
        <v>995</v>
      </c>
      <c r="H93" s="26" t="s">
        <v>1390</v>
      </c>
      <c r="I93" s="26" t="s">
        <v>729</v>
      </c>
      <c r="J93" s="34" t="s">
        <v>2104</v>
      </c>
      <c r="K93" s="26">
        <v>980377131</v>
      </c>
      <c r="L93" s="26" t="s">
        <v>90</v>
      </c>
      <c r="M93" s="26" t="s">
        <v>730</v>
      </c>
      <c r="N93" s="26">
        <v>74</v>
      </c>
      <c r="O93" s="26" t="s">
        <v>11</v>
      </c>
    </row>
    <row r="94" spans="1:15" x14ac:dyDescent="0.25">
      <c r="A94" s="4">
        <v>93</v>
      </c>
      <c r="B94" s="33" t="s">
        <v>1719</v>
      </c>
      <c r="C94" s="26">
        <v>40055451</v>
      </c>
      <c r="D94" s="26" t="s">
        <v>731</v>
      </c>
      <c r="E94" s="26" t="s">
        <v>1812</v>
      </c>
      <c r="F94" s="26" t="s">
        <v>996</v>
      </c>
      <c r="G94" s="26" t="s">
        <v>891</v>
      </c>
      <c r="H94" s="26" t="s">
        <v>1391</v>
      </c>
      <c r="I94" s="26" t="s">
        <v>732</v>
      </c>
      <c r="J94" s="34" t="s">
        <v>2104</v>
      </c>
      <c r="K94" s="26">
        <v>985112187</v>
      </c>
      <c r="L94" s="26" t="s">
        <v>90</v>
      </c>
      <c r="M94" s="26" t="s">
        <v>730</v>
      </c>
      <c r="N94" s="26">
        <v>72</v>
      </c>
      <c r="O94" s="26" t="s">
        <v>11</v>
      </c>
    </row>
    <row r="95" spans="1:15" x14ac:dyDescent="0.25">
      <c r="A95" s="4">
        <v>94</v>
      </c>
      <c r="B95" s="33" t="s">
        <v>1719</v>
      </c>
      <c r="C95" s="26">
        <v>40674116</v>
      </c>
      <c r="D95" s="26" t="s">
        <v>733</v>
      </c>
      <c r="E95" s="26" t="s">
        <v>1813</v>
      </c>
      <c r="F95" s="26" t="s">
        <v>997</v>
      </c>
      <c r="G95" s="26" t="s">
        <v>948</v>
      </c>
      <c r="H95" s="26" t="s">
        <v>1392</v>
      </c>
      <c r="I95" s="26" t="s">
        <v>734</v>
      </c>
      <c r="J95" s="34" t="s">
        <v>2104</v>
      </c>
      <c r="K95" s="26">
        <v>979939553</v>
      </c>
      <c r="L95" s="26" t="s">
        <v>90</v>
      </c>
      <c r="M95" s="26" t="s">
        <v>730</v>
      </c>
      <c r="N95" s="26">
        <v>71.5</v>
      </c>
      <c r="O95" s="26" t="s">
        <v>11</v>
      </c>
    </row>
    <row r="96" spans="1:15" x14ac:dyDescent="0.25">
      <c r="A96" s="4">
        <v>95</v>
      </c>
      <c r="B96" s="33" t="s">
        <v>1719</v>
      </c>
      <c r="C96" s="26">
        <v>46690196</v>
      </c>
      <c r="D96" s="26" t="s">
        <v>735</v>
      </c>
      <c r="E96" s="26" t="s">
        <v>1814</v>
      </c>
      <c r="F96" s="26" t="s">
        <v>998</v>
      </c>
      <c r="G96" s="26" t="s">
        <v>966</v>
      </c>
      <c r="H96" s="26" t="s">
        <v>1393</v>
      </c>
      <c r="I96" s="26" t="s">
        <v>736</v>
      </c>
      <c r="J96" s="34" t="s">
        <v>2104</v>
      </c>
      <c r="K96" s="26">
        <v>954908813</v>
      </c>
      <c r="L96" s="26" t="s">
        <v>90</v>
      </c>
      <c r="M96" s="26" t="s">
        <v>730</v>
      </c>
      <c r="N96" s="26">
        <v>70</v>
      </c>
      <c r="O96" s="26" t="s">
        <v>11</v>
      </c>
    </row>
    <row r="97" spans="1:15" x14ac:dyDescent="0.25">
      <c r="A97" s="4">
        <v>96</v>
      </c>
      <c r="B97" s="33" t="s">
        <v>1719</v>
      </c>
      <c r="C97" s="26">
        <v>74567191</v>
      </c>
      <c r="D97" s="26" t="s">
        <v>737</v>
      </c>
      <c r="E97" s="26" t="s">
        <v>1815</v>
      </c>
      <c r="F97" s="26" t="s">
        <v>999</v>
      </c>
      <c r="G97" s="26" t="s">
        <v>1000</v>
      </c>
      <c r="H97" s="26" t="s">
        <v>1394</v>
      </c>
      <c r="I97" s="26" t="s">
        <v>738</v>
      </c>
      <c r="J97" s="34" t="s">
        <v>2104</v>
      </c>
      <c r="K97" s="26">
        <v>932152135</v>
      </c>
      <c r="L97" s="26" t="s">
        <v>90</v>
      </c>
      <c r="M97" s="26" t="s">
        <v>730</v>
      </c>
      <c r="N97" s="26">
        <v>69</v>
      </c>
      <c r="O97" s="26" t="s">
        <v>11</v>
      </c>
    </row>
    <row r="98" spans="1:15" x14ac:dyDescent="0.25">
      <c r="A98" s="4">
        <v>97</v>
      </c>
      <c r="B98" s="33" t="s">
        <v>1719</v>
      </c>
      <c r="C98" s="26">
        <v>47251908</v>
      </c>
      <c r="D98" s="26" t="s">
        <v>739</v>
      </c>
      <c r="E98" s="26" t="s">
        <v>1816</v>
      </c>
      <c r="F98" s="26" t="s">
        <v>1001</v>
      </c>
      <c r="G98" s="26" t="s">
        <v>987</v>
      </c>
      <c r="H98" s="26" t="s">
        <v>1395</v>
      </c>
      <c r="I98" s="26" t="s">
        <v>740</v>
      </c>
      <c r="J98" s="34" t="s">
        <v>2104</v>
      </c>
      <c r="K98" s="26">
        <v>912019745</v>
      </c>
      <c r="L98" s="26" t="s">
        <v>90</v>
      </c>
      <c r="M98" s="26" t="s">
        <v>730</v>
      </c>
      <c r="N98" s="26">
        <v>66.5</v>
      </c>
      <c r="O98" s="26" t="s">
        <v>11</v>
      </c>
    </row>
    <row r="99" spans="1:15" x14ac:dyDescent="0.25">
      <c r="A99" s="4">
        <v>98</v>
      </c>
      <c r="B99" s="33" t="s">
        <v>1719</v>
      </c>
      <c r="C99" s="26">
        <v>73865043</v>
      </c>
      <c r="D99" s="26" t="s">
        <v>741</v>
      </c>
      <c r="E99" s="26" t="s">
        <v>1817</v>
      </c>
      <c r="F99" s="26" t="s">
        <v>908</v>
      </c>
      <c r="G99" s="26" t="s">
        <v>887</v>
      </c>
      <c r="H99" s="26" t="s">
        <v>1396</v>
      </c>
      <c r="I99" s="26" t="s">
        <v>742</v>
      </c>
      <c r="J99" s="34" t="s">
        <v>2104</v>
      </c>
      <c r="K99" s="26">
        <v>939178567</v>
      </c>
      <c r="L99" s="26" t="s">
        <v>90</v>
      </c>
      <c r="M99" s="26" t="s">
        <v>730</v>
      </c>
      <c r="N99" s="26">
        <v>63.5</v>
      </c>
      <c r="O99" s="26" t="s">
        <v>11</v>
      </c>
    </row>
    <row r="100" spans="1:15" x14ac:dyDescent="0.25">
      <c r="A100" s="4">
        <v>99</v>
      </c>
      <c r="B100" s="33" t="s">
        <v>1719</v>
      </c>
      <c r="C100" s="26">
        <v>43502190</v>
      </c>
      <c r="D100" s="26" t="s">
        <v>743</v>
      </c>
      <c r="E100" s="26" t="s">
        <v>1818</v>
      </c>
      <c r="F100" s="26" t="s">
        <v>939</v>
      </c>
      <c r="G100" s="26" t="s">
        <v>1002</v>
      </c>
      <c r="H100" s="26" t="s">
        <v>1397</v>
      </c>
      <c r="I100" s="26" t="s">
        <v>744</v>
      </c>
      <c r="J100" s="34" t="s">
        <v>2104</v>
      </c>
      <c r="K100" s="26">
        <v>910129487</v>
      </c>
      <c r="L100" s="26" t="s">
        <v>90</v>
      </c>
      <c r="M100" s="26" t="s">
        <v>730</v>
      </c>
      <c r="N100" s="26">
        <v>63.5</v>
      </c>
      <c r="O100" s="26" t="s">
        <v>11</v>
      </c>
    </row>
    <row r="101" spans="1:15" x14ac:dyDescent="0.25">
      <c r="A101" s="4">
        <v>100</v>
      </c>
      <c r="B101" s="33" t="s">
        <v>1719</v>
      </c>
      <c r="C101" s="26">
        <v>74825859</v>
      </c>
      <c r="D101" s="26" t="s">
        <v>745</v>
      </c>
      <c r="E101" s="26" t="s">
        <v>1819</v>
      </c>
      <c r="F101" s="26" t="s">
        <v>1003</v>
      </c>
      <c r="G101" s="26" t="s">
        <v>876</v>
      </c>
      <c r="H101" s="26" t="s">
        <v>1398</v>
      </c>
      <c r="I101" s="26" t="s">
        <v>746</v>
      </c>
      <c r="J101" s="34" t="s">
        <v>2104</v>
      </c>
      <c r="K101" s="26">
        <v>950165364</v>
      </c>
      <c r="L101" s="26" t="s">
        <v>90</v>
      </c>
      <c r="M101" s="26" t="s">
        <v>730</v>
      </c>
      <c r="N101" s="26">
        <v>56</v>
      </c>
      <c r="O101" s="26" t="s">
        <v>11</v>
      </c>
    </row>
    <row r="102" spans="1:15" x14ac:dyDescent="0.25">
      <c r="A102" s="4">
        <v>101</v>
      </c>
      <c r="B102" s="33" t="s">
        <v>1719</v>
      </c>
      <c r="C102" s="26">
        <v>47660746</v>
      </c>
      <c r="D102" s="26" t="s">
        <v>747</v>
      </c>
      <c r="E102" s="26" t="s">
        <v>1820</v>
      </c>
      <c r="F102" s="26" t="s">
        <v>901</v>
      </c>
      <c r="G102" s="26" t="s">
        <v>944</v>
      </c>
      <c r="H102" s="26" t="s">
        <v>1370</v>
      </c>
      <c r="I102" s="26" t="s">
        <v>748</v>
      </c>
      <c r="J102" s="34" t="s">
        <v>2104</v>
      </c>
      <c r="K102" s="26">
        <v>956659369</v>
      </c>
      <c r="L102" s="26" t="s">
        <v>90</v>
      </c>
      <c r="M102" s="26" t="s">
        <v>730</v>
      </c>
      <c r="N102" s="26">
        <v>56</v>
      </c>
      <c r="O102" s="26" t="s">
        <v>11</v>
      </c>
    </row>
    <row r="103" spans="1:15" x14ac:dyDescent="0.25">
      <c r="A103" s="4">
        <v>102</v>
      </c>
      <c r="B103" s="33" t="s">
        <v>1719</v>
      </c>
      <c r="C103" s="26">
        <v>45194887</v>
      </c>
      <c r="D103" s="26" t="s">
        <v>749</v>
      </c>
      <c r="E103" s="26" t="s">
        <v>1821</v>
      </c>
      <c r="F103" s="26" t="s">
        <v>1004</v>
      </c>
      <c r="G103" s="26" t="s">
        <v>1005</v>
      </c>
      <c r="H103" s="26" t="s">
        <v>1399</v>
      </c>
      <c r="I103" s="26" t="s">
        <v>750</v>
      </c>
      <c r="J103" s="34" t="s">
        <v>2104</v>
      </c>
      <c r="K103" s="26">
        <v>952529823</v>
      </c>
      <c r="L103" s="26" t="s">
        <v>90</v>
      </c>
      <c r="M103" s="26" t="s">
        <v>730</v>
      </c>
      <c r="N103" s="26">
        <v>55</v>
      </c>
      <c r="O103" s="26" t="s">
        <v>11</v>
      </c>
    </row>
    <row r="104" spans="1:15" x14ac:dyDescent="0.25">
      <c r="A104" s="4">
        <v>103</v>
      </c>
      <c r="B104" s="33" t="s">
        <v>1719</v>
      </c>
      <c r="C104" s="26">
        <v>46413153</v>
      </c>
      <c r="D104" s="26" t="s">
        <v>751</v>
      </c>
      <c r="E104" s="26" t="s">
        <v>1822</v>
      </c>
      <c r="F104" s="26" t="s">
        <v>1006</v>
      </c>
      <c r="G104" s="26" t="s">
        <v>1007</v>
      </c>
      <c r="H104" s="26" t="s">
        <v>1400</v>
      </c>
      <c r="I104" s="26" t="s">
        <v>752</v>
      </c>
      <c r="J104" s="34" t="s">
        <v>2104</v>
      </c>
      <c r="K104" s="26">
        <v>941981267</v>
      </c>
      <c r="L104" s="26" t="s">
        <v>90</v>
      </c>
      <c r="M104" s="26" t="s">
        <v>730</v>
      </c>
      <c r="N104" s="26">
        <v>55</v>
      </c>
      <c r="O104" s="26" t="s">
        <v>11</v>
      </c>
    </row>
    <row r="105" spans="1:15" x14ac:dyDescent="0.25">
      <c r="A105" s="4">
        <v>104</v>
      </c>
      <c r="B105" s="33" t="s">
        <v>1719</v>
      </c>
      <c r="C105" s="26">
        <v>45465030</v>
      </c>
      <c r="D105" s="26" t="s">
        <v>753</v>
      </c>
      <c r="E105" s="26" t="s">
        <v>1823</v>
      </c>
      <c r="F105" s="26" t="s">
        <v>1008</v>
      </c>
      <c r="G105" s="26" t="s">
        <v>925</v>
      </c>
      <c r="H105" s="26" t="s">
        <v>1401</v>
      </c>
      <c r="I105" s="26" t="s">
        <v>754</v>
      </c>
      <c r="J105" s="34" t="s">
        <v>2104</v>
      </c>
      <c r="K105" s="26">
        <v>963679166</v>
      </c>
      <c r="L105" s="26" t="s">
        <v>90</v>
      </c>
      <c r="M105" s="26" t="s">
        <v>730</v>
      </c>
      <c r="N105" s="26">
        <v>54</v>
      </c>
      <c r="O105" s="26" t="s">
        <v>11</v>
      </c>
    </row>
    <row r="106" spans="1:15" x14ac:dyDescent="0.25">
      <c r="A106" s="4">
        <v>105</v>
      </c>
      <c r="B106" s="33" t="s">
        <v>1719</v>
      </c>
      <c r="C106" s="26">
        <v>80214918</v>
      </c>
      <c r="D106" s="26" t="s">
        <v>755</v>
      </c>
      <c r="E106" s="26" t="s">
        <v>1824</v>
      </c>
      <c r="F106" s="26" t="s">
        <v>901</v>
      </c>
      <c r="G106" s="26" t="s">
        <v>1009</v>
      </c>
      <c r="H106" s="26" t="s">
        <v>1402</v>
      </c>
      <c r="I106" s="26" t="s">
        <v>756</v>
      </c>
      <c r="J106" s="34" t="s">
        <v>2104</v>
      </c>
      <c r="K106" s="26">
        <v>915987269</v>
      </c>
      <c r="L106" s="26" t="s">
        <v>90</v>
      </c>
      <c r="M106" s="26" t="s">
        <v>730</v>
      </c>
      <c r="N106" s="26">
        <v>52.5</v>
      </c>
      <c r="O106" s="26" t="s">
        <v>11</v>
      </c>
    </row>
    <row r="107" spans="1:15" x14ac:dyDescent="0.25">
      <c r="A107" s="4">
        <v>106</v>
      </c>
      <c r="B107" s="33" t="s">
        <v>1719</v>
      </c>
      <c r="C107" s="26">
        <v>76475807</v>
      </c>
      <c r="D107" s="26" t="s">
        <v>757</v>
      </c>
      <c r="E107" s="26" t="s">
        <v>1825</v>
      </c>
      <c r="F107" s="26" t="s">
        <v>1010</v>
      </c>
      <c r="G107" s="26" t="s">
        <v>1011</v>
      </c>
      <c r="H107" s="26" t="s">
        <v>1403</v>
      </c>
      <c r="I107" s="26" t="s">
        <v>758</v>
      </c>
      <c r="J107" s="34" t="s">
        <v>2104</v>
      </c>
      <c r="K107" s="26">
        <v>978090860</v>
      </c>
      <c r="L107" s="26" t="s">
        <v>90</v>
      </c>
      <c r="M107" s="26" t="s">
        <v>730</v>
      </c>
      <c r="N107" s="26">
        <v>50</v>
      </c>
      <c r="O107" s="26" t="s">
        <v>11</v>
      </c>
    </row>
    <row r="108" spans="1:15" x14ac:dyDescent="0.25">
      <c r="A108" s="4">
        <v>107</v>
      </c>
      <c r="B108" s="33" t="s">
        <v>1719</v>
      </c>
      <c r="C108" s="26">
        <v>46329807</v>
      </c>
      <c r="D108" s="26" t="s">
        <v>759</v>
      </c>
      <c r="E108" s="26" t="s">
        <v>1826</v>
      </c>
      <c r="F108" s="26" t="s">
        <v>1012</v>
      </c>
      <c r="G108" s="26" t="s">
        <v>1013</v>
      </c>
      <c r="H108" s="26" t="s">
        <v>1404</v>
      </c>
      <c r="I108" s="26" t="s">
        <v>760</v>
      </c>
      <c r="J108" s="34" t="s">
        <v>2104</v>
      </c>
      <c r="K108" s="26">
        <v>994772362</v>
      </c>
      <c r="L108" s="26" t="s">
        <v>90</v>
      </c>
      <c r="M108" s="26" t="s">
        <v>730</v>
      </c>
      <c r="N108" s="26">
        <v>48</v>
      </c>
      <c r="O108" s="26" t="s">
        <v>11</v>
      </c>
    </row>
    <row r="109" spans="1:15" x14ac:dyDescent="0.25">
      <c r="A109" s="4">
        <v>108</v>
      </c>
      <c r="B109" s="33" t="s">
        <v>1719</v>
      </c>
      <c r="C109" s="20">
        <v>77434930</v>
      </c>
      <c r="D109" s="20" t="s">
        <v>530</v>
      </c>
      <c r="E109" s="20" t="s">
        <v>1827</v>
      </c>
      <c r="F109" s="20" t="s">
        <v>876</v>
      </c>
      <c r="G109" s="20" t="s">
        <v>1014</v>
      </c>
      <c r="H109" s="20" t="s">
        <v>1405</v>
      </c>
      <c r="I109" s="20" t="s">
        <v>531</v>
      </c>
      <c r="J109" s="34" t="s">
        <v>2104</v>
      </c>
      <c r="K109" s="20">
        <v>984988901</v>
      </c>
      <c r="L109" s="20" t="s">
        <v>90</v>
      </c>
      <c r="M109" s="20" t="s">
        <v>532</v>
      </c>
      <c r="N109" s="20">
        <v>81.5</v>
      </c>
      <c r="O109" s="20" t="s">
        <v>11</v>
      </c>
    </row>
    <row r="110" spans="1:15" x14ac:dyDescent="0.25">
      <c r="A110" s="4">
        <v>109</v>
      </c>
      <c r="B110" s="33" t="s">
        <v>1719</v>
      </c>
      <c r="C110" s="20">
        <v>71615638</v>
      </c>
      <c r="D110" s="20" t="s">
        <v>533</v>
      </c>
      <c r="E110" s="20" t="s">
        <v>1828</v>
      </c>
      <c r="F110" s="20" t="s">
        <v>1015</v>
      </c>
      <c r="G110" s="20" t="s">
        <v>891</v>
      </c>
      <c r="H110" s="20" t="s">
        <v>1406</v>
      </c>
      <c r="I110" s="20" t="s">
        <v>534</v>
      </c>
      <c r="J110" s="34" t="s">
        <v>2104</v>
      </c>
      <c r="K110" s="20">
        <v>903391142</v>
      </c>
      <c r="L110" s="20" t="s">
        <v>90</v>
      </c>
      <c r="M110" s="20" t="s">
        <v>532</v>
      </c>
      <c r="N110" s="20">
        <v>79</v>
      </c>
      <c r="O110" s="20" t="s">
        <v>11</v>
      </c>
    </row>
    <row r="111" spans="1:15" x14ac:dyDescent="0.25">
      <c r="A111" s="4">
        <v>110</v>
      </c>
      <c r="B111" s="33" t="s">
        <v>1719</v>
      </c>
      <c r="C111" s="20">
        <v>75915522</v>
      </c>
      <c r="D111" s="20" t="s">
        <v>535</v>
      </c>
      <c r="E111" s="20" t="s">
        <v>1829</v>
      </c>
      <c r="F111" s="20" t="s">
        <v>1016</v>
      </c>
      <c r="G111" s="20" t="s">
        <v>1017</v>
      </c>
      <c r="H111" s="20" t="s">
        <v>1407</v>
      </c>
      <c r="I111" s="20" t="s">
        <v>536</v>
      </c>
      <c r="J111" s="34" t="s">
        <v>2104</v>
      </c>
      <c r="K111" s="20">
        <v>927610620</v>
      </c>
      <c r="L111" s="20" t="s">
        <v>90</v>
      </c>
      <c r="M111" s="20" t="s">
        <v>532</v>
      </c>
      <c r="N111" s="20">
        <v>79</v>
      </c>
      <c r="O111" s="20" t="s">
        <v>11</v>
      </c>
    </row>
    <row r="112" spans="1:15" x14ac:dyDescent="0.25">
      <c r="A112" s="4">
        <v>111</v>
      </c>
      <c r="B112" s="33" t="s">
        <v>1719</v>
      </c>
      <c r="C112" s="20">
        <v>76055110</v>
      </c>
      <c r="D112" s="20" t="s">
        <v>537</v>
      </c>
      <c r="E112" s="20" t="s">
        <v>1830</v>
      </c>
      <c r="F112" s="20" t="s">
        <v>1018</v>
      </c>
      <c r="G112" s="20" t="s">
        <v>1019</v>
      </c>
      <c r="H112" s="20" t="s">
        <v>1408</v>
      </c>
      <c r="I112" s="20" t="s">
        <v>538</v>
      </c>
      <c r="J112" s="34" t="s">
        <v>2104</v>
      </c>
      <c r="K112" s="20">
        <v>933199989</v>
      </c>
      <c r="L112" s="20" t="s">
        <v>90</v>
      </c>
      <c r="M112" s="20" t="s">
        <v>532</v>
      </c>
      <c r="N112" s="20">
        <v>78</v>
      </c>
      <c r="O112" s="20" t="s">
        <v>11</v>
      </c>
    </row>
    <row r="113" spans="1:15" x14ac:dyDescent="0.25">
      <c r="A113" s="4">
        <v>112</v>
      </c>
      <c r="B113" s="33" t="s">
        <v>1719</v>
      </c>
      <c r="C113" s="20">
        <v>16721931</v>
      </c>
      <c r="D113" s="20" t="s">
        <v>539</v>
      </c>
      <c r="E113" s="20" t="s">
        <v>1831</v>
      </c>
      <c r="F113" s="20" t="s">
        <v>1020</v>
      </c>
      <c r="G113" s="20" t="s">
        <v>1021</v>
      </c>
      <c r="H113" s="20" t="s">
        <v>1409</v>
      </c>
      <c r="I113" s="20" t="s">
        <v>540</v>
      </c>
      <c r="J113" s="34" t="s">
        <v>2104</v>
      </c>
      <c r="K113" s="20">
        <v>978158802</v>
      </c>
      <c r="L113" s="20" t="s">
        <v>90</v>
      </c>
      <c r="M113" s="20" t="s">
        <v>532</v>
      </c>
      <c r="N113" s="20">
        <v>77.900000000000006</v>
      </c>
      <c r="O113" s="20" t="s">
        <v>11</v>
      </c>
    </row>
    <row r="114" spans="1:15" x14ac:dyDescent="0.25">
      <c r="A114" s="4">
        <v>113</v>
      </c>
      <c r="B114" s="33" t="s">
        <v>1719</v>
      </c>
      <c r="C114" s="20">
        <v>75860731</v>
      </c>
      <c r="D114" s="20" t="s">
        <v>541</v>
      </c>
      <c r="E114" s="20" t="s">
        <v>1832</v>
      </c>
      <c r="F114" s="20" t="s">
        <v>1022</v>
      </c>
      <c r="G114" s="20" t="s">
        <v>891</v>
      </c>
      <c r="H114" s="20" t="s">
        <v>1410</v>
      </c>
      <c r="I114" s="20" t="s">
        <v>542</v>
      </c>
      <c r="J114" s="34" t="s">
        <v>2104</v>
      </c>
      <c r="K114" s="20">
        <v>961470746</v>
      </c>
      <c r="L114" s="20" t="s">
        <v>90</v>
      </c>
      <c r="M114" s="20" t="s">
        <v>532</v>
      </c>
      <c r="N114" s="20">
        <v>77.5</v>
      </c>
      <c r="O114" s="20" t="s">
        <v>11</v>
      </c>
    </row>
    <row r="115" spans="1:15" x14ac:dyDescent="0.25">
      <c r="A115" s="4">
        <v>114</v>
      </c>
      <c r="B115" s="33" t="s">
        <v>1719</v>
      </c>
      <c r="C115" s="20">
        <v>75826160</v>
      </c>
      <c r="D115" s="20" t="s">
        <v>543</v>
      </c>
      <c r="E115" s="20" t="s">
        <v>1833</v>
      </c>
      <c r="F115" s="20" t="s">
        <v>1023</v>
      </c>
      <c r="G115" s="20" t="s">
        <v>1024</v>
      </c>
      <c r="H115" s="20" t="s">
        <v>1411</v>
      </c>
      <c r="I115" s="20" t="s">
        <v>544</v>
      </c>
      <c r="J115" s="34" t="s">
        <v>2104</v>
      </c>
      <c r="K115" s="20">
        <v>984987561</v>
      </c>
      <c r="L115" s="20" t="s">
        <v>90</v>
      </c>
      <c r="M115" s="20" t="s">
        <v>532</v>
      </c>
      <c r="N115" s="20">
        <v>77.099999999999994</v>
      </c>
      <c r="O115" s="20" t="s">
        <v>11</v>
      </c>
    </row>
    <row r="116" spans="1:15" x14ac:dyDescent="0.25">
      <c r="A116" s="4">
        <v>115</v>
      </c>
      <c r="B116" s="33" t="s">
        <v>1719</v>
      </c>
      <c r="C116" s="20">
        <v>73302661</v>
      </c>
      <c r="D116" s="20" t="s">
        <v>545</v>
      </c>
      <c r="E116" s="20" t="s">
        <v>1834</v>
      </c>
      <c r="F116" s="20" t="s">
        <v>1025</v>
      </c>
      <c r="G116" s="20" t="s">
        <v>1026</v>
      </c>
      <c r="H116" s="20" t="s">
        <v>1412</v>
      </c>
      <c r="I116" s="20" t="s">
        <v>546</v>
      </c>
      <c r="J116" s="34" t="s">
        <v>2104</v>
      </c>
      <c r="K116" s="20">
        <v>947868827</v>
      </c>
      <c r="L116" s="20" t="s">
        <v>90</v>
      </c>
      <c r="M116" s="20" t="s">
        <v>532</v>
      </c>
      <c r="N116" s="20">
        <v>76.5</v>
      </c>
      <c r="O116" s="20" t="s">
        <v>11</v>
      </c>
    </row>
    <row r="117" spans="1:15" x14ac:dyDescent="0.25">
      <c r="A117" s="4">
        <v>116</v>
      </c>
      <c r="B117" s="33" t="s">
        <v>1719</v>
      </c>
      <c r="C117" s="20">
        <v>71521433</v>
      </c>
      <c r="D117" s="20" t="s">
        <v>547</v>
      </c>
      <c r="E117" s="20" t="s">
        <v>1835</v>
      </c>
      <c r="F117" s="20" t="s">
        <v>1027</v>
      </c>
      <c r="G117" s="20" t="s">
        <v>858</v>
      </c>
      <c r="H117" s="20" t="s">
        <v>1413</v>
      </c>
      <c r="I117" s="20" t="s">
        <v>548</v>
      </c>
      <c r="J117" s="34" t="s">
        <v>2104</v>
      </c>
      <c r="K117" s="20">
        <v>991102426</v>
      </c>
      <c r="L117" s="20" t="s">
        <v>90</v>
      </c>
      <c r="M117" s="20" t="s">
        <v>532</v>
      </c>
      <c r="N117" s="20">
        <v>76</v>
      </c>
      <c r="O117" s="20" t="s">
        <v>11</v>
      </c>
    </row>
    <row r="118" spans="1:15" x14ac:dyDescent="0.25">
      <c r="A118" s="4">
        <v>117</v>
      </c>
      <c r="B118" s="33" t="s">
        <v>1719</v>
      </c>
      <c r="C118" s="20">
        <v>72120310</v>
      </c>
      <c r="D118" s="20" t="s">
        <v>549</v>
      </c>
      <c r="E118" s="20" t="s">
        <v>1836</v>
      </c>
      <c r="F118" s="20" t="s">
        <v>1028</v>
      </c>
      <c r="G118" s="20" t="s">
        <v>901</v>
      </c>
      <c r="H118" s="20" t="s">
        <v>1414</v>
      </c>
      <c r="I118" s="20" t="s">
        <v>550</v>
      </c>
      <c r="J118" s="34" t="s">
        <v>2104</v>
      </c>
      <c r="K118" s="20">
        <v>942890881</v>
      </c>
      <c r="L118" s="20" t="s">
        <v>90</v>
      </c>
      <c r="M118" s="20" t="s">
        <v>532</v>
      </c>
      <c r="N118" s="20">
        <v>76</v>
      </c>
      <c r="O118" s="20" t="s">
        <v>11</v>
      </c>
    </row>
    <row r="119" spans="1:15" x14ac:dyDescent="0.25">
      <c r="A119" s="4">
        <v>118</v>
      </c>
      <c r="B119" s="33" t="s">
        <v>1719</v>
      </c>
      <c r="C119" s="20">
        <v>72032293</v>
      </c>
      <c r="D119" s="20" t="s">
        <v>551</v>
      </c>
      <c r="E119" s="20" t="s">
        <v>1837</v>
      </c>
      <c r="F119" s="20" t="s">
        <v>870</v>
      </c>
      <c r="G119" s="20" t="s">
        <v>1029</v>
      </c>
      <c r="H119" s="20" t="s">
        <v>1415</v>
      </c>
      <c r="I119" s="20" t="s">
        <v>552</v>
      </c>
      <c r="J119" s="34" t="s">
        <v>2104</v>
      </c>
      <c r="K119" s="20">
        <v>912748022</v>
      </c>
      <c r="L119" s="20" t="s">
        <v>90</v>
      </c>
      <c r="M119" s="20" t="s">
        <v>532</v>
      </c>
      <c r="N119" s="20">
        <v>75</v>
      </c>
      <c r="O119" s="20" t="s">
        <v>11</v>
      </c>
    </row>
    <row r="120" spans="1:15" x14ac:dyDescent="0.25">
      <c r="A120" s="4">
        <v>119</v>
      </c>
      <c r="B120" s="33" t="s">
        <v>1719</v>
      </c>
      <c r="C120" s="20">
        <v>75439954</v>
      </c>
      <c r="D120" s="20" t="s">
        <v>553</v>
      </c>
      <c r="E120" s="20" t="s">
        <v>1838</v>
      </c>
      <c r="F120" s="20" t="s">
        <v>915</v>
      </c>
      <c r="G120" s="20" t="s">
        <v>1030</v>
      </c>
      <c r="H120" s="20" t="s">
        <v>1416</v>
      </c>
      <c r="I120" s="20" t="s">
        <v>554</v>
      </c>
      <c r="J120" s="34" t="s">
        <v>2104</v>
      </c>
      <c r="K120" s="20">
        <v>971957636</v>
      </c>
      <c r="L120" s="20" t="s">
        <v>90</v>
      </c>
      <c r="M120" s="20" t="s">
        <v>532</v>
      </c>
      <c r="N120" s="20">
        <v>74.7</v>
      </c>
      <c r="O120" s="20" t="s">
        <v>11</v>
      </c>
    </row>
    <row r="121" spans="1:15" x14ac:dyDescent="0.25">
      <c r="A121" s="4">
        <v>120</v>
      </c>
      <c r="B121" s="33" t="s">
        <v>1719</v>
      </c>
      <c r="C121" s="20">
        <v>71576811</v>
      </c>
      <c r="D121" s="20" t="s">
        <v>555</v>
      </c>
      <c r="E121" s="20" t="s">
        <v>1839</v>
      </c>
      <c r="F121" s="20" t="s">
        <v>1031</v>
      </c>
      <c r="G121" s="20" t="s">
        <v>1031</v>
      </c>
      <c r="H121" s="20" t="s">
        <v>1417</v>
      </c>
      <c r="I121" s="20" t="s">
        <v>556</v>
      </c>
      <c r="J121" s="34" t="s">
        <v>2104</v>
      </c>
      <c r="K121" s="20">
        <v>986494739</v>
      </c>
      <c r="L121" s="20" t="s">
        <v>90</v>
      </c>
      <c r="M121" s="20" t="s">
        <v>532</v>
      </c>
      <c r="N121" s="20">
        <v>74</v>
      </c>
      <c r="O121" s="20" t="s">
        <v>11</v>
      </c>
    </row>
    <row r="122" spans="1:15" x14ac:dyDescent="0.25">
      <c r="A122" s="4">
        <v>121</v>
      </c>
      <c r="B122" s="33" t="s">
        <v>1719</v>
      </c>
      <c r="C122" s="20">
        <v>70843479</v>
      </c>
      <c r="D122" s="20" t="s">
        <v>557</v>
      </c>
      <c r="E122" s="20" t="s">
        <v>1840</v>
      </c>
      <c r="F122" s="20" t="s">
        <v>1032</v>
      </c>
      <c r="G122" s="20" t="s">
        <v>1033</v>
      </c>
      <c r="H122" s="20" t="s">
        <v>1418</v>
      </c>
      <c r="I122" s="20" t="s">
        <v>558</v>
      </c>
      <c r="J122" s="34" t="s">
        <v>2104</v>
      </c>
      <c r="K122" s="20">
        <v>945805328</v>
      </c>
      <c r="L122" s="20" t="s">
        <v>90</v>
      </c>
      <c r="M122" s="20" t="s">
        <v>532</v>
      </c>
      <c r="N122" s="20">
        <v>73</v>
      </c>
      <c r="O122" s="20" t="s">
        <v>11</v>
      </c>
    </row>
    <row r="123" spans="1:15" x14ac:dyDescent="0.25">
      <c r="A123" s="4">
        <v>122</v>
      </c>
      <c r="B123" s="33" t="s">
        <v>1719</v>
      </c>
      <c r="C123" s="20">
        <v>40481231</v>
      </c>
      <c r="D123" s="20" t="s">
        <v>559</v>
      </c>
      <c r="E123" s="20" t="s">
        <v>1841</v>
      </c>
      <c r="F123" s="20" t="s">
        <v>1034</v>
      </c>
      <c r="G123" s="20" t="s">
        <v>1035</v>
      </c>
      <c r="H123" s="20" t="s">
        <v>1419</v>
      </c>
      <c r="I123" s="20" t="s">
        <v>560</v>
      </c>
      <c r="J123" s="34" t="s">
        <v>2104</v>
      </c>
      <c r="K123" s="20">
        <v>960785256</v>
      </c>
      <c r="L123" s="20" t="s">
        <v>90</v>
      </c>
      <c r="M123" s="20" t="s">
        <v>532</v>
      </c>
      <c r="N123" s="20">
        <v>72.5</v>
      </c>
      <c r="O123" s="20" t="s">
        <v>11</v>
      </c>
    </row>
    <row r="124" spans="1:15" x14ac:dyDescent="0.25">
      <c r="A124" s="4">
        <v>123</v>
      </c>
      <c r="B124" s="33" t="s">
        <v>1719</v>
      </c>
      <c r="C124" s="20">
        <v>76085949</v>
      </c>
      <c r="D124" s="20" t="s">
        <v>561</v>
      </c>
      <c r="E124" s="20" t="s">
        <v>1842</v>
      </c>
      <c r="F124" s="20" t="s">
        <v>1018</v>
      </c>
      <c r="G124" s="20" t="s">
        <v>1019</v>
      </c>
      <c r="H124" s="20" t="s">
        <v>1420</v>
      </c>
      <c r="I124" s="20" t="s">
        <v>562</v>
      </c>
      <c r="J124" s="34" t="s">
        <v>2104</v>
      </c>
      <c r="K124" s="20">
        <v>947160444</v>
      </c>
      <c r="L124" s="20" t="s">
        <v>90</v>
      </c>
      <c r="M124" s="20" t="s">
        <v>532</v>
      </c>
      <c r="N124" s="20">
        <v>72</v>
      </c>
      <c r="O124" s="20" t="s">
        <v>11</v>
      </c>
    </row>
    <row r="125" spans="1:15" x14ac:dyDescent="0.25">
      <c r="A125" s="4">
        <v>124</v>
      </c>
      <c r="B125" s="33" t="s">
        <v>1719</v>
      </c>
      <c r="C125" s="20">
        <v>73104437</v>
      </c>
      <c r="D125" s="20" t="s">
        <v>563</v>
      </c>
      <c r="E125" s="20" t="s">
        <v>1843</v>
      </c>
      <c r="F125" s="20" t="s">
        <v>1036</v>
      </c>
      <c r="G125" s="20" t="s">
        <v>954</v>
      </c>
      <c r="H125" s="20" t="s">
        <v>1421</v>
      </c>
      <c r="I125" s="20" t="s">
        <v>564</v>
      </c>
      <c r="J125" s="34" t="s">
        <v>2104</v>
      </c>
      <c r="K125" s="20">
        <v>979469504</v>
      </c>
      <c r="L125" s="20" t="s">
        <v>90</v>
      </c>
      <c r="M125" s="20" t="s">
        <v>532</v>
      </c>
      <c r="N125" s="20">
        <v>71.5</v>
      </c>
      <c r="O125" s="20" t="s">
        <v>11</v>
      </c>
    </row>
    <row r="126" spans="1:15" x14ac:dyDescent="0.25">
      <c r="A126" s="4">
        <v>125</v>
      </c>
      <c r="B126" s="33" t="s">
        <v>1719</v>
      </c>
      <c r="C126" s="20">
        <v>75923762</v>
      </c>
      <c r="D126" s="20" t="s">
        <v>565</v>
      </c>
      <c r="E126" s="20" t="s">
        <v>1844</v>
      </c>
      <c r="F126" s="20" t="s">
        <v>949</v>
      </c>
      <c r="G126" s="20" t="s">
        <v>894</v>
      </c>
      <c r="H126" s="20" t="s">
        <v>1422</v>
      </c>
      <c r="I126" s="20" t="s">
        <v>566</v>
      </c>
      <c r="J126" s="34" t="s">
        <v>2104</v>
      </c>
      <c r="K126" s="20">
        <v>956995046</v>
      </c>
      <c r="L126" s="20" t="s">
        <v>90</v>
      </c>
      <c r="M126" s="20" t="s">
        <v>532</v>
      </c>
      <c r="N126" s="20">
        <v>70.3</v>
      </c>
      <c r="O126" s="20" t="s">
        <v>11</v>
      </c>
    </row>
    <row r="127" spans="1:15" x14ac:dyDescent="0.25">
      <c r="A127" s="4">
        <v>126</v>
      </c>
      <c r="B127" s="33" t="s">
        <v>1719</v>
      </c>
      <c r="C127" s="20">
        <v>47203374</v>
      </c>
      <c r="D127" s="20" t="s">
        <v>567</v>
      </c>
      <c r="E127" s="20" t="s">
        <v>1845</v>
      </c>
      <c r="F127" s="20" t="s">
        <v>885</v>
      </c>
      <c r="G127" s="20" t="s">
        <v>888</v>
      </c>
      <c r="H127" s="20" t="s">
        <v>1423</v>
      </c>
      <c r="I127" s="20" t="s">
        <v>568</v>
      </c>
      <c r="J127" s="34" t="s">
        <v>2104</v>
      </c>
      <c r="K127" s="20">
        <v>950497989</v>
      </c>
      <c r="L127" s="20" t="s">
        <v>90</v>
      </c>
      <c r="M127" s="20" t="s">
        <v>532</v>
      </c>
      <c r="N127" s="20">
        <v>70</v>
      </c>
      <c r="O127" s="20" t="s">
        <v>11</v>
      </c>
    </row>
    <row r="128" spans="1:15" x14ac:dyDescent="0.25">
      <c r="A128" s="4">
        <v>127</v>
      </c>
      <c r="B128" s="33" t="s">
        <v>1719</v>
      </c>
      <c r="C128" s="20">
        <v>46872048</v>
      </c>
      <c r="D128" s="20" t="s">
        <v>569</v>
      </c>
      <c r="E128" s="20" t="s">
        <v>1846</v>
      </c>
      <c r="F128" s="20" t="s">
        <v>1020</v>
      </c>
      <c r="G128" s="20" t="s">
        <v>1037</v>
      </c>
      <c r="H128" s="20" t="s">
        <v>1424</v>
      </c>
      <c r="I128" s="20" t="s">
        <v>570</v>
      </c>
      <c r="J128" s="34" t="s">
        <v>2104</v>
      </c>
      <c r="K128" s="20">
        <v>979800079</v>
      </c>
      <c r="L128" s="20" t="s">
        <v>90</v>
      </c>
      <c r="M128" s="20" t="s">
        <v>532</v>
      </c>
      <c r="N128" s="20">
        <v>69.900000000000006</v>
      </c>
      <c r="O128" s="20" t="s">
        <v>11</v>
      </c>
    </row>
    <row r="129" spans="1:15" x14ac:dyDescent="0.25">
      <c r="A129" s="4">
        <v>128</v>
      </c>
      <c r="B129" s="33" t="s">
        <v>1719</v>
      </c>
      <c r="C129" s="20">
        <v>73465205</v>
      </c>
      <c r="D129" s="20" t="s">
        <v>571</v>
      </c>
      <c r="E129" s="20" t="s">
        <v>1847</v>
      </c>
      <c r="F129" s="20" t="s">
        <v>1038</v>
      </c>
      <c r="G129" s="20" t="s">
        <v>1039</v>
      </c>
      <c r="H129" s="20" t="s">
        <v>1425</v>
      </c>
      <c r="I129" s="20" t="s">
        <v>572</v>
      </c>
      <c r="J129" s="34" t="s">
        <v>2104</v>
      </c>
      <c r="K129" s="20">
        <v>970755382</v>
      </c>
      <c r="L129" s="20" t="s">
        <v>90</v>
      </c>
      <c r="M129" s="20" t="s">
        <v>532</v>
      </c>
      <c r="N129" s="20">
        <v>69.099999999999994</v>
      </c>
      <c r="O129" s="20" t="s">
        <v>11</v>
      </c>
    </row>
    <row r="130" spans="1:15" x14ac:dyDescent="0.25">
      <c r="A130" s="4">
        <v>129</v>
      </c>
      <c r="B130" s="33" t="s">
        <v>1719</v>
      </c>
      <c r="C130" s="20">
        <v>41937598</v>
      </c>
      <c r="D130" s="20" t="s">
        <v>573</v>
      </c>
      <c r="E130" s="20" t="s">
        <v>1848</v>
      </c>
      <c r="F130" s="20" t="s">
        <v>1041</v>
      </c>
      <c r="G130" s="20" t="s">
        <v>947</v>
      </c>
      <c r="H130" s="20" t="s">
        <v>1426</v>
      </c>
      <c r="I130" s="20" t="s">
        <v>574</v>
      </c>
      <c r="J130" s="34" t="s">
        <v>2104</v>
      </c>
      <c r="K130" s="20">
        <v>999368378</v>
      </c>
      <c r="L130" s="20" t="s">
        <v>90</v>
      </c>
      <c r="M130" s="20" t="s">
        <v>532</v>
      </c>
      <c r="N130" s="20">
        <v>68.5</v>
      </c>
      <c r="O130" s="20" t="s">
        <v>11</v>
      </c>
    </row>
    <row r="131" spans="1:15" x14ac:dyDescent="0.25">
      <c r="A131" s="4">
        <v>130</v>
      </c>
      <c r="B131" s="33" t="s">
        <v>1719</v>
      </c>
      <c r="C131" s="20">
        <v>74072585</v>
      </c>
      <c r="D131" s="20" t="s">
        <v>575</v>
      </c>
      <c r="E131" s="20" t="s">
        <v>1849</v>
      </c>
      <c r="F131" s="20" t="s">
        <v>858</v>
      </c>
      <c r="G131" s="20" t="s">
        <v>913</v>
      </c>
      <c r="H131" s="20" t="s">
        <v>1427</v>
      </c>
      <c r="I131" s="20" t="s">
        <v>576</v>
      </c>
      <c r="J131" s="34" t="s">
        <v>2104</v>
      </c>
      <c r="K131" s="20">
        <v>920692447</v>
      </c>
      <c r="L131" s="20" t="s">
        <v>90</v>
      </c>
      <c r="M131" s="20" t="s">
        <v>532</v>
      </c>
      <c r="N131" s="20">
        <v>68.3</v>
      </c>
      <c r="O131" s="20" t="s">
        <v>11</v>
      </c>
    </row>
    <row r="132" spans="1:15" x14ac:dyDescent="0.25">
      <c r="A132" s="4">
        <v>131</v>
      </c>
      <c r="B132" s="33" t="s">
        <v>1719</v>
      </c>
      <c r="C132" s="20">
        <v>74952726</v>
      </c>
      <c r="D132" s="20" t="s">
        <v>577</v>
      </c>
      <c r="E132" s="20" t="s">
        <v>1850</v>
      </c>
      <c r="F132" s="20" t="s">
        <v>900</v>
      </c>
      <c r="G132" s="20" t="s">
        <v>940</v>
      </c>
      <c r="H132" s="20" t="s">
        <v>1428</v>
      </c>
      <c r="I132" s="20" t="s">
        <v>578</v>
      </c>
      <c r="J132" s="34" t="s">
        <v>2104</v>
      </c>
      <c r="K132" s="20">
        <v>916528098</v>
      </c>
      <c r="L132" s="20" t="s">
        <v>90</v>
      </c>
      <c r="M132" s="20" t="s">
        <v>532</v>
      </c>
      <c r="N132" s="20">
        <v>68</v>
      </c>
      <c r="O132" s="20" t="s">
        <v>11</v>
      </c>
    </row>
    <row r="133" spans="1:15" x14ac:dyDescent="0.25">
      <c r="A133" s="4">
        <v>132</v>
      </c>
      <c r="B133" s="33" t="s">
        <v>1719</v>
      </c>
      <c r="C133" s="20">
        <v>75771350</v>
      </c>
      <c r="D133" s="20" t="s">
        <v>579</v>
      </c>
      <c r="E133" s="20" t="s">
        <v>1851</v>
      </c>
      <c r="F133" s="20" t="s">
        <v>934</v>
      </c>
      <c r="G133" s="20" t="s">
        <v>1042</v>
      </c>
      <c r="H133" s="20" t="s">
        <v>1429</v>
      </c>
      <c r="I133" s="20" t="s">
        <v>580</v>
      </c>
      <c r="J133" s="34" t="s">
        <v>2104</v>
      </c>
      <c r="K133" s="20">
        <v>954733874</v>
      </c>
      <c r="L133" s="20" t="s">
        <v>90</v>
      </c>
      <c r="M133" s="20" t="s">
        <v>532</v>
      </c>
      <c r="N133" s="20">
        <v>68</v>
      </c>
      <c r="O133" s="20" t="s">
        <v>11</v>
      </c>
    </row>
    <row r="134" spans="1:15" x14ac:dyDescent="0.25">
      <c r="A134" s="4">
        <v>133</v>
      </c>
      <c r="B134" s="33" t="s">
        <v>1719</v>
      </c>
      <c r="C134" s="20">
        <v>48285822</v>
      </c>
      <c r="D134" s="20" t="s">
        <v>581</v>
      </c>
      <c r="E134" s="20" t="s">
        <v>1852</v>
      </c>
      <c r="F134" s="20" t="s">
        <v>1043</v>
      </c>
      <c r="G134" s="20" t="s">
        <v>1044</v>
      </c>
      <c r="H134" s="20" t="s">
        <v>1430</v>
      </c>
      <c r="I134" s="20" t="s">
        <v>582</v>
      </c>
      <c r="J134" s="34" t="s">
        <v>2104</v>
      </c>
      <c r="K134" s="20">
        <v>996818414</v>
      </c>
      <c r="L134" s="20" t="s">
        <v>90</v>
      </c>
      <c r="M134" s="20" t="s">
        <v>532</v>
      </c>
      <c r="N134" s="20">
        <v>67.900000000000006</v>
      </c>
      <c r="O134" s="20" t="s">
        <v>11</v>
      </c>
    </row>
    <row r="135" spans="1:15" x14ac:dyDescent="0.25">
      <c r="A135" s="4">
        <v>134</v>
      </c>
      <c r="B135" s="33" t="s">
        <v>1719</v>
      </c>
      <c r="C135" s="20">
        <v>45099926</v>
      </c>
      <c r="D135" s="20" t="s">
        <v>583</v>
      </c>
      <c r="E135" s="20" t="s">
        <v>1853</v>
      </c>
      <c r="F135" s="20" t="s">
        <v>898</v>
      </c>
      <c r="G135" s="20" t="s">
        <v>1045</v>
      </c>
      <c r="H135" s="20" t="s">
        <v>1431</v>
      </c>
      <c r="I135" s="20" t="s">
        <v>584</v>
      </c>
      <c r="J135" s="34" t="s">
        <v>2104</v>
      </c>
      <c r="K135" s="20">
        <v>981602489</v>
      </c>
      <c r="L135" s="20" t="s">
        <v>90</v>
      </c>
      <c r="M135" s="20" t="s">
        <v>532</v>
      </c>
      <c r="N135" s="20">
        <v>67.8</v>
      </c>
      <c r="O135" s="20" t="s">
        <v>11</v>
      </c>
    </row>
    <row r="136" spans="1:15" x14ac:dyDescent="0.25">
      <c r="A136" s="4">
        <v>135</v>
      </c>
      <c r="B136" s="33" t="s">
        <v>1719</v>
      </c>
      <c r="C136" s="20">
        <v>71448388</v>
      </c>
      <c r="D136" s="20" t="s">
        <v>585</v>
      </c>
      <c r="E136" s="20" t="s">
        <v>1854</v>
      </c>
      <c r="F136" s="20" t="s">
        <v>916</v>
      </c>
      <c r="G136" s="20" t="s">
        <v>934</v>
      </c>
      <c r="H136" s="20" t="s">
        <v>1432</v>
      </c>
      <c r="I136" s="20" t="s">
        <v>586</v>
      </c>
      <c r="J136" s="34" t="s">
        <v>2104</v>
      </c>
      <c r="K136" s="20">
        <v>927639299</v>
      </c>
      <c r="L136" s="20" t="s">
        <v>90</v>
      </c>
      <c r="M136" s="20" t="s">
        <v>532</v>
      </c>
      <c r="N136" s="20">
        <v>67.7</v>
      </c>
      <c r="O136" s="20" t="s">
        <v>11</v>
      </c>
    </row>
    <row r="137" spans="1:15" x14ac:dyDescent="0.25">
      <c r="A137" s="4">
        <v>136</v>
      </c>
      <c r="B137" s="33" t="s">
        <v>1719</v>
      </c>
      <c r="C137" s="20">
        <v>48171415</v>
      </c>
      <c r="D137" s="20" t="s">
        <v>587</v>
      </c>
      <c r="E137" s="20" t="s">
        <v>1855</v>
      </c>
      <c r="F137" s="20" t="s">
        <v>900</v>
      </c>
      <c r="G137" s="20" t="s">
        <v>1046</v>
      </c>
      <c r="H137" s="20" t="s">
        <v>1433</v>
      </c>
      <c r="I137" s="20" t="s">
        <v>588</v>
      </c>
      <c r="J137" s="34" t="s">
        <v>2104</v>
      </c>
      <c r="K137" s="20">
        <v>988812535</v>
      </c>
      <c r="L137" s="20" t="s">
        <v>90</v>
      </c>
      <c r="M137" s="20" t="s">
        <v>532</v>
      </c>
      <c r="N137" s="20">
        <v>67.5</v>
      </c>
      <c r="O137" s="20" t="s">
        <v>11</v>
      </c>
    </row>
    <row r="138" spans="1:15" x14ac:dyDescent="0.25">
      <c r="A138" s="4">
        <v>137</v>
      </c>
      <c r="B138" s="33" t="s">
        <v>1719</v>
      </c>
      <c r="C138" s="20">
        <v>46087150</v>
      </c>
      <c r="D138" s="20" t="s">
        <v>589</v>
      </c>
      <c r="E138" s="20" t="s">
        <v>1856</v>
      </c>
      <c r="F138" s="20" t="s">
        <v>930</v>
      </c>
      <c r="G138" s="20" t="s">
        <v>1047</v>
      </c>
      <c r="H138" s="20" t="s">
        <v>1434</v>
      </c>
      <c r="I138" s="20" t="s">
        <v>590</v>
      </c>
      <c r="J138" s="34" t="s">
        <v>2104</v>
      </c>
      <c r="K138" s="20">
        <v>902356275</v>
      </c>
      <c r="L138" s="20" t="s">
        <v>90</v>
      </c>
      <c r="M138" s="20" t="s">
        <v>532</v>
      </c>
      <c r="N138" s="20">
        <v>66.8</v>
      </c>
      <c r="O138" s="20" t="s">
        <v>11</v>
      </c>
    </row>
    <row r="139" spans="1:15" x14ac:dyDescent="0.25">
      <c r="A139" s="4">
        <v>138</v>
      </c>
      <c r="B139" s="33" t="s">
        <v>1719</v>
      </c>
      <c r="C139" s="20">
        <v>73201951</v>
      </c>
      <c r="D139" s="20" t="s">
        <v>591</v>
      </c>
      <c r="E139" s="20" t="s">
        <v>1857</v>
      </c>
      <c r="F139" s="20" t="s">
        <v>1048</v>
      </c>
      <c r="G139" s="20" t="s">
        <v>1049</v>
      </c>
      <c r="H139" s="20" t="s">
        <v>1435</v>
      </c>
      <c r="I139" s="20" t="s">
        <v>592</v>
      </c>
      <c r="J139" s="34" t="s">
        <v>2104</v>
      </c>
      <c r="K139" s="20">
        <v>963929946</v>
      </c>
      <c r="L139" s="20" t="s">
        <v>90</v>
      </c>
      <c r="M139" s="20" t="s">
        <v>532</v>
      </c>
      <c r="N139" s="20">
        <v>66</v>
      </c>
      <c r="O139" s="20" t="s">
        <v>11</v>
      </c>
    </row>
    <row r="140" spans="1:15" x14ac:dyDescent="0.25">
      <c r="A140" s="4">
        <v>139</v>
      </c>
      <c r="B140" s="33" t="s">
        <v>1719</v>
      </c>
      <c r="C140" s="20">
        <v>42116941</v>
      </c>
      <c r="D140" s="20" t="s">
        <v>593</v>
      </c>
      <c r="E140" s="20" t="s">
        <v>1858</v>
      </c>
      <c r="F140" s="20" t="s">
        <v>1050</v>
      </c>
      <c r="G140" s="20" t="s">
        <v>1051</v>
      </c>
      <c r="H140" s="20" t="s">
        <v>1436</v>
      </c>
      <c r="I140" s="20" t="s">
        <v>594</v>
      </c>
      <c r="J140" s="34" t="s">
        <v>2104</v>
      </c>
      <c r="K140" s="20">
        <v>986298887</v>
      </c>
      <c r="L140" s="20" t="s">
        <v>90</v>
      </c>
      <c r="M140" s="20" t="s">
        <v>532</v>
      </c>
      <c r="N140" s="20">
        <v>65.900000000000006</v>
      </c>
      <c r="O140" s="20" t="s">
        <v>11</v>
      </c>
    </row>
    <row r="141" spans="1:15" x14ac:dyDescent="0.25">
      <c r="A141" s="4">
        <v>140</v>
      </c>
      <c r="B141" s="33" t="s">
        <v>1719</v>
      </c>
      <c r="C141" s="20">
        <v>60473276</v>
      </c>
      <c r="D141" s="20" t="s">
        <v>595</v>
      </c>
      <c r="E141" s="20" t="s">
        <v>1859</v>
      </c>
      <c r="F141" s="20" t="s">
        <v>923</v>
      </c>
      <c r="G141" s="20" t="s">
        <v>1052</v>
      </c>
      <c r="H141" s="20" t="s">
        <v>1437</v>
      </c>
      <c r="I141" s="20" t="s">
        <v>596</v>
      </c>
      <c r="J141" s="34" t="s">
        <v>2104</v>
      </c>
      <c r="K141" s="20">
        <v>977834319</v>
      </c>
      <c r="L141" s="20" t="s">
        <v>90</v>
      </c>
      <c r="M141" s="20" t="s">
        <v>532</v>
      </c>
      <c r="N141" s="20">
        <v>65.5</v>
      </c>
      <c r="O141" s="20" t="s">
        <v>11</v>
      </c>
    </row>
    <row r="142" spans="1:15" x14ac:dyDescent="0.25">
      <c r="A142" s="4">
        <v>141</v>
      </c>
      <c r="B142" s="33" t="s">
        <v>1719</v>
      </c>
      <c r="C142" s="20">
        <v>76288246</v>
      </c>
      <c r="D142" s="20" t="s">
        <v>597</v>
      </c>
      <c r="E142" s="20" t="s">
        <v>1860</v>
      </c>
      <c r="F142" s="20" t="s">
        <v>1053</v>
      </c>
      <c r="G142" s="20" t="s">
        <v>1054</v>
      </c>
      <c r="H142" s="20" t="s">
        <v>1438</v>
      </c>
      <c r="I142" s="20" t="s">
        <v>598</v>
      </c>
      <c r="J142" s="34" t="s">
        <v>2104</v>
      </c>
      <c r="K142" s="20">
        <v>938996626</v>
      </c>
      <c r="L142" s="20" t="s">
        <v>90</v>
      </c>
      <c r="M142" s="20" t="s">
        <v>532</v>
      </c>
      <c r="N142" s="20">
        <v>65</v>
      </c>
      <c r="O142" s="20" t="s">
        <v>11</v>
      </c>
    </row>
    <row r="143" spans="1:15" x14ac:dyDescent="0.25">
      <c r="A143" s="4">
        <v>142</v>
      </c>
      <c r="B143" s="33" t="s">
        <v>1719</v>
      </c>
      <c r="C143" s="20">
        <v>45223140</v>
      </c>
      <c r="D143" s="20" t="s">
        <v>599</v>
      </c>
      <c r="E143" s="20" t="s">
        <v>1861</v>
      </c>
      <c r="F143" s="20" t="s">
        <v>1055</v>
      </c>
      <c r="G143" s="20" t="s">
        <v>1056</v>
      </c>
      <c r="H143" s="20" t="s">
        <v>1439</v>
      </c>
      <c r="I143" s="20" t="s">
        <v>600</v>
      </c>
      <c r="J143" s="34" t="s">
        <v>2104</v>
      </c>
      <c r="K143" s="20">
        <v>947384074</v>
      </c>
      <c r="L143" s="20" t="s">
        <v>90</v>
      </c>
      <c r="M143" s="20" t="s">
        <v>532</v>
      </c>
      <c r="N143" s="20">
        <v>63.9</v>
      </c>
      <c r="O143" s="20" t="s">
        <v>11</v>
      </c>
    </row>
    <row r="144" spans="1:15" x14ac:dyDescent="0.25">
      <c r="A144" s="4">
        <v>143</v>
      </c>
      <c r="B144" s="33" t="s">
        <v>1719</v>
      </c>
      <c r="C144" s="20">
        <v>43247575</v>
      </c>
      <c r="D144" s="20" t="s">
        <v>601</v>
      </c>
      <c r="E144" s="20" t="s">
        <v>1862</v>
      </c>
      <c r="F144" s="20" t="s">
        <v>900</v>
      </c>
      <c r="G144" s="20" t="s">
        <v>944</v>
      </c>
      <c r="H144" s="20" t="s">
        <v>1440</v>
      </c>
      <c r="I144" s="20" t="s">
        <v>602</v>
      </c>
      <c r="J144" s="34" t="s">
        <v>2104</v>
      </c>
      <c r="K144" s="20">
        <v>969878942</v>
      </c>
      <c r="L144" s="20" t="s">
        <v>90</v>
      </c>
      <c r="M144" s="20" t="s">
        <v>532</v>
      </c>
      <c r="N144" s="20">
        <v>63.9</v>
      </c>
      <c r="O144" s="20" t="s">
        <v>11</v>
      </c>
    </row>
    <row r="145" spans="1:15" x14ac:dyDescent="0.25">
      <c r="A145" s="4">
        <v>144</v>
      </c>
      <c r="B145" s="33" t="s">
        <v>1719</v>
      </c>
      <c r="C145" s="20">
        <v>73138434</v>
      </c>
      <c r="D145" s="20" t="s">
        <v>603</v>
      </c>
      <c r="E145" s="20" t="s">
        <v>1863</v>
      </c>
      <c r="F145" s="20" t="s">
        <v>1057</v>
      </c>
      <c r="G145" s="20" t="s">
        <v>901</v>
      </c>
      <c r="H145" s="20" t="s">
        <v>1441</v>
      </c>
      <c r="I145" s="20" t="s">
        <v>604</v>
      </c>
      <c r="J145" s="34" t="s">
        <v>2104</v>
      </c>
      <c r="K145" s="20">
        <v>914702819</v>
      </c>
      <c r="L145" s="20" t="s">
        <v>90</v>
      </c>
      <c r="M145" s="20" t="s">
        <v>532</v>
      </c>
      <c r="N145" s="20">
        <v>62.5</v>
      </c>
      <c r="O145" s="20" t="s">
        <v>11</v>
      </c>
    </row>
    <row r="146" spans="1:15" x14ac:dyDescent="0.25">
      <c r="A146" s="4">
        <v>145</v>
      </c>
      <c r="B146" s="33" t="s">
        <v>1719</v>
      </c>
      <c r="C146" s="20">
        <v>75786227</v>
      </c>
      <c r="D146" s="20" t="s">
        <v>605</v>
      </c>
      <c r="E146" s="20" t="s">
        <v>1864</v>
      </c>
      <c r="F146" s="20" t="s">
        <v>976</v>
      </c>
      <c r="G146" s="20" t="s">
        <v>921</v>
      </c>
      <c r="H146" s="20" t="s">
        <v>1442</v>
      </c>
      <c r="I146" s="20" t="s">
        <v>606</v>
      </c>
      <c r="J146" s="34" t="s">
        <v>2104</v>
      </c>
      <c r="K146" s="20">
        <v>951664645</v>
      </c>
      <c r="L146" s="20" t="s">
        <v>90</v>
      </c>
      <c r="M146" s="20" t="s">
        <v>532</v>
      </c>
      <c r="N146" s="20">
        <v>61.2</v>
      </c>
      <c r="O146" s="20" t="s">
        <v>11</v>
      </c>
    </row>
    <row r="147" spans="1:15" x14ac:dyDescent="0.25">
      <c r="A147" s="4">
        <v>146</v>
      </c>
      <c r="B147" s="33" t="s">
        <v>1719</v>
      </c>
      <c r="C147" s="20">
        <v>48575206</v>
      </c>
      <c r="D147" s="20" t="s">
        <v>607</v>
      </c>
      <c r="E147" s="20" t="s">
        <v>1865</v>
      </c>
      <c r="F147" s="20" t="s">
        <v>1058</v>
      </c>
      <c r="G147" s="20" t="s">
        <v>1059</v>
      </c>
      <c r="H147" s="20" t="s">
        <v>1443</v>
      </c>
      <c r="I147" s="20" t="s">
        <v>608</v>
      </c>
      <c r="J147" s="34" t="s">
        <v>2104</v>
      </c>
      <c r="K147" s="20">
        <v>937047200</v>
      </c>
      <c r="L147" s="20" t="s">
        <v>90</v>
      </c>
      <c r="M147" s="20" t="s">
        <v>532</v>
      </c>
      <c r="N147" s="20">
        <v>59.5</v>
      </c>
      <c r="O147" s="20" t="s">
        <v>11</v>
      </c>
    </row>
    <row r="148" spans="1:15" x14ac:dyDescent="0.25">
      <c r="A148" s="4">
        <v>147</v>
      </c>
      <c r="B148" s="33" t="s">
        <v>1719</v>
      </c>
      <c r="C148" s="20">
        <v>47660995</v>
      </c>
      <c r="D148" s="20" t="s">
        <v>609</v>
      </c>
      <c r="E148" s="20" t="s">
        <v>1866</v>
      </c>
      <c r="F148" s="20" t="s">
        <v>1060</v>
      </c>
      <c r="G148" s="20" t="s">
        <v>1061</v>
      </c>
      <c r="H148" s="20" t="s">
        <v>1444</v>
      </c>
      <c r="I148" s="20" t="s">
        <v>610</v>
      </c>
      <c r="J148" s="34" t="s">
        <v>2104</v>
      </c>
      <c r="K148" s="20">
        <v>984634038</v>
      </c>
      <c r="L148" s="20" t="s">
        <v>90</v>
      </c>
      <c r="M148" s="20" t="s">
        <v>532</v>
      </c>
      <c r="N148" s="20">
        <v>57</v>
      </c>
      <c r="O148" s="20" t="s">
        <v>11</v>
      </c>
    </row>
    <row r="149" spans="1:15" x14ac:dyDescent="0.25">
      <c r="A149" s="4">
        <v>148</v>
      </c>
      <c r="B149" s="33" t="s">
        <v>1719</v>
      </c>
      <c r="C149" s="20">
        <v>80587570</v>
      </c>
      <c r="D149" s="20" t="s">
        <v>611</v>
      </c>
      <c r="E149" s="20" t="s">
        <v>1867</v>
      </c>
      <c r="F149" s="20" t="s">
        <v>1062</v>
      </c>
      <c r="G149" s="20" t="s">
        <v>990</v>
      </c>
      <c r="H149" s="20" t="s">
        <v>1445</v>
      </c>
      <c r="I149" s="20" t="s">
        <v>612</v>
      </c>
      <c r="J149" s="34" t="s">
        <v>2104</v>
      </c>
      <c r="K149" s="20">
        <v>968137854</v>
      </c>
      <c r="L149" s="20" t="s">
        <v>90</v>
      </c>
      <c r="M149" s="20" t="s">
        <v>532</v>
      </c>
      <c r="N149" s="20">
        <v>55.6</v>
      </c>
      <c r="O149" s="20" t="s">
        <v>11</v>
      </c>
    </row>
    <row r="150" spans="1:15" x14ac:dyDescent="0.25">
      <c r="A150" s="4">
        <v>149</v>
      </c>
      <c r="B150" s="33" t="s">
        <v>1719</v>
      </c>
      <c r="C150" s="20">
        <v>47570515</v>
      </c>
      <c r="D150" s="20" t="s">
        <v>613</v>
      </c>
      <c r="E150" s="20" t="s">
        <v>1868</v>
      </c>
      <c r="F150" s="20" t="s">
        <v>1063</v>
      </c>
      <c r="G150" s="20" t="s">
        <v>1064</v>
      </c>
      <c r="H150" s="20" t="s">
        <v>1446</v>
      </c>
      <c r="I150" s="20" t="s">
        <v>614</v>
      </c>
      <c r="J150" s="34" t="s">
        <v>2104</v>
      </c>
      <c r="K150" s="20">
        <v>953445049</v>
      </c>
      <c r="L150" s="20" t="s">
        <v>90</v>
      </c>
      <c r="M150" s="20" t="s">
        <v>532</v>
      </c>
      <c r="N150" s="20">
        <v>36.200000000000003</v>
      </c>
      <c r="O150" s="20" t="s">
        <v>11</v>
      </c>
    </row>
    <row r="151" spans="1:15" x14ac:dyDescent="0.25">
      <c r="A151" s="4">
        <v>150</v>
      </c>
      <c r="B151" s="33" t="s">
        <v>1719</v>
      </c>
      <c r="C151" s="22">
        <v>40053650</v>
      </c>
      <c r="D151" s="22" t="s">
        <v>51</v>
      </c>
      <c r="E151" s="22" t="s">
        <v>1869</v>
      </c>
      <c r="F151" s="22" t="s">
        <v>1065</v>
      </c>
      <c r="G151" s="22" t="s">
        <v>1066</v>
      </c>
      <c r="H151" s="22" t="s">
        <v>1447</v>
      </c>
      <c r="I151" s="22" t="s">
        <v>52</v>
      </c>
      <c r="J151" s="34" t="s">
        <v>2104</v>
      </c>
      <c r="K151" s="22">
        <v>916947134</v>
      </c>
      <c r="L151" s="22" t="s">
        <v>9</v>
      </c>
      <c r="M151" s="22" t="s">
        <v>53</v>
      </c>
      <c r="N151" s="22">
        <v>83.5</v>
      </c>
      <c r="O151" s="22" t="s">
        <v>11</v>
      </c>
    </row>
    <row r="152" spans="1:15" x14ac:dyDescent="0.25">
      <c r="A152" s="4">
        <v>151</v>
      </c>
      <c r="B152" s="33" t="s">
        <v>1719</v>
      </c>
      <c r="C152" s="22">
        <v>42739000</v>
      </c>
      <c r="D152" s="22" t="s">
        <v>54</v>
      </c>
      <c r="E152" s="22" t="s">
        <v>1870</v>
      </c>
      <c r="F152" s="22" t="s">
        <v>1067</v>
      </c>
      <c r="G152" s="22" t="s">
        <v>1020</v>
      </c>
      <c r="H152" s="22" t="s">
        <v>1448</v>
      </c>
      <c r="I152" s="22" t="s">
        <v>55</v>
      </c>
      <c r="J152" s="34" t="s">
        <v>2104</v>
      </c>
      <c r="K152" s="22">
        <v>938854248</v>
      </c>
      <c r="L152" s="22" t="s">
        <v>9</v>
      </c>
      <c r="M152" s="22" t="s">
        <v>53</v>
      </c>
      <c r="N152" s="22">
        <v>83</v>
      </c>
      <c r="O152" s="22" t="s">
        <v>11</v>
      </c>
    </row>
    <row r="153" spans="1:15" x14ac:dyDescent="0.25">
      <c r="A153" s="4">
        <v>152</v>
      </c>
      <c r="B153" s="33" t="s">
        <v>1719</v>
      </c>
      <c r="C153" s="22">
        <v>76222247</v>
      </c>
      <c r="D153" s="22" t="s">
        <v>56</v>
      </c>
      <c r="E153" s="22" t="s">
        <v>1871</v>
      </c>
      <c r="F153" s="22" t="s">
        <v>1015</v>
      </c>
      <c r="G153" s="22" t="s">
        <v>858</v>
      </c>
      <c r="H153" s="22" t="s">
        <v>1449</v>
      </c>
      <c r="I153" s="22" t="s">
        <v>57</v>
      </c>
      <c r="J153" s="34" t="s">
        <v>2104</v>
      </c>
      <c r="K153" s="22">
        <v>901965892</v>
      </c>
      <c r="L153" s="22" t="s">
        <v>9</v>
      </c>
      <c r="M153" s="22" t="s">
        <v>53</v>
      </c>
      <c r="N153" s="22">
        <v>82.6</v>
      </c>
      <c r="O153" s="22" t="s">
        <v>11</v>
      </c>
    </row>
    <row r="154" spans="1:15" x14ac:dyDescent="0.25">
      <c r="A154" s="4">
        <v>153</v>
      </c>
      <c r="B154" s="33" t="s">
        <v>1719</v>
      </c>
      <c r="C154" s="22">
        <v>16761481</v>
      </c>
      <c r="D154" s="22" t="s">
        <v>58</v>
      </c>
      <c r="E154" s="22" t="s">
        <v>1872</v>
      </c>
      <c r="F154" s="22" t="s">
        <v>1068</v>
      </c>
      <c r="G154" s="22" t="s">
        <v>886</v>
      </c>
      <c r="H154" s="22" t="s">
        <v>1450</v>
      </c>
      <c r="I154" s="22" t="s">
        <v>59</v>
      </c>
      <c r="J154" s="34" t="s">
        <v>2104</v>
      </c>
      <c r="K154" s="22">
        <v>979259720</v>
      </c>
      <c r="L154" s="22" t="s">
        <v>9</v>
      </c>
      <c r="M154" s="22" t="s">
        <v>53</v>
      </c>
      <c r="N154" s="22">
        <v>81.400000000000006</v>
      </c>
      <c r="O154" s="22" t="s">
        <v>11</v>
      </c>
    </row>
    <row r="155" spans="1:15" x14ac:dyDescent="0.25">
      <c r="A155" s="4">
        <v>154</v>
      </c>
      <c r="B155" s="33" t="s">
        <v>1719</v>
      </c>
      <c r="C155" s="22">
        <v>40477335</v>
      </c>
      <c r="D155" s="22" t="s">
        <v>60</v>
      </c>
      <c r="E155" s="22" t="s">
        <v>1873</v>
      </c>
      <c r="F155" s="22" t="s">
        <v>913</v>
      </c>
      <c r="G155" s="22" t="s">
        <v>1069</v>
      </c>
      <c r="H155" s="22" t="s">
        <v>1451</v>
      </c>
      <c r="I155" s="22" t="s">
        <v>61</v>
      </c>
      <c r="J155" s="34" t="s">
        <v>2104</v>
      </c>
      <c r="K155" s="22">
        <v>966296132</v>
      </c>
      <c r="L155" s="22" t="s">
        <v>9</v>
      </c>
      <c r="M155" s="22" t="s">
        <v>53</v>
      </c>
      <c r="N155" s="22">
        <v>81</v>
      </c>
      <c r="O155" s="22" t="s">
        <v>11</v>
      </c>
    </row>
    <row r="156" spans="1:15" x14ac:dyDescent="0.25">
      <c r="A156" s="4">
        <v>155</v>
      </c>
      <c r="B156" s="33" t="s">
        <v>1719</v>
      </c>
      <c r="C156" s="22">
        <v>43880198</v>
      </c>
      <c r="D156" s="22" t="s">
        <v>62</v>
      </c>
      <c r="E156" s="22" t="s">
        <v>1874</v>
      </c>
      <c r="F156" s="22" t="s">
        <v>858</v>
      </c>
      <c r="G156" s="22" t="s">
        <v>860</v>
      </c>
      <c r="H156" s="22" t="s">
        <v>1452</v>
      </c>
      <c r="I156" s="22" t="s">
        <v>63</v>
      </c>
      <c r="J156" s="34" t="s">
        <v>2104</v>
      </c>
      <c r="K156" s="22">
        <v>975638058</v>
      </c>
      <c r="L156" s="22" t="s">
        <v>9</v>
      </c>
      <c r="M156" s="22" t="s">
        <v>53</v>
      </c>
      <c r="N156" s="22">
        <v>79.5</v>
      </c>
      <c r="O156" s="22" t="s">
        <v>11</v>
      </c>
    </row>
    <row r="157" spans="1:15" x14ac:dyDescent="0.25">
      <c r="A157" s="4">
        <v>156</v>
      </c>
      <c r="B157" s="33" t="s">
        <v>1719</v>
      </c>
      <c r="C157" s="22">
        <v>17603712</v>
      </c>
      <c r="D157" s="22" t="s">
        <v>64</v>
      </c>
      <c r="E157" s="22" t="s">
        <v>1875</v>
      </c>
      <c r="F157" s="22" t="s">
        <v>1070</v>
      </c>
      <c r="G157" s="22" t="s">
        <v>1071</v>
      </c>
      <c r="H157" s="22" t="s">
        <v>1453</v>
      </c>
      <c r="I157" s="22" t="s">
        <v>65</v>
      </c>
      <c r="J157" s="34" t="s">
        <v>2104</v>
      </c>
      <c r="K157" s="22">
        <v>978290008</v>
      </c>
      <c r="L157" s="22" t="s">
        <v>9</v>
      </c>
      <c r="M157" s="22" t="s">
        <v>53</v>
      </c>
      <c r="N157" s="22">
        <v>75.8</v>
      </c>
      <c r="O157" s="22" t="s">
        <v>11</v>
      </c>
    </row>
    <row r="158" spans="1:15" x14ac:dyDescent="0.25">
      <c r="A158" s="4">
        <v>157</v>
      </c>
      <c r="B158" s="33" t="s">
        <v>1719</v>
      </c>
      <c r="C158" s="22">
        <v>16736360</v>
      </c>
      <c r="D158" s="22" t="s">
        <v>66</v>
      </c>
      <c r="E158" s="22" t="s">
        <v>1876</v>
      </c>
      <c r="F158" s="22" t="s">
        <v>956</v>
      </c>
      <c r="G158" s="22" t="s">
        <v>1029</v>
      </c>
      <c r="H158" s="22" t="s">
        <v>1454</v>
      </c>
      <c r="I158" s="22" t="s">
        <v>67</v>
      </c>
      <c r="J158" s="34" t="s">
        <v>2104</v>
      </c>
      <c r="K158" s="22">
        <v>979666725</v>
      </c>
      <c r="L158" s="22" t="s">
        <v>9</v>
      </c>
      <c r="M158" s="22" t="s">
        <v>53</v>
      </c>
      <c r="N158" s="22">
        <v>75.5</v>
      </c>
      <c r="O158" s="22" t="s">
        <v>11</v>
      </c>
    </row>
    <row r="159" spans="1:15" x14ac:dyDescent="0.25">
      <c r="A159" s="4">
        <v>158</v>
      </c>
      <c r="B159" s="33" t="s">
        <v>1719</v>
      </c>
      <c r="C159" s="22">
        <v>47898287</v>
      </c>
      <c r="D159" s="22" t="s">
        <v>68</v>
      </c>
      <c r="E159" s="22" t="s">
        <v>1877</v>
      </c>
      <c r="F159" s="22" t="s">
        <v>859</v>
      </c>
      <c r="G159" s="22" t="s">
        <v>1039</v>
      </c>
      <c r="H159" s="22" t="s">
        <v>1455</v>
      </c>
      <c r="I159" s="22" t="s">
        <v>69</v>
      </c>
      <c r="J159" s="34" t="s">
        <v>2104</v>
      </c>
      <c r="K159" s="22">
        <v>976913466</v>
      </c>
      <c r="L159" s="22" t="s">
        <v>9</v>
      </c>
      <c r="M159" s="22" t="s">
        <v>53</v>
      </c>
      <c r="N159" s="22">
        <v>74.5</v>
      </c>
      <c r="O159" s="22" t="s">
        <v>11</v>
      </c>
    </row>
    <row r="160" spans="1:15" x14ac:dyDescent="0.25">
      <c r="A160" s="4">
        <v>159</v>
      </c>
      <c r="B160" s="33" t="s">
        <v>1719</v>
      </c>
      <c r="C160" s="22">
        <v>71570678</v>
      </c>
      <c r="D160" s="22" t="s">
        <v>70</v>
      </c>
      <c r="E160" s="22" t="s">
        <v>1878</v>
      </c>
      <c r="F160" s="22" t="s">
        <v>1073</v>
      </c>
      <c r="G160" s="22" t="s">
        <v>1074</v>
      </c>
      <c r="H160" s="22" t="s">
        <v>1456</v>
      </c>
      <c r="I160" s="22" t="s">
        <v>71</v>
      </c>
      <c r="J160" s="34" t="s">
        <v>2104</v>
      </c>
      <c r="K160" s="22">
        <v>929054903</v>
      </c>
      <c r="L160" s="22" t="s">
        <v>9</v>
      </c>
      <c r="M160" s="22" t="s">
        <v>53</v>
      </c>
      <c r="N160" s="22">
        <v>73.2</v>
      </c>
      <c r="O160" s="22" t="s">
        <v>11</v>
      </c>
    </row>
    <row r="161" spans="1:15" x14ac:dyDescent="0.25">
      <c r="A161" s="4">
        <v>160</v>
      </c>
      <c r="B161" s="33" t="s">
        <v>1719</v>
      </c>
      <c r="C161" s="22">
        <v>45426428</v>
      </c>
      <c r="D161" s="22" t="s">
        <v>72</v>
      </c>
      <c r="E161" s="22" t="s">
        <v>1879</v>
      </c>
      <c r="F161" s="22" t="s">
        <v>859</v>
      </c>
      <c r="G161" s="22" t="s">
        <v>1075</v>
      </c>
      <c r="H161" s="22" t="s">
        <v>1457</v>
      </c>
      <c r="I161" s="22" t="s">
        <v>73</v>
      </c>
      <c r="J161" s="34" t="s">
        <v>2104</v>
      </c>
      <c r="K161" s="22">
        <v>979983732</v>
      </c>
      <c r="L161" s="22" t="s">
        <v>9</v>
      </c>
      <c r="M161" s="22" t="s">
        <v>53</v>
      </c>
      <c r="N161" s="22">
        <v>72.5</v>
      </c>
      <c r="O161" s="22" t="s">
        <v>11</v>
      </c>
    </row>
    <row r="162" spans="1:15" x14ac:dyDescent="0.25">
      <c r="A162" s="4">
        <v>161</v>
      </c>
      <c r="B162" s="33" t="s">
        <v>1719</v>
      </c>
      <c r="C162" s="22">
        <v>47933687</v>
      </c>
      <c r="D162" s="22" t="s">
        <v>74</v>
      </c>
      <c r="E162" s="22" t="s">
        <v>1880</v>
      </c>
      <c r="F162" s="22" t="s">
        <v>944</v>
      </c>
      <c r="G162" s="22" t="s">
        <v>956</v>
      </c>
      <c r="H162" s="22" t="s">
        <v>1458</v>
      </c>
      <c r="I162" s="22" t="s">
        <v>75</v>
      </c>
      <c r="J162" s="34" t="s">
        <v>2104</v>
      </c>
      <c r="K162" s="22">
        <v>966580197</v>
      </c>
      <c r="L162" s="22" t="s">
        <v>9</v>
      </c>
      <c r="M162" s="22" t="s">
        <v>53</v>
      </c>
      <c r="N162" s="22">
        <v>72.5</v>
      </c>
      <c r="O162" s="22" t="s">
        <v>11</v>
      </c>
    </row>
    <row r="163" spans="1:15" x14ac:dyDescent="0.25">
      <c r="A163" s="4">
        <v>162</v>
      </c>
      <c r="B163" s="33" t="s">
        <v>1719</v>
      </c>
      <c r="C163" s="22">
        <v>70484804</v>
      </c>
      <c r="D163" s="22" t="s">
        <v>76</v>
      </c>
      <c r="E163" s="22" t="s">
        <v>1881</v>
      </c>
      <c r="F163" s="22" t="s">
        <v>1040</v>
      </c>
      <c r="G163" s="22" t="s">
        <v>1076</v>
      </c>
      <c r="H163" s="22" t="s">
        <v>1459</v>
      </c>
      <c r="I163" s="22" t="s">
        <v>77</v>
      </c>
      <c r="J163" s="34" t="s">
        <v>2104</v>
      </c>
      <c r="K163" s="22">
        <v>966743788</v>
      </c>
      <c r="L163" s="22" t="s">
        <v>9</v>
      </c>
      <c r="M163" s="22" t="s">
        <v>53</v>
      </c>
      <c r="N163" s="22">
        <v>71</v>
      </c>
      <c r="O163" s="22" t="s">
        <v>11</v>
      </c>
    </row>
    <row r="164" spans="1:15" x14ac:dyDescent="0.25">
      <c r="A164" s="4">
        <v>163</v>
      </c>
      <c r="B164" s="33" t="s">
        <v>1719</v>
      </c>
      <c r="C164" s="22">
        <v>41151914</v>
      </c>
      <c r="D164" s="22" t="s">
        <v>78</v>
      </c>
      <c r="E164" s="22" t="s">
        <v>1882</v>
      </c>
      <c r="F164" s="22" t="s">
        <v>1077</v>
      </c>
      <c r="G164" s="22" t="s">
        <v>1078</v>
      </c>
      <c r="H164" s="22" t="s">
        <v>1460</v>
      </c>
      <c r="I164" s="22" t="s">
        <v>79</v>
      </c>
      <c r="J164" s="34" t="s">
        <v>2104</v>
      </c>
      <c r="K164" s="22">
        <v>979963142</v>
      </c>
      <c r="L164" s="22" t="s">
        <v>9</v>
      </c>
      <c r="M164" s="22" t="s">
        <v>53</v>
      </c>
      <c r="N164" s="22">
        <v>70.5</v>
      </c>
      <c r="O164" s="22" t="s">
        <v>11</v>
      </c>
    </row>
    <row r="165" spans="1:15" x14ac:dyDescent="0.25">
      <c r="A165" s="4">
        <v>164</v>
      </c>
      <c r="B165" s="33" t="s">
        <v>1719</v>
      </c>
      <c r="C165" s="22">
        <v>40201777</v>
      </c>
      <c r="D165" s="22" t="s">
        <v>80</v>
      </c>
      <c r="E165" s="22" t="s">
        <v>1883</v>
      </c>
      <c r="F165" s="22" t="s">
        <v>1079</v>
      </c>
      <c r="G165" s="22" t="s">
        <v>1080</v>
      </c>
      <c r="H165" s="22" t="s">
        <v>1461</v>
      </c>
      <c r="I165" s="22" t="s">
        <v>81</v>
      </c>
      <c r="J165" s="34" t="s">
        <v>2104</v>
      </c>
      <c r="K165" s="22">
        <v>938278187</v>
      </c>
      <c r="L165" s="22" t="s">
        <v>9</v>
      </c>
      <c r="M165" s="22" t="s">
        <v>53</v>
      </c>
      <c r="N165" s="22">
        <v>67.8</v>
      </c>
      <c r="O165" s="22" t="s">
        <v>11</v>
      </c>
    </row>
    <row r="166" spans="1:15" x14ac:dyDescent="0.25">
      <c r="A166" s="4">
        <v>165</v>
      </c>
      <c r="B166" s="33" t="s">
        <v>1719</v>
      </c>
      <c r="C166" s="22">
        <v>72023928</v>
      </c>
      <c r="D166" s="22" t="s">
        <v>82</v>
      </c>
      <c r="E166" s="22" t="s">
        <v>1884</v>
      </c>
      <c r="F166" s="22" t="s">
        <v>933</v>
      </c>
      <c r="G166" s="22" t="s">
        <v>1016</v>
      </c>
      <c r="H166" s="22" t="s">
        <v>1462</v>
      </c>
      <c r="I166" s="22" t="s">
        <v>83</v>
      </c>
      <c r="J166" s="34" t="s">
        <v>2104</v>
      </c>
      <c r="K166" s="22">
        <v>910533707</v>
      </c>
      <c r="L166" s="22" t="s">
        <v>9</v>
      </c>
      <c r="M166" s="22" t="s">
        <v>53</v>
      </c>
      <c r="N166" s="22">
        <v>66</v>
      </c>
      <c r="O166" s="22" t="s">
        <v>11</v>
      </c>
    </row>
    <row r="167" spans="1:15" x14ac:dyDescent="0.25">
      <c r="A167" s="4">
        <v>166</v>
      </c>
      <c r="B167" s="33" t="s">
        <v>1719</v>
      </c>
      <c r="C167" s="12">
        <v>46060832</v>
      </c>
      <c r="D167" s="12" t="s">
        <v>270</v>
      </c>
      <c r="E167" s="12" t="s">
        <v>1885</v>
      </c>
      <c r="F167" s="12" t="s">
        <v>1081</v>
      </c>
      <c r="G167" s="12" t="s">
        <v>976</v>
      </c>
      <c r="H167" s="12" t="s">
        <v>1463</v>
      </c>
      <c r="I167" s="12" t="s">
        <v>271</v>
      </c>
      <c r="J167" s="34" t="s">
        <v>2104</v>
      </c>
      <c r="K167" s="12">
        <v>951908018</v>
      </c>
      <c r="L167" s="12" t="s">
        <v>90</v>
      </c>
      <c r="M167" s="12" t="s">
        <v>272</v>
      </c>
      <c r="N167" s="12">
        <v>77.400000000000006</v>
      </c>
      <c r="O167" s="12" t="s">
        <v>11</v>
      </c>
    </row>
    <row r="168" spans="1:15" x14ac:dyDescent="0.25">
      <c r="A168" s="4">
        <v>167</v>
      </c>
      <c r="B168" s="33" t="s">
        <v>1719</v>
      </c>
      <c r="C168" s="12">
        <v>73262781</v>
      </c>
      <c r="D168" s="12" t="s">
        <v>273</v>
      </c>
      <c r="E168" s="12" t="s">
        <v>1886</v>
      </c>
      <c r="F168" s="12" t="s">
        <v>1082</v>
      </c>
      <c r="G168" s="12" t="s">
        <v>1083</v>
      </c>
      <c r="H168" s="12" t="s">
        <v>1464</v>
      </c>
      <c r="I168" s="12" t="s">
        <v>274</v>
      </c>
      <c r="J168" s="34" t="s">
        <v>2104</v>
      </c>
      <c r="K168" s="12">
        <v>910201305</v>
      </c>
      <c r="L168" s="12" t="s">
        <v>90</v>
      </c>
      <c r="M168" s="12" t="s">
        <v>272</v>
      </c>
      <c r="N168" s="12">
        <v>71.900000000000006</v>
      </c>
      <c r="O168" s="12" t="s">
        <v>11</v>
      </c>
    </row>
    <row r="169" spans="1:15" x14ac:dyDescent="0.25">
      <c r="A169" s="4">
        <v>168</v>
      </c>
      <c r="B169" s="33" t="s">
        <v>1719</v>
      </c>
      <c r="C169" s="12" t="s">
        <v>275</v>
      </c>
      <c r="D169" s="12" t="s">
        <v>276</v>
      </c>
      <c r="E169" s="12" t="s">
        <v>1887</v>
      </c>
      <c r="F169" s="12" t="s">
        <v>987</v>
      </c>
      <c r="G169" s="12" t="s">
        <v>876</v>
      </c>
      <c r="H169" s="12" t="s">
        <v>1465</v>
      </c>
      <c r="I169" s="12" t="s">
        <v>277</v>
      </c>
      <c r="J169" s="34" t="s">
        <v>2104</v>
      </c>
      <c r="K169" s="12">
        <v>947495718</v>
      </c>
      <c r="L169" s="12" t="s">
        <v>90</v>
      </c>
      <c r="M169" s="12" t="s">
        <v>272</v>
      </c>
      <c r="N169" s="12">
        <v>71.900000000000006</v>
      </c>
      <c r="O169" s="12" t="s">
        <v>11</v>
      </c>
    </row>
    <row r="170" spans="1:15" x14ac:dyDescent="0.25">
      <c r="A170" s="4">
        <v>169</v>
      </c>
      <c r="B170" s="33" t="s">
        <v>1719</v>
      </c>
      <c r="C170" s="12">
        <v>47248891</v>
      </c>
      <c r="D170" s="12" t="s">
        <v>278</v>
      </c>
      <c r="E170" s="12" t="s">
        <v>1888</v>
      </c>
      <c r="F170" s="12" t="s">
        <v>876</v>
      </c>
      <c r="G170" s="12" t="s">
        <v>1084</v>
      </c>
      <c r="H170" s="12" t="s">
        <v>1466</v>
      </c>
      <c r="I170" s="12" t="s">
        <v>279</v>
      </c>
      <c r="J170" s="34" t="s">
        <v>2104</v>
      </c>
      <c r="K170" s="12">
        <v>940115835</v>
      </c>
      <c r="L170" s="12" t="s">
        <v>90</v>
      </c>
      <c r="M170" s="12" t="s">
        <v>272</v>
      </c>
      <c r="N170" s="12">
        <v>71</v>
      </c>
      <c r="O170" s="12" t="s">
        <v>11</v>
      </c>
    </row>
    <row r="171" spans="1:15" x14ac:dyDescent="0.25">
      <c r="A171" s="4">
        <v>170</v>
      </c>
      <c r="B171" s="33" t="s">
        <v>1719</v>
      </c>
      <c r="C171" s="12">
        <v>43984489</v>
      </c>
      <c r="D171" s="12" t="s">
        <v>280</v>
      </c>
      <c r="E171" s="12" t="s">
        <v>1889</v>
      </c>
      <c r="F171" s="12" t="s">
        <v>1085</v>
      </c>
      <c r="G171" s="12" t="s">
        <v>1086</v>
      </c>
      <c r="H171" s="12" t="s">
        <v>1390</v>
      </c>
      <c r="I171" s="12" t="s">
        <v>281</v>
      </c>
      <c r="J171" s="34" t="s">
        <v>2104</v>
      </c>
      <c r="K171" s="12">
        <v>928228502</v>
      </c>
      <c r="L171" s="12" t="s">
        <v>90</v>
      </c>
      <c r="M171" s="12" t="s">
        <v>272</v>
      </c>
      <c r="N171" s="12">
        <v>70.5</v>
      </c>
      <c r="O171" s="12" t="s">
        <v>11</v>
      </c>
    </row>
    <row r="172" spans="1:15" x14ac:dyDescent="0.25">
      <c r="A172" s="4">
        <v>171</v>
      </c>
      <c r="B172" s="33" t="s">
        <v>1719</v>
      </c>
      <c r="C172" s="12">
        <v>71077059</v>
      </c>
      <c r="D172" s="12" t="s">
        <v>282</v>
      </c>
      <c r="E172" s="12" t="s">
        <v>1890</v>
      </c>
      <c r="F172" s="12" t="s">
        <v>1087</v>
      </c>
      <c r="G172" s="12" t="s">
        <v>1088</v>
      </c>
      <c r="H172" s="12" t="s">
        <v>1467</v>
      </c>
      <c r="I172" s="12" t="s">
        <v>283</v>
      </c>
      <c r="J172" s="34" t="s">
        <v>2104</v>
      </c>
      <c r="K172" s="12">
        <v>936794282</v>
      </c>
      <c r="L172" s="12" t="s">
        <v>90</v>
      </c>
      <c r="M172" s="12" t="s">
        <v>272</v>
      </c>
      <c r="N172" s="12">
        <v>69.900000000000006</v>
      </c>
      <c r="O172" s="12" t="s">
        <v>11</v>
      </c>
    </row>
    <row r="173" spans="1:15" x14ac:dyDescent="0.25">
      <c r="A173" s="4">
        <v>172</v>
      </c>
      <c r="B173" s="33" t="s">
        <v>1719</v>
      </c>
      <c r="C173" s="12">
        <v>72023455</v>
      </c>
      <c r="D173" s="12" t="s">
        <v>284</v>
      </c>
      <c r="E173" s="12" t="s">
        <v>1891</v>
      </c>
      <c r="F173" s="12" t="s">
        <v>1089</v>
      </c>
      <c r="G173" s="12" t="s">
        <v>900</v>
      </c>
      <c r="H173" s="12" t="s">
        <v>1468</v>
      </c>
      <c r="I173" s="12" t="s">
        <v>285</v>
      </c>
      <c r="J173" s="34" t="s">
        <v>2104</v>
      </c>
      <c r="K173" s="12">
        <v>926104720</v>
      </c>
      <c r="L173" s="12" t="s">
        <v>90</v>
      </c>
      <c r="M173" s="12" t="s">
        <v>272</v>
      </c>
      <c r="N173" s="12">
        <v>69.099999999999994</v>
      </c>
      <c r="O173" s="12" t="s">
        <v>11</v>
      </c>
    </row>
    <row r="174" spans="1:15" x14ac:dyDescent="0.25">
      <c r="A174" s="4">
        <v>173</v>
      </c>
      <c r="B174" s="33" t="s">
        <v>1719</v>
      </c>
      <c r="C174" s="12">
        <v>44197041</v>
      </c>
      <c r="D174" s="12" t="s">
        <v>286</v>
      </c>
      <c r="E174" s="12" t="s">
        <v>1892</v>
      </c>
      <c r="F174" s="12" t="s">
        <v>991</v>
      </c>
      <c r="G174" s="12" t="s">
        <v>1090</v>
      </c>
      <c r="H174" s="12" t="s">
        <v>1469</v>
      </c>
      <c r="I174" s="12" t="s">
        <v>287</v>
      </c>
      <c r="J174" s="34" t="s">
        <v>2104</v>
      </c>
      <c r="K174" s="12">
        <v>966243348</v>
      </c>
      <c r="L174" s="12" t="s">
        <v>90</v>
      </c>
      <c r="M174" s="12" t="s">
        <v>272</v>
      </c>
      <c r="N174" s="12">
        <v>69</v>
      </c>
      <c r="O174" s="12" t="s">
        <v>11</v>
      </c>
    </row>
    <row r="175" spans="1:15" x14ac:dyDescent="0.25">
      <c r="A175" s="4">
        <v>174</v>
      </c>
      <c r="B175" s="33" t="s">
        <v>1719</v>
      </c>
      <c r="C175" s="12">
        <v>45401537</v>
      </c>
      <c r="D175" s="12" t="s">
        <v>288</v>
      </c>
      <c r="E175" s="12" t="s">
        <v>1893</v>
      </c>
      <c r="F175" s="12" t="s">
        <v>1091</v>
      </c>
      <c r="G175" s="12" t="s">
        <v>1092</v>
      </c>
      <c r="H175" s="12" t="s">
        <v>1470</v>
      </c>
      <c r="I175" s="12" t="s">
        <v>289</v>
      </c>
      <c r="J175" s="34" t="s">
        <v>2104</v>
      </c>
      <c r="K175" s="12">
        <v>943749457</v>
      </c>
      <c r="L175" s="12" t="s">
        <v>90</v>
      </c>
      <c r="M175" s="12" t="s">
        <v>272</v>
      </c>
      <c r="N175" s="12">
        <v>68.5</v>
      </c>
      <c r="O175" s="12" t="s">
        <v>11</v>
      </c>
    </row>
    <row r="176" spans="1:15" x14ac:dyDescent="0.25">
      <c r="A176" s="4">
        <v>175</v>
      </c>
      <c r="B176" s="33" t="s">
        <v>1719</v>
      </c>
      <c r="C176" s="12">
        <v>47660655</v>
      </c>
      <c r="D176" s="12" t="s">
        <v>290</v>
      </c>
      <c r="E176" s="12" t="s">
        <v>1894</v>
      </c>
      <c r="F176" s="12" t="s">
        <v>980</v>
      </c>
      <c r="G176" s="12" t="s">
        <v>980</v>
      </c>
      <c r="H176" s="12" t="s">
        <v>1471</v>
      </c>
      <c r="I176" s="12" t="s">
        <v>291</v>
      </c>
      <c r="J176" s="34" t="s">
        <v>2104</v>
      </c>
      <c r="K176" s="12">
        <v>969945719</v>
      </c>
      <c r="L176" s="12" t="s">
        <v>90</v>
      </c>
      <c r="M176" s="12" t="s">
        <v>272</v>
      </c>
      <c r="N176" s="12">
        <v>68.5</v>
      </c>
      <c r="O176" s="12" t="s">
        <v>11</v>
      </c>
    </row>
    <row r="177" spans="1:15" x14ac:dyDescent="0.25">
      <c r="A177" s="4">
        <v>176</v>
      </c>
      <c r="B177" s="33" t="s">
        <v>1719</v>
      </c>
      <c r="C177" s="12">
        <v>47289823</v>
      </c>
      <c r="D177" s="12" t="s">
        <v>292</v>
      </c>
      <c r="E177" s="12" t="s">
        <v>1895</v>
      </c>
      <c r="F177" s="12" t="s">
        <v>1093</v>
      </c>
      <c r="G177" s="12" t="s">
        <v>1094</v>
      </c>
      <c r="H177" s="12" t="s">
        <v>1472</v>
      </c>
      <c r="I177" s="12" t="s">
        <v>293</v>
      </c>
      <c r="J177" s="34" t="s">
        <v>2104</v>
      </c>
      <c r="K177" s="12">
        <v>949630670</v>
      </c>
      <c r="L177" s="12" t="s">
        <v>90</v>
      </c>
      <c r="M177" s="12" t="s">
        <v>272</v>
      </c>
      <c r="N177" s="12">
        <v>68.2</v>
      </c>
      <c r="O177" s="12" t="s">
        <v>11</v>
      </c>
    </row>
    <row r="178" spans="1:15" x14ac:dyDescent="0.25">
      <c r="A178" s="4">
        <v>177</v>
      </c>
      <c r="B178" s="33" t="s">
        <v>1719</v>
      </c>
      <c r="C178" s="12">
        <v>70473446</v>
      </c>
      <c r="D178" s="12" t="s">
        <v>294</v>
      </c>
      <c r="E178" s="12" t="s">
        <v>1896</v>
      </c>
      <c r="F178" s="12" t="s">
        <v>1095</v>
      </c>
      <c r="G178" s="12" t="s">
        <v>1096</v>
      </c>
      <c r="H178" s="12" t="s">
        <v>1305</v>
      </c>
      <c r="I178" s="12" t="s">
        <v>295</v>
      </c>
      <c r="J178" s="34" t="s">
        <v>2104</v>
      </c>
      <c r="K178" s="12">
        <v>981228668</v>
      </c>
      <c r="L178" s="12" t="s">
        <v>90</v>
      </c>
      <c r="M178" s="12" t="s">
        <v>272</v>
      </c>
      <c r="N178" s="12">
        <v>68</v>
      </c>
      <c r="O178" s="12" t="s">
        <v>11</v>
      </c>
    </row>
    <row r="179" spans="1:15" x14ac:dyDescent="0.25">
      <c r="A179" s="4">
        <v>178</v>
      </c>
      <c r="B179" s="33" t="s">
        <v>1719</v>
      </c>
      <c r="C179" s="12">
        <v>60893958</v>
      </c>
      <c r="D179" s="12" t="s">
        <v>296</v>
      </c>
      <c r="E179" s="12" t="s">
        <v>1897</v>
      </c>
      <c r="F179" s="12" t="s">
        <v>971</v>
      </c>
      <c r="G179" s="12" t="s">
        <v>1072</v>
      </c>
      <c r="H179" s="12" t="s">
        <v>1473</v>
      </c>
      <c r="I179" s="12" t="s">
        <v>297</v>
      </c>
      <c r="J179" s="34" t="s">
        <v>2104</v>
      </c>
      <c r="K179" s="12">
        <v>930738695</v>
      </c>
      <c r="L179" s="12" t="s">
        <v>90</v>
      </c>
      <c r="M179" s="12" t="s">
        <v>272</v>
      </c>
      <c r="N179" s="12">
        <v>68</v>
      </c>
      <c r="O179" s="12" t="s">
        <v>11</v>
      </c>
    </row>
    <row r="180" spans="1:15" x14ac:dyDescent="0.25">
      <c r="A180" s="4">
        <v>179</v>
      </c>
      <c r="B180" s="33" t="s">
        <v>1719</v>
      </c>
      <c r="C180" s="12">
        <v>72482012</v>
      </c>
      <c r="D180" s="12" t="s">
        <v>298</v>
      </c>
      <c r="E180" s="12" t="s">
        <v>1898</v>
      </c>
      <c r="F180" s="12" t="s">
        <v>1035</v>
      </c>
      <c r="G180" s="12" t="s">
        <v>1097</v>
      </c>
      <c r="H180" s="12" t="s">
        <v>1474</v>
      </c>
      <c r="I180" s="12" t="s">
        <v>299</v>
      </c>
      <c r="J180" s="34" t="s">
        <v>2104</v>
      </c>
      <c r="K180" s="12">
        <v>920737473</v>
      </c>
      <c r="L180" s="12" t="s">
        <v>90</v>
      </c>
      <c r="M180" s="12" t="s">
        <v>272</v>
      </c>
      <c r="N180" s="12">
        <v>68</v>
      </c>
      <c r="O180" s="12" t="s">
        <v>11</v>
      </c>
    </row>
    <row r="181" spans="1:15" x14ac:dyDescent="0.25">
      <c r="A181" s="4">
        <v>180</v>
      </c>
      <c r="B181" s="33" t="s">
        <v>1719</v>
      </c>
      <c r="C181" s="12">
        <v>46043232</v>
      </c>
      <c r="D181" s="12" t="s">
        <v>300</v>
      </c>
      <c r="E181" s="12" t="s">
        <v>1899</v>
      </c>
      <c r="F181" s="12" t="s">
        <v>944</v>
      </c>
      <c r="G181" s="12" t="s">
        <v>1098</v>
      </c>
      <c r="H181" s="12" t="s">
        <v>1475</v>
      </c>
      <c r="I181" s="12" t="s">
        <v>301</v>
      </c>
      <c r="J181" s="34" t="s">
        <v>2104</v>
      </c>
      <c r="K181" s="12">
        <v>933961193</v>
      </c>
      <c r="L181" s="12" t="s">
        <v>90</v>
      </c>
      <c r="M181" s="12" t="s">
        <v>272</v>
      </c>
      <c r="N181" s="12">
        <v>67.900000000000006</v>
      </c>
      <c r="O181" s="12" t="s">
        <v>11</v>
      </c>
    </row>
    <row r="182" spans="1:15" x14ac:dyDescent="0.25">
      <c r="A182" s="4">
        <v>181</v>
      </c>
      <c r="B182" s="33" t="s">
        <v>1719</v>
      </c>
      <c r="C182" s="12">
        <v>75753060</v>
      </c>
      <c r="D182" s="12" t="s">
        <v>302</v>
      </c>
      <c r="E182" s="12" t="s">
        <v>1900</v>
      </c>
      <c r="F182" s="12" t="s">
        <v>1099</v>
      </c>
      <c r="G182" s="12" t="s">
        <v>1100</v>
      </c>
      <c r="H182" s="12" t="s">
        <v>1476</v>
      </c>
      <c r="I182" s="12" t="s">
        <v>303</v>
      </c>
      <c r="J182" s="34" t="s">
        <v>2104</v>
      </c>
      <c r="K182" s="12">
        <v>979146449</v>
      </c>
      <c r="L182" s="12" t="s">
        <v>90</v>
      </c>
      <c r="M182" s="12" t="s">
        <v>272</v>
      </c>
      <c r="N182" s="12">
        <v>67.099999999999994</v>
      </c>
      <c r="O182" s="12" t="s">
        <v>11</v>
      </c>
    </row>
    <row r="183" spans="1:15" x14ac:dyDescent="0.25">
      <c r="A183" s="4">
        <v>182</v>
      </c>
      <c r="B183" s="33" t="s">
        <v>1719</v>
      </c>
      <c r="C183" s="12">
        <v>76778993</v>
      </c>
      <c r="D183" s="12" t="s">
        <v>304</v>
      </c>
      <c r="E183" s="12" t="s">
        <v>1901</v>
      </c>
      <c r="F183" s="12" t="s">
        <v>898</v>
      </c>
      <c r="G183" s="12" t="s">
        <v>1101</v>
      </c>
      <c r="H183" s="12" t="s">
        <v>1477</v>
      </c>
      <c r="I183" s="12" t="s">
        <v>305</v>
      </c>
      <c r="J183" s="34" t="s">
        <v>2104</v>
      </c>
      <c r="K183" s="12">
        <v>921517866</v>
      </c>
      <c r="L183" s="12" t="s">
        <v>90</v>
      </c>
      <c r="M183" s="12" t="s">
        <v>272</v>
      </c>
      <c r="N183" s="12">
        <v>66.599999999999994</v>
      </c>
      <c r="O183" s="12" t="s">
        <v>11</v>
      </c>
    </row>
    <row r="184" spans="1:15" x14ac:dyDescent="0.25">
      <c r="A184" s="4">
        <v>183</v>
      </c>
      <c r="B184" s="33" t="s">
        <v>1719</v>
      </c>
      <c r="C184" s="12">
        <v>75984029</v>
      </c>
      <c r="D184" s="12" t="s">
        <v>306</v>
      </c>
      <c r="E184" s="12" t="s">
        <v>1902</v>
      </c>
      <c r="F184" s="12" t="s">
        <v>1102</v>
      </c>
      <c r="G184" s="12" t="s">
        <v>1055</v>
      </c>
      <c r="H184" s="12" t="s">
        <v>1478</v>
      </c>
      <c r="I184" s="12" t="s">
        <v>307</v>
      </c>
      <c r="J184" s="34" t="s">
        <v>2104</v>
      </c>
      <c r="K184" s="12">
        <v>929094355</v>
      </c>
      <c r="L184" s="12" t="s">
        <v>90</v>
      </c>
      <c r="M184" s="12" t="s">
        <v>272</v>
      </c>
      <c r="N184" s="12">
        <v>65.599999999999994</v>
      </c>
      <c r="O184" s="12" t="s">
        <v>11</v>
      </c>
    </row>
    <row r="185" spans="1:15" x14ac:dyDescent="0.25">
      <c r="A185" s="4">
        <v>184</v>
      </c>
      <c r="B185" s="33" t="s">
        <v>1719</v>
      </c>
      <c r="C185" s="12">
        <v>41575219</v>
      </c>
      <c r="D185" s="12" t="s">
        <v>308</v>
      </c>
      <c r="E185" s="12" t="s">
        <v>1903</v>
      </c>
      <c r="F185" s="12" t="s">
        <v>1103</v>
      </c>
      <c r="G185" s="12" t="s">
        <v>1104</v>
      </c>
      <c r="H185" s="12" t="s">
        <v>1479</v>
      </c>
      <c r="I185" s="12" t="s">
        <v>309</v>
      </c>
      <c r="J185" s="34" t="s">
        <v>2104</v>
      </c>
      <c r="K185" s="12">
        <v>902725596</v>
      </c>
      <c r="L185" s="12" t="s">
        <v>90</v>
      </c>
      <c r="M185" s="12" t="s">
        <v>272</v>
      </c>
      <c r="N185" s="12">
        <v>65.5</v>
      </c>
      <c r="O185" s="12" t="s">
        <v>11</v>
      </c>
    </row>
    <row r="186" spans="1:15" x14ac:dyDescent="0.25">
      <c r="A186" s="4">
        <v>185</v>
      </c>
      <c r="B186" s="33" t="s">
        <v>1719</v>
      </c>
      <c r="C186" s="12">
        <v>71789940</v>
      </c>
      <c r="D186" s="12" t="s">
        <v>310</v>
      </c>
      <c r="E186" s="12" t="s">
        <v>1904</v>
      </c>
      <c r="F186" s="12" t="s">
        <v>861</v>
      </c>
      <c r="G186" s="12" t="s">
        <v>1105</v>
      </c>
      <c r="H186" s="12" t="s">
        <v>1480</v>
      </c>
      <c r="I186" s="12" t="s">
        <v>311</v>
      </c>
      <c r="J186" s="34" t="s">
        <v>2104</v>
      </c>
      <c r="K186" s="12">
        <v>951044200</v>
      </c>
      <c r="L186" s="12" t="s">
        <v>90</v>
      </c>
      <c r="M186" s="12" t="s">
        <v>272</v>
      </c>
      <c r="N186" s="12">
        <v>65.400000000000006</v>
      </c>
      <c r="O186" s="12" t="s">
        <v>11</v>
      </c>
    </row>
    <row r="187" spans="1:15" x14ac:dyDescent="0.25">
      <c r="A187" s="4">
        <v>186</v>
      </c>
      <c r="B187" s="33" t="s">
        <v>1719</v>
      </c>
      <c r="C187" s="12">
        <v>75754825</v>
      </c>
      <c r="D187" s="12" t="s">
        <v>312</v>
      </c>
      <c r="E187" s="12" t="s">
        <v>1905</v>
      </c>
      <c r="F187" s="12" t="s">
        <v>1084</v>
      </c>
      <c r="G187" s="12" t="s">
        <v>965</v>
      </c>
      <c r="H187" s="12" t="s">
        <v>1481</v>
      </c>
      <c r="I187" s="12" t="s">
        <v>313</v>
      </c>
      <c r="J187" s="34" t="s">
        <v>2104</v>
      </c>
      <c r="K187" s="12">
        <v>973327717</v>
      </c>
      <c r="L187" s="12" t="s">
        <v>90</v>
      </c>
      <c r="M187" s="12" t="s">
        <v>272</v>
      </c>
      <c r="N187" s="12">
        <v>65.2</v>
      </c>
      <c r="O187" s="12" t="s">
        <v>11</v>
      </c>
    </row>
    <row r="188" spans="1:15" x14ac:dyDescent="0.25">
      <c r="A188" s="4">
        <v>187</v>
      </c>
      <c r="B188" s="33" t="s">
        <v>1719</v>
      </c>
      <c r="C188" s="12">
        <v>72367013</v>
      </c>
      <c r="D188" s="12" t="s">
        <v>314</v>
      </c>
      <c r="E188" s="12" t="s">
        <v>1906</v>
      </c>
      <c r="F188" s="12" t="s">
        <v>989</v>
      </c>
      <c r="G188" s="12" t="s">
        <v>877</v>
      </c>
      <c r="H188" s="12" t="s">
        <v>1482</v>
      </c>
      <c r="I188" s="12" t="s">
        <v>315</v>
      </c>
      <c r="J188" s="34" t="s">
        <v>2104</v>
      </c>
      <c r="K188" s="12">
        <v>934671979</v>
      </c>
      <c r="L188" s="12" t="s">
        <v>90</v>
      </c>
      <c r="M188" s="12" t="s">
        <v>272</v>
      </c>
      <c r="N188" s="12">
        <v>64.5</v>
      </c>
      <c r="O188" s="12" t="s">
        <v>11</v>
      </c>
    </row>
    <row r="189" spans="1:15" x14ac:dyDescent="0.25">
      <c r="A189" s="4">
        <v>188</v>
      </c>
      <c r="B189" s="33" t="s">
        <v>1719</v>
      </c>
      <c r="C189" s="12">
        <v>48093786</v>
      </c>
      <c r="D189" s="12" t="s">
        <v>316</v>
      </c>
      <c r="E189" s="12" t="s">
        <v>1907</v>
      </c>
      <c r="F189" s="12" t="s">
        <v>1106</v>
      </c>
      <c r="G189" s="12" t="s">
        <v>1107</v>
      </c>
      <c r="H189" s="12" t="s">
        <v>1483</v>
      </c>
      <c r="I189" s="12" t="s">
        <v>317</v>
      </c>
      <c r="J189" s="34" t="s">
        <v>2104</v>
      </c>
      <c r="K189" s="12">
        <v>961586454</v>
      </c>
      <c r="L189" s="12" t="s">
        <v>90</v>
      </c>
      <c r="M189" s="12" t="s">
        <v>272</v>
      </c>
      <c r="N189" s="12">
        <v>64.400000000000006</v>
      </c>
      <c r="O189" s="12" t="s">
        <v>11</v>
      </c>
    </row>
    <row r="190" spans="1:15" x14ac:dyDescent="0.25">
      <c r="A190" s="4">
        <v>189</v>
      </c>
      <c r="B190" s="33" t="s">
        <v>1719</v>
      </c>
      <c r="C190" s="12">
        <v>10429599</v>
      </c>
      <c r="D190" s="12" t="s">
        <v>318</v>
      </c>
      <c r="E190" s="12" t="s">
        <v>1908</v>
      </c>
      <c r="F190" s="12" t="s">
        <v>1108</v>
      </c>
      <c r="G190" s="12" t="s">
        <v>1109</v>
      </c>
      <c r="H190" s="12" t="s">
        <v>1484</v>
      </c>
      <c r="I190" s="12" t="s">
        <v>319</v>
      </c>
      <c r="J190" s="34" t="s">
        <v>2104</v>
      </c>
      <c r="K190" s="12">
        <v>941864115</v>
      </c>
      <c r="L190" s="12" t="s">
        <v>90</v>
      </c>
      <c r="M190" s="12" t="s">
        <v>272</v>
      </c>
      <c r="N190" s="12">
        <v>64.3</v>
      </c>
      <c r="O190" s="12" t="s">
        <v>11</v>
      </c>
    </row>
    <row r="191" spans="1:15" x14ac:dyDescent="0.25">
      <c r="A191" s="4">
        <v>190</v>
      </c>
      <c r="B191" s="33" t="s">
        <v>1719</v>
      </c>
      <c r="C191" s="12">
        <v>80518197</v>
      </c>
      <c r="D191" s="12" t="s">
        <v>320</v>
      </c>
      <c r="E191" s="12" t="s">
        <v>1909</v>
      </c>
      <c r="F191" s="12" t="s">
        <v>1110</v>
      </c>
      <c r="G191" s="12" t="s">
        <v>900</v>
      </c>
      <c r="H191" s="12" t="s">
        <v>1485</v>
      </c>
      <c r="I191" s="12" t="s">
        <v>321</v>
      </c>
      <c r="J191" s="34" t="s">
        <v>2104</v>
      </c>
      <c r="K191" s="12">
        <v>966328486</v>
      </c>
      <c r="L191" s="12" t="s">
        <v>90</v>
      </c>
      <c r="M191" s="12" t="s">
        <v>272</v>
      </c>
      <c r="N191" s="12">
        <v>64</v>
      </c>
      <c r="O191" s="12" t="s">
        <v>11</v>
      </c>
    </row>
    <row r="192" spans="1:15" x14ac:dyDescent="0.25">
      <c r="A192" s="4">
        <v>191</v>
      </c>
      <c r="B192" s="33" t="s">
        <v>1719</v>
      </c>
      <c r="C192" s="12">
        <v>44807764</v>
      </c>
      <c r="D192" s="12" t="s">
        <v>322</v>
      </c>
      <c r="E192" s="12" t="s">
        <v>1910</v>
      </c>
      <c r="F192" s="12" t="s">
        <v>1111</v>
      </c>
      <c r="G192" s="12" t="s">
        <v>979</v>
      </c>
      <c r="H192" s="12" t="s">
        <v>1486</v>
      </c>
      <c r="I192" s="12" t="s">
        <v>323</v>
      </c>
      <c r="J192" s="34" t="s">
        <v>2104</v>
      </c>
      <c r="K192" s="12">
        <v>984524804</v>
      </c>
      <c r="L192" s="12" t="s">
        <v>90</v>
      </c>
      <c r="M192" s="12" t="s">
        <v>272</v>
      </c>
      <c r="N192" s="12">
        <v>63.4</v>
      </c>
      <c r="O192" s="12" t="s">
        <v>11</v>
      </c>
    </row>
    <row r="193" spans="1:15" x14ac:dyDescent="0.25">
      <c r="A193" s="4">
        <v>192</v>
      </c>
      <c r="B193" s="33" t="s">
        <v>1719</v>
      </c>
      <c r="C193" s="12">
        <v>47390896</v>
      </c>
      <c r="D193" s="12" t="s">
        <v>324</v>
      </c>
      <c r="E193" s="12" t="s">
        <v>1911</v>
      </c>
      <c r="F193" s="12" t="s">
        <v>991</v>
      </c>
      <c r="G193" s="12" t="s">
        <v>976</v>
      </c>
      <c r="H193" s="12" t="s">
        <v>1487</v>
      </c>
      <c r="I193" s="12" t="s">
        <v>325</v>
      </c>
      <c r="J193" s="34" t="s">
        <v>2104</v>
      </c>
      <c r="K193" s="12">
        <v>937623366</v>
      </c>
      <c r="L193" s="12" t="s">
        <v>90</v>
      </c>
      <c r="M193" s="12" t="s">
        <v>272</v>
      </c>
      <c r="N193" s="12">
        <v>62.8</v>
      </c>
      <c r="O193" s="12" t="s">
        <v>11</v>
      </c>
    </row>
    <row r="194" spans="1:15" x14ac:dyDescent="0.25">
      <c r="A194" s="4">
        <v>193</v>
      </c>
      <c r="B194" s="33" t="s">
        <v>1719</v>
      </c>
      <c r="C194" s="12">
        <v>71819726</v>
      </c>
      <c r="D194" s="12" t="s">
        <v>326</v>
      </c>
      <c r="E194" s="12" t="s">
        <v>1912</v>
      </c>
      <c r="F194" s="12" t="s">
        <v>1298</v>
      </c>
      <c r="G194" s="12" t="s">
        <v>1112</v>
      </c>
      <c r="H194" s="12" t="s">
        <v>1488</v>
      </c>
      <c r="I194" s="12" t="s">
        <v>327</v>
      </c>
      <c r="J194" s="34" t="s">
        <v>2104</v>
      </c>
      <c r="K194" s="12">
        <v>968327058</v>
      </c>
      <c r="L194" s="12" t="s">
        <v>90</v>
      </c>
      <c r="M194" s="12" t="s">
        <v>272</v>
      </c>
      <c r="N194" s="12">
        <v>62.2</v>
      </c>
      <c r="O194" s="12" t="s">
        <v>11</v>
      </c>
    </row>
    <row r="195" spans="1:15" x14ac:dyDescent="0.25">
      <c r="A195" s="4">
        <v>194</v>
      </c>
      <c r="B195" s="33" t="s">
        <v>1719</v>
      </c>
      <c r="C195" s="12">
        <v>73527759</v>
      </c>
      <c r="D195" s="12" t="s">
        <v>328</v>
      </c>
      <c r="E195" s="12" t="s">
        <v>1913</v>
      </c>
      <c r="F195" s="12" t="s">
        <v>886</v>
      </c>
      <c r="G195" s="12" t="s">
        <v>885</v>
      </c>
      <c r="H195" s="12" t="s">
        <v>1489</v>
      </c>
      <c r="I195" s="12" t="s">
        <v>329</v>
      </c>
      <c r="J195" s="34" t="s">
        <v>2104</v>
      </c>
      <c r="K195" s="12">
        <v>980096005</v>
      </c>
      <c r="L195" s="12" t="s">
        <v>90</v>
      </c>
      <c r="M195" s="12" t="s">
        <v>272</v>
      </c>
      <c r="N195" s="12">
        <v>62</v>
      </c>
      <c r="O195" s="12" t="s">
        <v>11</v>
      </c>
    </row>
    <row r="196" spans="1:15" x14ac:dyDescent="0.25">
      <c r="A196" s="4">
        <v>195</v>
      </c>
      <c r="B196" s="33" t="s">
        <v>1719</v>
      </c>
      <c r="C196" s="12">
        <v>44378022</v>
      </c>
      <c r="D196" s="12" t="s">
        <v>330</v>
      </c>
      <c r="E196" s="12" t="s">
        <v>1914</v>
      </c>
      <c r="F196" s="12" t="s">
        <v>947</v>
      </c>
      <c r="G196" s="12" t="s">
        <v>1113</v>
      </c>
      <c r="H196" s="12" t="s">
        <v>1490</v>
      </c>
      <c r="I196" s="12" t="s">
        <v>331</v>
      </c>
      <c r="J196" s="34" t="s">
        <v>2104</v>
      </c>
      <c r="K196" s="12">
        <v>936816461</v>
      </c>
      <c r="L196" s="12" t="s">
        <v>90</v>
      </c>
      <c r="M196" s="12" t="s">
        <v>272</v>
      </c>
      <c r="N196" s="12">
        <v>62</v>
      </c>
      <c r="O196" s="12" t="s">
        <v>11</v>
      </c>
    </row>
    <row r="197" spans="1:15" x14ac:dyDescent="0.25">
      <c r="A197" s="4">
        <v>196</v>
      </c>
      <c r="B197" s="33" t="s">
        <v>1719</v>
      </c>
      <c r="C197" s="12">
        <v>44089297</v>
      </c>
      <c r="D197" s="12" t="s">
        <v>332</v>
      </c>
      <c r="E197" s="12" t="s">
        <v>1915</v>
      </c>
      <c r="F197" s="12" t="s">
        <v>1114</v>
      </c>
      <c r="G197" s="12" t="s">
        <v>1115</v>
      </c>
      <c r="H197" s="12" t="s">
        <v>1491</v>
      </c>
      <c r="I197" s="12" t="s">
        <v>333</v>
      </c>
      <c r="J197" s="34" t="s">
        <v>2104</v>
      </c>
      <c r="K197" s="12">
        <v>989473749</v>
      </c>
      <c r="L197" s="12" t="s">
        <v>90</v>
      </c>
      <c r="M197" s="12" t="s">
        <v>272</v>
      </c>
      <c r="N197" s="12">
        <v>60.7</v>
      </c>
      <c r="O197" s="12" t="s">
        <v>11</v>
      </c>
    </row>
    <row r="198" spans="1:15" x14ac:dyDescent="0.25">
      <c r="A198" s="4">
        <v>197</v>
      </c>
      <c r="B198" s="33" t="s">
        <v>1719</v>
      </c>
      <c r="C198" s="12">
        <v>48074428</v>
      </c>
      <c r="D198" s="12" t="s">
        <v>334</v>
      </c>
      <c r="E198" s="12" t="s">
        <v>1916</v>
      </c>
      <c r="F198" s="12" t="s">
        <v>1116</v>
      </c>
      <c r="G198" s="12" t="s">
        <v>1117</v>
      </c>
      <c r="H198" s="12" t="s">
        <v>1492</v>
      </c>
      <c r="I198" s="12" t="s">
        <v>335</v>
      </c>
      <c r="J198" s="34" t="s">
        <v>2104</v>
      </c>
      <c r="K198" s="12">
        <v>980425226</v>
      </c>
      <c r="L198" s="12" t="s">
        <v>90</v>
      </c>
      <c r="M198" s="12" t="s">
        <v>272</v>
      </c>
      <c r="N198" s="12">
        <v>60.4</v>
      </c>
      <c r="O198" s="12" t="s">
        <v>11</v>
      </c>
    </row>
    <row r="199" spans="1:15" x14ac:dyDescent="0.25">
      <c r="A199" s="4">
        <v>198</v>
      </c>
      <c r="B199" s="33" t="s">
        <v>1719</v>
      </c>
      <c r="C199" s="12">
        <v>16784162</v>
      </c>
      <c r="D199" s="12" t="s">
        <v>336</v>
      </c>
      <c r="E199" s="12" t="s">
        <v>1917</v>
      </c>
      <c r="F199" s="12" t="s">
        <v>900</v>
      </c>
      <c r="G199" s="12" t="s">
        <v>1118</v>
      </c>
      <c r="H199" s="12" t="s">
        <v>1493</v>
      </c>
      <c r="I199" s="12" t="s">
        <v>337</v>
      </c>
      <c r="J199" s="34" t="s">
        <v>2104</v>
      </c>
      <c r="K199" s="12">
        <v>975102141</v>
      </c>
      <c r="L199" s="12" t="s">
        <v>90</v>
      </c>
      <c r="M199" s="12" t="s">
        <v>272</v>
      </c>
      <c r="N199" s="12">
        <v>60.2</v>
      </c>
      <c r="O199" s="12" t="s">
        <v>11</v>
      </c>
    </row>
    <row r="200" spans="1:15" x14ac:dyDescent="0.25">
      <c r="A200" s="4">
        <v>199</v>
      </c>
      <c r="B200" s="33" t="s">
        <v>1719</v>
      </c>
      <c r="C200" s="12">
        <v>72895043</v>
      </c>
      <c r="D200" s="12" t="s">
        <v>338</v>
      </c>
      <c r="E200" s="12" t="s">
        <v>1918</v>
      </c>
      <c r="F200" s="12" t="s">
        <v>989</v>
      </c>
      <c r="G200" s="12" t="s">
        <v>877</v>
      </c>
      <c r="H200" s="12" t="s">
        <v>1494</v>
      </c>
      <c r="I200" s="12" t="s">
        <v>339</v>
      </c>
      <c r="J200" s="34" t="s">
        <v>2104</v>
      </c>
      <c r="K200" s="12">
        <v>955329861</v>
      </c>
      <c r="L200" s="12" t="s">
        <v>90</v>
      </c>
      <c r="M200" s="12" t="s">
        <v>272</v>
      </c>
      <c r="N200" s="12">
        <v>59.9</v>
      </c>
      <c r="O200" s="12" t="s">
        <v>11</v>
      </c>
    </row>
    <row r="201" spans="1:15" x14ac:dyDescent="0.25">
      <c r="A201" s="4">
        <v>200</v>
      </c>
      <c r="B201" s="33" t="s">
        <v>1719</v>
      </c>
      <c r="C201" s="12">
        <v>75791458</v>
      </c>
      <c r="D201" s="12" t="s">
        <v>340</v>
      </c>
      <c r="E201" s="12" t="s">
        <v>1919</v>
      </c>
      <c r="F201" s="12" t="s">
        <v>1119</v>
      </c>
      <c r="G201" s="12" t="s">
        <v>1120</v>
      </c>
      <c r="H201" s="12" t="s">
        <v>1495</v>
      </c>
      <c r="I201" s="12" t="s">
        <v>341</v>
      </c>
      <c r="J201" s="34" t="s">
        <v>2104</v>
      </c>
      <c r="K201" s="12">
        <v>900786652</v>
      </c>
      <c r="L201" s="12" t="s">
        <v>90</v>
      </c>
      <c r="M201" s="12" t="s">
        <v>272</v>
      </c>
      <c r="N201" s="12">
        <v>59.8</v>
      </c>
      <c r="O201" s="12" t="s">
        <v>11</v>
      </c>
    </row>
    <row r="202" spans="1:15" x14ac:dyDescent="0.25">
      <c r="A202" s="4">
        <v>201</v>
      </c>
      <c r="B202" s="33" t="s">
        <v>1719</v>
      </c>
      <c r="C202" s="12">
        <v>71004749</v>
      </c>
      <c r="D202" s="12" t="s">
        <v>342</v>
      </c>
      <c r="E202" s="12" t="s">
        <v>1920</v>
      </c>
      <c r="F202" s="12" t="s">
        <v>1121</v>
      </c>
      <c r="G202" s="12" t="s">
        <v>1122</v>
      </c>
      <c r="H202" s="12" t="s">
        <v>1496</v>
      </c>
      <c r="I202" s="12" t="s">
        <v>343</v>
      </c>
      <c r="J202" s="34" t="s">
        <v>2104</v>
      </c>
      <c r="K202" s="12">
        <v>932117577</v>
      </c>
      <c r="L202" s="12" t="s">
        <v>90</v>
      </c>
      <c r="M202" s="12" t="s">
        <v>272</v>
      </c>
      <c r="N202" s="12">
        <v>57.9</v>
      </c>
      <c r="O202" s="12" t="s">
        <v>11</v>
      </c>
    </row>
    <row r="203" spans="1:15" x14ac:dyDescent="0.25">
      <c r="A203" s="4">
        <v>202</v>
      </c>
      <c r="B203" s="33" t="s">
        <v>1719</v>
      </c>
      <c r="C203" s="12">
        <v>47987149</v>
      </c>
      <c r="D203" s="12" t="s">
        <v>344</v>
      </c>
      <c r="E203" s="12" t="s">
        <v>1921</v>
      </c>
      <c r="F203" s="12" t="s">
        <v>1123</v>
      </c>
      <c r="G203" s="12" t="s">
        <v>921</v>
      </c>
      <c r="H203" s="12" t="s">
        <v>1497</v>
      </c>
      <c r="I203" s="12" t="s">
        <v>345</v>
      </c>
      <c r="J203" s="34" t="s">
        <v>2104</v>
      </c>
      <c r="K203" s="12">
        <v>904405225</v>
      </c>
      <c r="L203" s="12" t="s">
        <v>90</v>
      </c>
      <c r="M203" s="12" t="s">
        <v>272</v>
      </c>
      <c r="N203" s="12">
        <v>57</v>
      </c>
      <c r="O203" s="12" t="s">
        <v>11</v>
      </c>
    </row>
    <row r="204" spans="1:15" x14ac:dyDescent="0.25">
      <c r="A204" s="4">
        <v>203</v>
      </c>
      <c r="B204" s="33" t="s">
        <v>1719</v>
      </c>
      <c r="C204" s="12">
        <v>76959064</v>
      </c>
      <c r="D204" s="12" t="s">
        <v>346</v>
      </c>
      <c r="E204" s="12" t="s">
        <v>1922</v>
      </c>
      <c r="F204" s="12" t="s">
        <v>1124</v>
      </c>
      <c r="G204" s="12" t="s">
        <v>1125</v>
      </c>
      <c r="H204" s="12" t="s">
        <v>1498</v>
      </c>
      <c r="I204" s="12" t="s">
        <v>347</v>
      </c>
      <c r="J204" s="34" t="s">
        <v>2104</v>
      </c>
      <c r="K204" s="12">
        <v>968185208</v>
      </c>
      <c r="L204" s="12" t="s">
        <v>90</v>
      </c>
      <c r="M204" s="12" t="s">
        <v>272</v>
      </c>
      <c r="N204" s="12">
        <v>56.6</v>
      </c>
      <c r="O204" s="12" t="s">
        <v>11</v>
      </c>
    </row>
    <row r="205" spans="1:15" x14ac:dyDescent="0.25">
      <c r="A205" s="4">
        <v>204</v>
      </c>
      <c r="B205" s="33" t="s">
        <v>1719</v>
      </c>
      <c r="C205" s="12">
        <v>16774611</v>
      </c>
      <c r="D205" s="12" t="s">
        <v>348</v>
      </c>
      <c r="E205" s="12" t="s">
        <v>1923</v>
      </c>
      <c r="F205" s="12" t="s">
        <v>1070</v>
      </c>
      <c r="G205" s="12" t="s">
        <v>1126</v>
      </c>
      <c r="H205" s="12" t="s">
        <v>1499</v>
      </c>
      <c r="I205" s="12" t="s">
        <v>349</v>
      </c>
      <c r="J205" s="34" t="s">
        <v>2104</v>
      </c>
      <c r="K205" s="12">
        <v>952809556</v>
      </c>
      <c r="L205" s="12" t="s">
        <v>90</v>
      </c>
      <c r="M205" s="12" t="s">
        <v>272</v>
      </c>
      <c r="N205" s="12">
        <v>55.8</v>
      </c>
      <c r="O205" s="12" t="s">
        <v>11</v>
      </c>
    </row>
    <row r="206" spans="1:15" x14ac:dyDescent="0.25">
      <c r="A206" s="4">
        <v>205</v>
      </c>
      <c r="B206" s="33" t="s">
        <v>1719</v>
      </c>
      <c r="C206" s="12" t="s">
        <v>350</v>
      </c>
      <c r="D206" s="12" t="s">
        <v>351</v>
      </c>
      <c r="E206" s="12" t="s">
        <v>1924</v>
      </c>
      <c r="F206" s="12" t="s">
        <v>1120</v>
      </c>
      <c r="G206" s="12" t="s">
        <v>1127</v>
      </c>
      <c r="H206" s="12" t="s">
        <v>1500</v>
      </c>
      <c r="I206" s="12" t="s">
        <v>352</v>
      </c>
      <c r="J206" s="34" t="s">
        <v>2104</v>
      </c>
      <c r="K206" s="12">
        <v>963128554</v>
      </c>
      <c r="L206" s="12" t="s">
        <v>90</v>
      </c>
      <c r="M206" s="12" t="s">
        <v>272</v>
      </c>
      <c r="N206" s="12">
        <v>55.7</v>
      </c>
      <c r="O206" s="12" t="s">
        <v>11</v>
      </c>
    </row>
    <row r="207" spans="1:15" x14ac:dyDescent="0.25">
      <c r="A207" s="4">
        <v>206</v>
      </c>
      <c r="B207" s="33" t="s">
        <v>1719</v>
      </c>
      <c r="C207" s="12" t="s">
        <v>353</v>
      </c>
      <c r="D207" s="12" t="s">
        <v>354</v>
      </c>
      <c r="E207" s="12" t="s">
        <v>1925</v>
      </c>
      <c r="F207" s="12" t="s">
        <v>1128</v>
      </c>
      <c r="G207" s="12" t="s">
        <v>1129</v>
      </c>
      <c r="H207" s="12" t="s">
        <v>1369</v>
      </c>
      <c r="I207" s="12" t="s">
        <v>355</v>
      </c>
      <c r="J207" s="34" t="s">
        <v>2104</v>
      </c>
      <c r="K207" s="12">
        <v>975618503</v>
      </c>
      <c r="L207" s="12" t="s">
        <v>90</v>
      </c>
      <c r="M207" s="12" t="s">
        <v>272</v>
      </c>
      <c r="N207" s="12">
        <v>55</v>
      </c>
      <c r="O207" s="12" t="s">
        <v>11</v>
      </c>
    </row>
    <row r="208" spans="1:15" x14ac:dyDescent="0.25">
      <c r="A208" s="4">
        <v>207</v>
      </c>
      <c r="B208" s="33" t="s">
        <v>1719</v>
      </c>
      <c r="C208" s="12">
        <v>16691936</v>
      </c>
      <c r="D208" s="12" t="s">
        <v>356</v>
      </c>
      <c r="E208" s="12" t="s">
        <v>1926</v>
      </c>
      <c r="F208" s="12" t="s">
        <v>1130</v>
      </c>
      <c r="G208" s="12" t="s">
        <v>1131</v>
      </c>
      <c r="H208" s="12" t="s">
        <v>1501</v>
      </c>
      <c r="I208" s="12" t="s">
        <v>357</v>
      </c>
      <c r="J208" s="34" t="s">
        <v>2104</v>
      </c>
      <c r="K208" s="12">
        <v>979410962</v>
      </c>
      <c r="L208" s="12" t="s">
        <v>90</v>
      </c>
      <c r="M208" s="12" t="s">
        <v>272</v>
      </c>
      <c r="N208" s="12">
        <v>52.8</v>
      </c>
      <c r="O208" s="12" t="s">
        <v>11</v>
      </c>
    </row>
    <row r="209" spans="1:15" x14ac:dyDescent="0.25">
      <c r="A209" s="4">
        <v>208</v>
      </c>
      <c r="B209" s="33" t="s">
        <v>1719</v>
      </c>
      <c r="C209" s="12">
        <v>72523216</v>
      </c>
      <c r="D209" s="12" t="s">
        <v>358</v>
      </c>
      <c r="E209" s="12" t="s">
        <v>1927</v>
      </c>
      <c r="F209" s="12" t="s">
        <v>995</v>
      </c>
      <c r="G209" s="12" t="s">
        <v>1015</v>
      </c>
      <c r="H209" s="12" t="s">
        <v>1502</v>
      </c>
      <c r="I209" s="12" t="s">
        <v>359</v>
      </c>
      <c r="J209" s="34" t="s">
        <v>2104</v>
      </c>
      <c r="K209" s="12">
        <v>936244503</v>
      </c>
      <c r="L209" s="12" t="s">
        <v>90</v>
      </c>
      <c r="M209" s="12" t="s">
        <v>272</v>
      </c>
      <c r="N209" s="12">
        <v>52</v>
      </c>
      <c r="O209" s="12" t="s">
        <v>11</v>
      </c>
    </row>
    <row r="210" spans="1:15" x14ac:dyDescent="0.25">
      <c r="A210" s="4">
        <v>209</v>
      </c>
      <c r="B210" s="33" t="s">
        <v>1719</v>
      </c>
      <c r="C210" s="12">
        <v>42870365</v>
      </c>
      <c r="D210" s="12" t="s">
        <v>360</v>
      </c>
      <c r="E210" s="12" t="s">
        <v>1928</v>
      </c>
      <c r="F210" s="12" t="s">
        <v>1132</v>
      </c>
      <c r="G210" s="12" t="s">
        <v>891</v>
      </c>
      <c r="H210" s="12" t="s">
        <v>1503</v>
      </c>
      <c r="I210" s="12" t="s">
        <v>361</v>
      </c>
      <c r="J210" s="34" t="s">
        <v>2104</v>
      </c>
      <c r="K210" s="12">
        <v>962179687</v>
      </c>
      <c r="L210" s="12" t="s">
        <v>90</v>
      </c>
      <c r="M210" s="12" t="s">
        <v>272</v>
      </c>
      <c r="N210" s="12">
        <v>51</v>
      </c>
      <c r="O210" s="12" t="s">
        <v>11</v>
      </c>
    </row>
    <row r="211" spans="1:15" x14ac:dyDescent="0.25">
      <c r="A211" s="4">
        <v>210</v>
      </c>
      <c r="B211" s="33" t="s">
        <v>1719</v>
      </c>
      <c r="C211" s="16">
        <v>72928145</v>
      </c>
      <c r="D211" s="16" t="s">
        <v>416</v>
      </c>
      <c r="E211" s="16" t="s">
        <v>1929</v>
      </c>
      <c r="F211" s="16" t="s">
        <v>1133</v>
      </c>
      <c r="G211" s="16" t="s">
        <v>1134</v>
      </c>
      <c r="H211" s="16" t="s">
        <v>1504</v>
      </c>
      <c r="I211" s="16" t="s">
        <v>417</v>
      </c>
      <c r="J211" s="34" t="s">
        <v>2104</v>
      </c>
      <c r="K211" s="16">
        <v>983846148</v>
      </c>
      <c r="L211" s="16" t="s">
        <v>90</v>
      </c>
      <c r="M211" s="16" t="s">
        <v>418</v>
      </c>
      <c r="N211" s="16">
        <v>77.3</v>
      </c>
      <c r="O211" s="16" t="s">
        <v>11</v>
      </c>
    </row>
    <row r="212" spans="1:15" x14ac:dyDescent="0.25">
      <c r="A212" s="4">
        <v>211</v>
      </c>
      <c r="B212" s="33" t="s">
        <v>1719</v>
      </c>
      <c r="C212" s="16">
        <v>70840720</v>
      </c>
      <c r="D212" s="16" t="s">
        <v>419</v>
      </c>
      <c r="E212" s="16" t="s">
        <v>1930</v>
      </c>
      <c r="F212" s="16" t="s">
        <v>1135</v>
      </c>
      <c r="G212" s="16" t="s">
        <v>1136</v>
      </c>
      <c r="H212" s="16" t="s">
        <v>1505</v>
      </c>
      <c r="I212" s="16" t="s">
        <v>420</v>
      </c>
      <c r="J212" s="34" t="s">
        <v>2104</v>
      </c>
      <c r="K212" s="16">
        <v>992278663</v>
      </c>
      <c r="L212" s="16" t="s">
        <v>90</v>
      </c>
      <c r="M212" s="16" t="s">
        <v>418</v>
      </c>
      <c r="N212" s="16">
        <v>75.599999999999994</v>
      </c>
      <c r="O212" s="16" t="s">
        <v>11</v>
      </c>
    </row>
    <row r="213" spans="1:15" x14ac:dyDescent="0.25">
      <c r="A213" s="4">
        <v>212</v>
      </c>
      <c r="B213" s="33" t="s">
        <v>1719</v>
      </c>
      <c r="C213" s="16">
        <v>42062400</v>
      </c>
      <c r="D213" s="16" t="s">
        <v>421</v>
      </c>
      <c r="E213" s="16" t="s">
        <v>1931</v>
      </c>
      <c r="F213" s="16" t="s">
        <v>1123</v>
      </c>
      <c r="G213" s="16" t="s">
        <v>1137</v>
      </c>
      <c r="H213" s="16" t="s">
        <v>1506</v>
      </c>
      <c r="I213" s="16" t="s">
        <v>422</v>
      </c>
      <c r="J213" s="34" t="s">
        <v>2104</v>
      </c>
      <c r="K213" s="16">
        <v>996617036</v>
      </c>
      <c r="L213" s="16" t="s">
        <v>90</v>
      </c>
      <c r="M213" s="16" t="s">
        <v>418</v>
      </c>
      <c r="N213" s="16">
        <v>74</v>
      </c>
      <c r="O213" s="16" t="s">
        <v>11</v>
      </c>
    </row>
    <row r="214" spans="1:15" x14ac:dyDescent="0.25">
      <c r="A214" s="4">
        <v>213</v>
      </c>
      <c r="B214" s="33" t="s">
        <v>1719</v>
      </c>
      <c r="C214" s="16">
        <v>45038251</v>
      </c>
      <c r="D214" s="16" t="s">
        <v>423</v>
      </c>
      <c r="E214" s="16" t="s">
        <v>1932</v>
      </c>
      <c r="F214" s="16" t="s">
        <v>1138</v>
      </c>
      <c r="G214" s="16" t="s">
        <v>1139</v>
      </c>
      <c r="H214" s="16" t="s">
        <v>1507</v>
      </c>
      <c r="I214" s="16" t="s">
        <v>424</v>
      </c>
      <c r="J214" s="34" t="s">
        <v>2104</v>
      </c>
      <c r="K214" s="16">
        <v>939080978</v>
      </c>
      <c r="L214" s="16" t="s">
        <v>90</v>
      </c>
      <c r="M214" s="16" t="s">
        <v>418</v>
      </c>
      <c r="N214" s="16">
        <v>73.5</v>
      </c>
      <c r="O214" s="16" t="s">
        <v>11</v>
      </c>
    </row>
    <row r="215" spans="1:15" x14ac:dyDescent="0.25">
      <c r="A215" s="4">
        <v>214</v>
      </c>
      <c r="B215" s="33" t="s">
        <v>1719</v>
      </c>
      <c r="C215" s="16">
        <v>43734675</v>
      </c>
      <c r="D215" s="16" t="s">
        <v>425</v>
      </c>
      <c r="E215" s="16" t="s">
        <v>1933</v>
      </c>
      <c r="F215" s="16" t="s">
        <v>916</v>
      </c>
      <c r="G215" s="16" t="s">
        <v>1140</v>
      </c>
      <c r="H215" s="16" t="s">
        <v>1508</v>
      </c>
      <c r="I215" s="16" t="s">
        <v>426</v>
      </c>
      <c r="J215" s="34" t="s">
        <v>2104</v>
      </c>
      <c r="K215" s="16">
        <v>950796249</v>
      </c>
      <c r="L215" s="16" t="s">
        <v>90</v>
      </c>
      <c r="M215" s="16" t="s">
        <v>418</v>
      </c>
      <c r="N215" s="16">
        <v>70.2</v>
      </c>
      <c r="O215" s="16" t="s">
        <v>11</v>
      </c>
    </row>
    <row r="216" spans="1:15" x14ac:dyDescent="0.25">
      <c r="A216" s="4">
        <v>215</v>
      </c>
      <c r="B216" s="33" t="s">
        <v>1719</v>
      </c>
      <c r="C216" s="16">
        <v>71415312</v>
      </c>
      <c r="D216" s="16" t="s">
        <v>427</v>
      </c>
      <c r="E216" s="16" t="s">
        <v>1934</v>
      </c>
      <c r="F216" s="16" t="s">
        <v>1141</v>
      </c>
      <c r="G216" s="16" t="s">
        <v>1142</v>
      </c>
      <c r="H216" s="16" t="s">
        <v>1509</v>
      </c>
      <c r="I216" s="16" t="s">
        <v>428</v>
      </c>
      <c r="J216" s="34" t="s">
        <v>2104</v>
      </c>
      <c r="K216" s="16">
        <v>979541769</v>
      </c>
      <c r="L216" s="16" t="s">
        <v>90</v>
      </c>
      <c r="M216" s="16" t="s">
        <v>418</v>
      </c>
      <c r="N216" s="16">
        <v>68.599999999999994</v>
      </c>
      <c r="O216" s="16" t="s">
        <v>11</v>
      </c>
    </row>
    <row r="217" spans="1:15" x14ac:dyDescent="0.25">
      <c r="A217" s="4">
        <v>216</v>
      </c>
      <c r="B217" s="33" t="s">
        <v>1719</v>
      </c>
      <c r="C217" s="16">
        <v>45907492</v>
      </c>
      <c r="D217" s="16" t="s">
        <v>429</v>
      </c>
      <c r="E217" s="16" t="s">
        <v>1935</v>
      </c>
      <c r="F217" s="16" t="s">
        <v>947</v>
      </c>
      <c r="G217" s="16" t="s">
        <v>1143</v>
      </c>
      <c r="H217" s="16" t="s">
        <v>1510</v>
      </c>
      <c r="I217" s="16" t="s">
        <v>430</v>
      </c>
      <c r="J217" s="34" t="s">
        <v>2104</v>
      </c>
      <c r="K217" s="16">
        <v>979014146</v>
      </c>
      <c r="L217" s="16" t="s">
        <v>90</v>
      </c>
      <c r="M217" s="16" t="s">
        <v>418</v>
      </c>
      <c r="N217" s="16">
        <v>68.5</v>
      </c>
      <c r="O217" s="16" t="s">
        <v>11</v>
      </c>
    </row>
    <row r="218" spans="1:15" x14ac:dyDescent="0.25">
      <c r="A218" s="4">
        <v>217</v>
      </c>
      <c r="B218" s="33" t="s">
        <v>1719</v>
      </c>
      <c r="C218" s="16">
        <v>73698834</v>
      </c>
      <c r="D218" s="16" t="s">
        <v>431</v>
      </c>
      <c r="E218" s="16" t="s">
        <v>1936</v>
      </c>
      <c r="F218" s="16" t="s">
        <v>1044</v>
      </c>
      <c r="G218" s="16" t="s">
        <v>1144</v>
      </c>
      <c r="H218" s="16" t="s">
        <v>1511</v>
      </c>
      <c r="I218" s="16" t="s">
        <v>432</v>
      </c>
      <c r="J218" s="34" t="s">
        <v>2104</v>
      </c>
      <c r="K218" s="16">
        <v>939664508</v>
      </c>
      <c r="L218" s="16" t="s">
        <v>90</v>
      </c>
      <c r="M218" s="16" t="s">
        <v>418</v>
      </c>
      <c r="N218" s="16">
        <v>66.7</v>
      </c>
      <c r="O218" s="16" t="s">
        <v>11</v>
      </c>
    </row>
    <row r="219" spans="1:15" x14ac:dyDescent="0.25">
      <c r="A219" s="4">
        <v>218</v>
      </c>
      <c r="B219" s="33" t="s">
        <v>1719</v>
      </c>
      <c r="C219" s="16">
        <v>41685511</v>
      </c>
      <c r="D219" s="16" t="s">
        <v>433</v>
      </c>
      <c r="E219" s="16" t="s">
        <v>1937</v>
      </c>
      <c r="F219" s="16" t="s">
        <v>1145</v>
      </c>
      <c r="G219" s="16" t="s">
        <v>1146</v>
      </c>
      <c r="H219" s="16" t="s">
        <v>1512</v>
      </c>
      <c r="I219" s="16" t="s">
        <v>434</v>
      </c>
      <c r="J219" s="34" t="s">
        <v>2104</v>
      </c>
      <c r="K219" s="16">
        <v>979914401</v>
      </c>
      <c r="L219" s="16" t="s">
        <v>90</v>
      </c>
      <c r="M219" s="16" t="s">
        <v>418</v>
      </c>
      <c r="N219" s="16">
        <v>66.7</v>
      </c>
      <c r="O219" s="16" t="s">
        <v>11</v>
      </c>
    </row>
    <row r="220" spans="1:15" x14ac:dyDescent="0.25">
      <c r="A220" s="4">
        <v>219</v>
      </c>
      <c r="B220" s="33" t="s">
        <v>1719</v>
      </c>
      <c r="C220" s="16">
        <v>46754829</v>
      </c>
      <c r="D220" s="16" t="s">
        <v>435</v>
      </c>
      <c r="E220" s="16" t="s">
        <v>1938</v>
      </c>
      <c r="F220" s="16" t="s">
        <v>1016</v>
      </c>
      <c r="G220" s="16" t="s">
        <v>1147</v>
      </c>
      <c r="H220" s="16" t="s">
        <v>1513</v>
      </c>
      <c r="I220" s="16" t="s">
        <v>436</v>
      </c>
      <c r="J220" s="34" t="s">
        <v>2104</v>
      </c>
      <c r="K220" s="16">
        <v>927372334</v>
      </c>
      <c r="L220" s="16" t="s">
        <v>90</v>
      </c>
      <c r="M220" s="16" t="s">
        <v>418</v>
      </c>
      <c r="N220" s="16">
        <v>66.5</v>
      </c>
      <c r="O220" s="16" t="s">
        <v>11</v>
      </c>
    </row>
    <row r="221" spans="1:15" x14ac:dyDescent="0.25">
      <c r="A221" s="4">
        <v>220</v>
      </c>
      <c r="B221" s="33" t="s">
        <v>1719</v>
      </c>
      <c r="C221" s="16">
        <v>77673877</v>
      </c>
      <c r="D221" s="16" t="s">
        <v>437</v>
      </c>
      <c r="E221" s="16" t="s">
        <v>1939</v>
      </c>
      <c r="F221" s="16" t="s">
        <v>1144</v>
      </c>
      <c r="G221" s="16" t="s">
        <v>997</v>
      </c>
      <c r="H221" s="16" t="s">
        <v>1514</v>
      </c>
      <c r="I221" s="16" t="s">
        <v>438</v>
      </c>
      <c r="J221" s="34" t="s">
        <v>2104</v>
      </c>
      <c r="K221" s="16">
        <v>981386020</v>
      </c>
      <c r="L221" s="16" t="s">
        <v>90</v>
      </c>
      <c r="M221" s="16" t="s">
        <v>418</v>
      </c>
      <c r="N221" s="16">
        <v>65.5</v>
      </c>
      <c r="O221" s="16" t="s">
        <v>11</v>
      </c>
    </row>
    <row r="222" spans="1:15" x14ac:dyDescent="0.25">
      <c r="A222" s="4">
        <v>221</v>
      </c>
      <c r="B222" s="33" t="s">
        <v>1719</v>
      </c>
      <c r="C222" s="16">
        <v>78023368</v>
      </c>
      <c r="D222" s="16" t="s">
        <v>439</v>
      </c>
      <c r="E222" s="16" t="s">
        <v>1940</v>
      </c>
      <c r="F222" s="16" t="s">
        <v>1148</v>
      </c>
      <c r="G222" s="16" t="s">
        <v>980</v>
      </c>
      <c r="H222" s="16" t="s">
        <v>1515</v>
      </c>
      <c r="I222" s="16" t="s">
        <v>440</v>
      </c>
      <c r="J222" s="34" t="s">
        <v>2104</v>
      </c>
      <c r="K222" s="16">
        <v>945256461</v>
      </c>
      <c r="L222" s="16" t="s">
        <v>90</v>
      </c>
      <c r="M222" s="16" t="s">
        <v>418</v>
      </c>
      <c r="N222" s="16">
        <v>65.3</v>
      </c>
      <c r="O222" s="16" t="s">
        <v>11</v>
      </c>
    </row>
    <row r="223" spans="1:15" x14ac:dyDescent="0.25">
      <c r="A223" s="4">
        <v>222</v>
      </c>
      <c r="B223" s="33" t="s">
        <v>1719</v>
      </c>
      <c r="C223" s="16">
        <v>45104844</v>
      </c>
      <c r="D223" s="16" t="s">
        <v>441</v>
      </c>
      <c r="E223" s="16" t="s">
        <v>1941</v>
      </c>
      <c r="F223" s="16" t="s">
        <v>1149</v>
      </c>
      <c r="G223" s="16" t="s">
        <v>995</v>
      </c>
      <c r="H223" s="16" t="s">
        <v>1516</v>
      </c>
      <c r="I223" s="16" t="s">
        <v>442</v>
      </c>
      <c r="J223" s="34" t="s">
        <v>2104</v>
      </c>
      <c r="K223" s="16">
        <v>941556913</v>
      </c>
      <c r="L223" s="16" t="s">
        <v>90</v>
      </c>
      <c r="M223" s="16" t="s">
        <v>418</v>
      </c>
      <c r="N223" s="16">
        <v>65.099999999999994</v>
      </c>
      <c r="O223" s="16" t="s">
        <v>11</v>
      </c>
    </row>
    <row r="224" spans="1:15" x14ac:dyDescent="0.25">
      <c r="A224" s="4">
        <v>223</v>
      </c>
      <c r="B224" s="33" t="s">
        <v>1719</v>
      </c>
      <c r="C224" s="16">
        <v>45433760</v>
      </c>
      <c r="D224" s="16" t="s">
        <v>443</v>
      </c>
      <c r="E224" s="16" t="s">
        <v>1942</v>
      </c>
      <c r="F224" s="16" t="s">
        <v>1150</v>
      </c>
      <c r="G224" s="16" t="s">
        <v>1137</v>
      </c>
      <c r="H224" s="16" t="s">
        <v>1517</v>
      </c>
      <c r="I224" s="16" t="s">
        <v>444</v>
      </c>
      <c r="J224" s="34" t="s">
        <v>2104</v>
      </c>
      <c r="K224" s="16">
        <v>929723804</v>
      </c>
      <c r="L224" s="16" t="s">
        <v>90</v>
      </c>
      <c r="M224" s="16" t="s">
        <v>418</v>
      </c>
      <c r="N224" s="16">
        <v>65</v>
      </c>
      <c r="O224" s="16" t="s">
        <v>11</v>
      </c>
    </row>
    <row r="225" spans="1:15" x14ac:dyDescent="0.25">
      <c r="A225" s="4">
        <v>224</v>
      </c>
      <c r="B225" s="33" t="s">
        <v>1719</v>
      </c>
      <c r="C225" s="16">
        <v>71429766</v>
      </c>
      <c r="D225" s="16" t="s">
        <v>445</v>
      </c>
      <c r="E225" s="16" t="s">
        <v>1943</v>
      </c>
      <c r="F225" s="16" t="s">
        <v>1026</v>
      </c>
      <c r="G225" s="16" t="s">
        <v>1029</v>
      </c>
      <c r="H225" s="16" t="s">
        <v>1518</v>
      </c>
      <c r="I225" s="16" t="s">
        <v>446</v>
      </c>
      <c r="J225" s="34" t="s">
        <v>2104</v>
      </c>
      <c r="K225" s="16">
        <v>970133837</v>
      </c>
      <c r="L225" s="16" t="s">
        <v>90</v>
      </c>
      <c r="M225" s="16" t="s">
        <v>418</v>
      </c>
      <c r="N225" s="16">
        <v>65</v>
      </c>
      <c r="O225" s="16" t="s">
        <v>11</v>
      </c>
    </row>
    <row r="226" spans="1:15" x14ac:dyDescent="0.25">
      <c r="A226" s="4">
        <v>225</v>
      </c>
      <c r="B226" s="33" t="s">
        <v>1719</v>
      </c>
      <c r="C226" s="16">
        <v>71097159</v>
      </c>
      <c r="D226" s="16" t="s">
        <v>447</v>
      </c>
      <c r="E226" s="16" t="s">
        <v>1944</v>
      </c>
      <c r="F226" s="16" t="s">
        <v>1151</v>
      </c>
      <c r="G226" s="16" t="s">
        <v>1152</v>
      </c>
      <c r="H226" s="16" t="s">
        <v>1519</v>
      </c>
      <c r="I226" s="16" t="s">
        <v>448</v>
      </c>
      <c r="J226" s="34" t="s">
        <v>2104</v>
      </c>
      <c r="K226" s="16">
        <v>907600864</v>
      </c>
      <c r="L226" s="16" t="s">
        <v>90</v>
      </c>
      <c r="M226" s="16" t="s">
        <v>418</v>
      </c>
      <c r="N226" s="16">
        <v>64.900000000000006</v>
      </c>
      <c r="O226" s="16" t="s">
        <v>11</v>
      </c>
    </row>
    <row r="227" spans="1:15" x14ac:dyDescent="0.25">
      <c r="A227" s="4">
        <v>226</v>
      </c>
      <c r="B227" s="33" t="s">
        <v>1719</v>
      </c>
      <c r="C227" s="16">
        <v>48266249</v>
      </c>
      <c r="D227" s="16" t="s">
        <v>449</v>
      </c>
      <c r="E227" s="16" t="s">
        <v>1945</v>
      </c>
      <c r="F227" s="16" t="s">
        <v>1153</v>
      </c>
      <c r="G227" s="16" t="s">
        <v>1131</v>
      </c>
      <c r="H227" s="16" t="s">
        <v>1520</v>
      </c>
      <c r="I227" s="16" t="s">
        <v>450</v>
      </c>
      <c r="J227" s="34" t="s">
        <v>2104</v>
      </c>
      <c r="K227" s="16">
        <v>971728416</v>
      </c>
      <c r="L227" s="16" t="s">
        <v>90</v>
      </c>
      <c r="M227" s="16" t="s">
        <v>418</v>
      </c>
      <c r="N227" s="16">
        <v>64.8</v>
      </c>
      <c r="O227" s="16" t="s">
        <v>11</v>
      </c>
    </row>
    <row r="228" spans="1:15" x14ac:dyDescent="0.25">
      <c r="A228" s="4">
        <v>227</v>
      </c>
      <c r="B228" s="33" t="s">
        <v>1719</v>
      </c>
      <c r="C228" s="16">
        <v>46707327</v>
      </c>
      <c r="D228" s="16" t="s">
        <v>451</v>
      </c>
      <c r="E228" s="16" t="s">
        <v>1946</v>
      </c>
      <c r="F228" s="16" t="s">
        <v>908</v>
      </c>
      <c r="G228" s="16" t="s">
        <v>898</v>
      </c>
      <c r="H228" s="16" t="s">
        <v>1521</v>
      </c>
      <c r="I228" s="16" t="s">
        <v>452</v>
      </c>
      <c r="J228" s="34" t="s">
        <v>2104</v>
      </c>
      <c r="K228" s="16">
        <v>978185380</v>
      </c>
      <c r="L228" s="16" t="s">
        <v>90</v>
      </c>
      <c r="M228" s="16" t="s">
        <v>418</v>
      </c>
      <c r="N228" s="16">
        <v>64.5</v>
      </c>
      <c r="O228" s="16" t="s">
        <v>11</v>
      </c>
    </row>
    <row r="229" spans="1:15" x14ac:dyDescent="0.25">
      <c r="A229" s="4">
        <v>228</v>
      </c>
      <c r="B229" s="33" t="s">
        <v>1719</v>
      </c>
      <c r="C229" s="16">
        <v>46523234</v>
      </c>
      <c r="D229" s="16" t="s">
        <v>453</v>
      </c>
      <c r="E229" s="16" t="s">
        <v>1947</v>
      </c>
      <c r="F229" s="16" t="s">
        <v>956</v>
      </c>
      <c r="G229" s="16" t="s">
        <v>879</v>
      </c>
      <c r="H229" s="16" t="s">
        <v>1522</v>
      </c>
      <c r="I229" s="16" t="s">
        <v>454</v>
      </c>
      <c r="J229" s="34" t="s">
        <v>2104</v>
      </c>
      <c r="K229" s="16">
        <v>992957804</v>
      </c>
      <c r="L229" s="16" t="s">
        <v>90</v>
      </c>
      <c r="M229" s="16" t="s">
        <v>418</v>
      </c>
      <c r="N229" s="16">
        <v>64</v>
      </c>
      <c r="O229" s="16" t="s">
        <v>11</v>
      </c>
    </row>
    <row r="230" spans="1:15" x14ac:dyDescent="0.25">
      <c r="A230" s="4">
        <v>229</v>
      </c>
      <c r="B230" s="33" t="s">
        <v>1719</v>
      </c>
      <c r="C230" s="16">
        <v>45975051</v>
      </c>
      <c r="D230" s="16" t="s">
        <v>455</v>
      </c>
      <c r="E230" s="16" t="s">
        <v>1948</v>
      </c>
      <c r="F230" s="16" t="s">
        <v>1049</v>
      </c>
      <c r="G230" s="16" t="s">
        <v>1154</v>
      </c>
      <c r="H230" s="16" t="s">
        <v>1523</v>
      </c>
      <c r="I230" s="16" t="s">
        <v>456</v>
      </c>
      <c r="J230" s="34" t="s">
        <v>2104</v>
      </c>
      <c r="K230" s="16">
        <v>935374145</v>
      </c>
      <c r="L230" s="16" t="s">
        <v>90</v>
      </c>
      <c r="M230" s="16" t="s">
        <v>418</v>
      </c>
      <c r="N230" s="16">
        <v>63.2</v>
      </c>
      <c r="O230" s="16" t="s">
        <v>11</v>
      </c>
    </row>
    <row r="231" spans="1:15" x14ac:dyDescent="0.25">
      <c r="A231" s="4">
        <v>230</v>
      </c>
      <c r="B231" s="33" t="s">
        <v>1719</v>
      </c>
      <c r="C231" s="16">
        <v>45603991</v>
      </c>
      <c r="D231" s="16" t="s">
        <v>457</v>
      </c>
      <c r="E231" s="16" t="s">
        <v>1949</v>
      </c>
      <c r="F231" s="16" t="s">
        <v>1033</v>
      </c>
      <c r="G231" s="16" t="s">
        <v>1155</v>
      </c>
      <c r="H231" s="16" t="s">
        <v>1524</v>
      </c>
      <c r="I231" s="16" t="s">
        <v>458</v>
      </c>
      <c r="J231" s="34" t="s">
        <v>2104</v>
      </c>
      <c r="K231" s="16">
        <v>907396390</v>
      </c>
      <c r="L231" s="16" t="s">
        <v>90</v>
      </c>
      <c r="M231" s="16" t="s">
        <v>418</v>
      </c>
      <c r="N231" s="16">
        <v>62.5</v>
      </c>
      <c r="O231" s="16" t="s">
        <v>11</v>
      </c>
    </row>
    <row r="232" spans="1:15" x14ac:dyDescent="0.25">
      <c r="A232" s="4">
        <v>231</v>
      </c>
      <c r="B232" s="33" t="s">
        <v>1719</v>
      </c>
      <c r="C232" s="16">
        <v>16751697</v>
      </c>
      <c r="D232" s="16" t="s">
        <v>459</v>
      </c>
      <c r="E232" s="16" t="s">
        <v>1950</v>
      </c>
      <c r="F232" s="16" t="s">
        <v>914</v>
      </c>
      <c r="G232" s="16" t="s">
        <v>1156</v>
      </c>
      <c r="H232" s="16" t="s">
        <v>1525</v>
      </c>
      <c r="I232" s="16" t="s">
        <v>460</v>
      </c>
      <c r="J232" s="34" t="s">
        <v>2104</v>
      </c>
      <c r="K232" s="16">
        <v>983156775</v>
      </c>
      <c r="L232" s="16" t="s">
        <v>90</v>
      </c>
      <c r="M232" s="16" t="s">
        <v>418</v>
      </c>
      <c r="N232" s="16">
        <v>62</v>
      </c>
      <c r="O232" s="16" t="s">
        <v>11</v>
      </c>
    </row>
    <row r="233" spans="1:15" x14ac:dyDescent="0.25">
      <c r="A233" s="4">
        <v>232</v>
      </c>
      <c r="B233" s="33" t="s">
        <v>1719</v>
      </c>
      <c r="C233" s="16">
        <v>46065119</v>
      </c>
      <c r="D233" s="16" t="s">
        <v>461</v>
      </c>
      <c r="E233" s="16" t="s">
        <v>1951</v>
      </c>
      <c r="F233" s="16" t="s">
        <v>1049</v>
      </c>
      <c r="G233" s="16" t="s">
        <v>1157</v>
      </c>
      <c r="H233" s="16" t="s">
        <v>1526</v>
      </c>
      <c r="I233" s="16" t="s">
        <v>462</v>
      </c>
      <c r="J233" s="34" t="s">
        <v>2104</v>
      </c>
      <c r="K233" s="16">
        <v>991535733</v>
      </c>
      <c r="L233" s="16" t="s">
        <v>90</v>
      </c>
      <c r="M233" s="16" t="s">
        <v>418</v>
      </c>
      <c r="N233" s="16">
        <v>61.5</v>
      </c>
      <c r="O233" s="16" t="s">
        <v>11</v>
      </c>
    </row>
    <row r="234" spans="1:15" x14ac:dyDescent="0.25">
      <c r="A234" s="4">
        <v>233</v>
      </c>
      <c r="B234" s="33" t="s">
        <v>1719</v>
      </c>
      <c r="C234" s="16">
        <v>44099523</v>
      </c>
      <c r="D234" s="16" t="s">
        <v>463</v>
      </c>
      <c r="E234" s="16" t="s">
        <v>1952</v>
      </c>
      <c r="F234" s="16" t="s">
        <v>1158</v>
      </c>
      <c r="G234" s="16" t="s">
        <v>1159</v>
      </c>
      <c r="H234" s="16" t="s">
        <v>1527</v>
      </c>
      <c r="I234" s="16" t="s">
        <v>464</v>
      </c>
      <c r="J234" s="34" t="s">
        <v>2104</v>
      </c>
      <c r="K234" s="16">
        <v>940218430</v>
      </c>
      <c r="L234" s="16" t="s">
        <v>90</v>
      </c>
      <c r="M234" s="16" t="s">
        <v>418</v>
      </c>
      <c r="N234" s="16">
        <v>60.5</v>
      </c>
      <c r="O234" s="16" t="s">
        <v>11</v>
      </c>
    </row>
    <row r="235" spans="1:15" x14ac:dyDescent="0.25">
      <c r="A235" s="4">
        <v>234</v>
      </c>
      <c r="B235" s="33" t="s">
        <v>1719</v>
      </c>
      <c r="C235" s="16">
        <v>16739819</v>
      </c>
      <c r="D235" s="16" t="s">
        <v>465</v>
      </c>
      <c r="E235" s="16" t="s">
        <v>1953</v>
      </c>
      <c r="F235" s="16" t="s">
        <v>879</v>
      </c>
      <c r="G235" s="16" t="s">
        <v>932</v>
      </c>
      <c r="H235" s="16" t="s">
        <v>1528</v>
      </c>
      <c r="I235" s="16" t="s">
        <v>466</v>
      </c>
      <c r="J235" s="34" t="s">
        <v>2104</v>
      </c>
      <c r="K235" s="16">
        <v>958015508</v>
      </c>
      <c r="L235" s="16" t="s">
        <v>90</v>
      </c>
      <c r="M235" s="16" t="s">
        <v>418</v>
      </c>
      <c r="N235" s="16">
        <v>60.5</v>
      </c>
      <c r="O235" s="16" t="s">
        <v>11</v>
      </c>
    </row>
    <row r="236" spans="1:15" x14ac:dyDescent="0.25">
      <c r="A236" s="4">
        <v>235</v>
      </c>
      <c r="B236" s="33" t="s">
        <v>1719</v>
      </c>
      <c r="C236" s="16">
        <v>17633334</v>
      </c>
      <c r="D236" s="16" t="s">
        <v>467</v>
      </c>
      <c r="E236" s="16" t="s">
        <v>1954</v>
      </c>
      <c r="F236" s="16" t="s">
        <v>1160</v>
      </c>
      <c r="G236" s="16" t="s">
        <v>1161</v>
      </c>
      <c r="H236" s="16" t="s">
        <v>1529</v>
      </c>
      <c r="I236" s="16" t="s">
        <v>468</v>
      </c>
      <c r="J236" s="34" t="s">
        <v>2104</v>
      </c>
      <c r="K236" s="16">
        <v>923629576</v>
      </c>
      <c r="L236" s="16" t="s">
        <v>90</v>
      </c>
      <c r="M236" s="16" t="s">
        <v>418</v>
      </c>
      <c r="N236" s="16">
        <v>58.2</v>
      </c>
      <c r="O236" s="16" t="s">
        <v>11</v>
      </c>
    </row>
    <row r="237" spans="1:15" x14ac:dyDescent="0.25">
      <c r="A237" s="4">
        <v>236</v>
      </c>
      <c r="B237" s="33" t="s">
        <v>1719</v>
      </c>
      <c r="C237" s="16">
        <v>73761346</v>
      </c>
      <c r="D237" s="16" t="s">
        <v>469</v>
      </c>
      <c r="E237" s="16" t="s">
        <v>1955</v>
      </c>
      <c r="F237" s="16" t="s">
        <v>1162</v>
      </c>
      <c r="G237" s="16" t="s">
        <v>858</v>
      </c>
      <c r="H237" s="16" t="s">
        <v>1530</v>
      </c>
      <c r="I237" s="16" t="s">
        <v>470</v>
      </c>
      <c r="J237" s="34" t="s">
        <v>2104</v>
      </c>
      <c r="K237" s="16">
        <v>947030976</v>
      </c>
      <c r="L237" s="16" t="s">
        <v>90</v>
      </c>
      <c r="M237" s="16" t="s">
        <v>418</v>
      </c>
      <c r="N237" s="16">
        <v>57.5</v>
      </c>
      <c r="O237" s="16" t="s">
        <v>11</v>
      </c>
    </row>
    <row r="238" spans="1:15" x14ac:dyDescent="0.25">
      <c r="A238" s="4">
        <v>237</v>
      </c>
      <c r="B238" s="33" t="s">
        <v>1719</v>
      </c>
      <c r="C238" s="16">
        <v>75364168</v>
      </c>
      <c r="D238" s="16" t="s">
        <v>471</v>
      </c>
      <c r="E238" s="16" t="s">
        <v>1956</v>
      </c>
      <c r="F238" s="16" t="s">
        <v>1053</v>
      </c>
      <c r="G238" s="16" t="s">
        <v>879</v>
      </c>
      <c r="H238" s="16" t="s">
        <v>1531</v>
      </c>
      <c r="I238" s="16" t="s">
        <v>472</v>
      </c>
      <c r="J238" s="34" t="s">
        <v>2104</v>
      </c>
      <c r="K238" s="16">
        <v>962618495</v>
      </c>
      <c r="L238" s="16" t="s">
        <v>90</v>
      </c>
      <c r="M238" s="16" t="s">
        <v>418</v>
      </c>
      <c r="N238" s="16">
        <v>57.5</v>
      </c>
      <c r="O238" s="16" t="s">
        <v>11</v>
      </c>
    </row>
    <row r="239" spans="1:15" x14ac:dyDescent="0.25">
      <c r="A239" s="4">
        <v>238</v>
      </c>
      <c r="B239" s="33" t="s">
        <v>1719</v>
      </c>
      <c r="C239" s="16">
        <v>75482574</v>
      </c>
      <c r="D239" s="16" t="s">
        <v>473</v>
      </c>
      <c r="E239" s="16" t="s">
        <v>1957</v>
      </c>
      <c r="F239" s="16" t="s">
        <v>1163</v>
      </c>
      <c r="G239" s="16" t="s">
        <v>1095</v>
      </c>
      <c r="H239" s="16" t="s">
        <v>1532</v>
      </c>
      <c r="I239" s="16" t="s">
        <v>474</v>
      </c>
      <c r="J239" s="34" t="s">
        <v>2104</v>
      </c>
      <c r="K239" s="16">
        <v>924025705</v>
      </c>
      <c r="L239" s="16" t="s">
        <v>90</v>
      </c>
      <c r="M239" s="16" t="s">
        <v>418</v>
      </c>
      <c r="N239" s="16">
        <v>56.5</v>
      </c>
      <c r="O239" s="16" t="s">
        <v>11</v>
      </c>
    </row>
    <row r="240" spans="1:15" x14ac:dyDescent="0.25">
      <c r="A240" s="4">
        <v>239</v>
      </c>
      <c r="B240" s="33" t="s">
        <v>1719</v>
      </c>
      <c r="C240" s="16">
        <v>73201193</v>
      </c>
      <c r="D240" s="16" t="s">
        <v>475</v>
      </c>
      <c r="E240" s="16" t="s">
        <v>1958</v>
      </c>
      <c r="F240" s="16" t="s">
        <v>1164</v>
      </c>
      <c r="G240" s="16" t="s">
        <v>900</v>
      </c>
      <c r="H240" s="16" t="s">
        <v>1533</v>
      </c>
      <c r="I240" s="16" t="s">
        <v>476</v>
      </c>
      <c r="J240" s="34" t="s">
        <v>2104</v>
      </c>
      <c r="K240" s="16">
        <v>953897427</v>
      </c>
      <c r="L240" s="16" t="s">
        <v>90</v>
      </c>
      <c r="M240" s="16" t="s">
        <v>418</v>
      </c>
      <c r="N240" s="16">
        <v>56.5</v>
      </c>
      <c r="O240" s="16" t="s">
        <v>11</v>
      </c>
    </row>
    <row r="241" spans="1:15" x14ac:dyDescent="0.25">
      <c r="A241" s="4">
        <v>240</v>
      </c>
      <c r="B241" s="33" t="s">
        <v>1719</v>
      </c>
      <c r="C241" s="16">
        <v>45736499</v>
      </c>
      <c r="D241" s="16" t="s">
        <v>477</v>
      </c>
      <c r="E241" s="16" t="s">
        <v>1959</v>
      </c>
      <c r="F241" s="16" t="s">
        <v>1165</v>
      </c>
      <c r="G241" s="16" t="s">
        <v>1166</v>
      </c>
      <c r="H241" s="16" t="s">
        <v>1534</v>
      </c>
      <c r="I241" s="16" t="s">
        <v>478</v>
      </c>
      <c r="J241" s="34" t="s">
        <v>2104</v>
      </c>
      <c r="K241" s="16">
        <v>932444370</v>
      </c>
      <c r="L241" s="16" t="s">
        <v>90</v>
      </c>
      <c r="M241" s="16" t="s">
        <v>418</v>
      </c>
      <c r="N241" s="16">
        <v>55.1</v>
      </c>
      <c r="O241" s="16" t="s">
        <v>11</v>
      </c>
    </row>
    <row r="242" spans="1:15" x14ac:dyDescent="0.25">
      <c r="A242" s="4">
        <v>241</v>
      </c>
      <c r="B242" s="33" t="s">
        <v>1719</v>
      </c>
      <c r="C242" s="16">
        <v>73419883</v>
      </c>
      <c r="D242" s="16" t="s">
        <v>479</v>
      </c>
      <c r="E242" s="16" t="s">
        <v>1960</v>
      </c>
      <c r="F242" s="16" t="s">
        <v>873</v>
      </c>
      <c r="G242" s="16" t="s">
        <v>976</v>
      </c>
      <c r="H242" s="16" t="s">
        <v>1535</v>
      </c>
      <c r="I242" s="16" t="s">
        <v>480</v>
      </c>
      <c r="J242" s="34" t="s">
        <v>2104</v>
      </c>
      <c r="K242" s="16">
        <v>936770441</v>
      </c>
      <c r="L242" s="16" t="s">
        <v>90</v>
      </c>
      <c r="M242" s="16" t="s">
        <v>418</v>
      </c>
      <c r="N242" s="16">
        <v>54.6</v>
      </c>
      <c r="O242" s="16" t="s">
        <v>11</v>
      </c>
    </row>
    <row r="243" spans="1:15" x14ac:dyDescent="0.25">
      <c r="A243" s="4">
        <v>242</v>
      </c>
      <c r="B243" s="33" t="s">
        <v>1719</v>
      </c>
      <c r="C243" s="16">
        <v>16788853</v>
      </c>
      <c r="D243" s="16" t="s">
        <v>481</v>
      </c>
      <c r="E243" s="16" t="s">
        <v>1961</v>
      </c>
      <c r="F243" s="16" t="s">
        <v>1167</v>
      </c>
      <c r="G243" s="16" t="s">
        <v>882</v>
      </c>
      <c r="H243" s="16" t="s">
        <v>1536</v>
      </c>
      <c r="I243" s="16" t="s">
        <v>482</v>
      </c>
      <c r="J243" s="34" t="s">
        <v>2104</v>
      </c>
      <c r="K243" s="16">
        <v>986877521</v>
      </c>
      <c r="L243" s="16" t="s">
        <v>90</v>
      </c>
      <c r="M243" s="16" t="s">
        <v>418</v>
      </c>
      <c r="N243" s="16">
        <v>54</v>
      </c>
      <c r="O243" s="16" t="s">
        <v>11</v>
      </c>
    </row>
    <row r="244" spans="1:15" x14ac:dyDescent="0.25">
      <c r="A244" s="4">
        <v>243</v>
      </c>
      <c r="B244" s="33" t="s">
        <v>1719</v>
      </c>
      <c r="C244" s="16">
        <v>16632843</v>
      </c>
      <c r="D244" s="16" t="s">
        <v>483</v>
      </c>
      <c r="E244" s="16" t="s">
        <v>1962</v>
      </c>
      <c r="F244" s="16" t="s">
        <v>1116</v>
      </c>
      <c r="G244" s="16" t="s">
        <v>863</v>
      </c>
      <c r="H244" s="16" t="s">
        <v>1537</v>
      </c>
      <c r="I244" s="16" t="s">
        <v>484</v>
      </c>
      <c r="J244" s="34" t="s">
        <v>2104</v>
      </c>
      <c r="K244" s="16">
        <v>973015765</v>
      </c>
      <c r="L244" s="16" t="s">
        <v>90</v>
      </c>
      <c r="M244" s="16" t="s">
        <v>418</v>
      </c>
      <c r="N244" s="16">
        <v>51.6</v>
      </c>
      <c r="O244" s="16" t="s">
        <v>11</v>
      </c>
    </row>
    <row r="245" spans="1:15" x14ac:dyDescent="0.25">
      <c r="A245" s="4">
        <v>244</v>
      </c>
      <c r="B245" s="33" t="s">
        <v>1719</v>
      </c>
      <c r="C245" s="16">
        <v>16756816</v>
      </c>
      <c r="D245" s="16" t="s">
        <v>485</v>
      </c>
      <c r="E245" s="16" t="s">
        <v>1963</v>
      </c>
      <c r="F245" s="16" t="s">
        <v>1020</v>
      </c>
      <c r="G245" s="16" t="s">
        <v>976</v>
      </c>
      <c r="H245" s="16" t="s">
        <v>1538</v>
      </c>
      <c r="I245" s="16" t="s">
        <v>486</v>
      </c>
      <c r="J245" s="34" t="s">
        <v>2104</v>
      </c>
      <c r="K245" s="16">
        <v>978811747</v>
      </c>
      <c r="L245" s="16" t="s">
        <v>90</v>
      </c>
      <c r="M245" s="16" t="s">
        <v>418</v>
      </c>
      <c r="N245" s="16">
        <v>50.5</v>
      </c>
      <c r="O245" s="16" t="s">
        <v>11</v>
      </c>
    </row>
    <row r="246" spans="1:15" x14ac:dyDescent="0.25">
      <c r="A246" s="4">
        <v>245</v>
      </c>
      <c r="B246" s="33" t="s">
        <v>1719</v>
      </c>
      <c r="C246" s="14">
        <v>44939571</v>
      </c>
      <c r="D246" s="14" t="s">
        <v>366</v>
      </c>
      <c r="E246" s="14" t="s">
        <v>1964</v>
      </c>
      <c r="F246" s="14" t="s">
        <v>921</v>
      </c>
      <c r="G246" s="14" t="s">
        <v>858</v>
      </c>
      <c r="H246" s="14" t="s">
        <v>1539</v>
      </c>
      <c r="I246" s="14" t="s">
        <v>367</v>
      </c>
      <c r="J246" s="34" t="s">
        <v>2104</v>
      </c>
      <c r="K246" s="14">
        <v>942154806</v>
      </c>
      <c r="L246" s="14" t="s">
        <v>90</v>
      </c>
      <c r="M246" s="14" t="s">
        <v>368</v>
      </c>
      <c r="N246" s="14">
        <v>78.5</v>
      </c>
      <c r="O246" s="14" t="s">
        <v>11</v>
      </c>
    </row>
    <row r="247" spans="1:15" x14ac:dyDescent="0.25">
      <c r="A247" s="4">
        <v>246</v>
      </c>
      <c r="B247" s="33" t="s">
        <v>1719</v>
      </c>
      <c r="C247" s="14">
        <v>75479020</v>
      </c>
      <c r="D247" s="14" t="s">
        <v>369</v>
      </c>
      <c r="E247" s="14" t="s">
        <v>1965</v>
      </c>
      <c r="F247" s="14" t="s">
        <v>898</v>
      </c>
      <c r="G247" s="14" t="s">
        <v>976</v>
      </c>
      <c r="H247" s="14" t="s">
        <v>1540</v>
      </c>
      <c r="I247" s="14" t="s">
        <v>370</v>
      </c>
      <c r="J247" s="34" t="s">
        <v>2104</v>
      </c>
      <c r="K247" s="14">
        <v>941364701</v>
      </c>
      <c r="L247" s="14" t="s">
        <v>90</v>
      </c>
      <c r="M247" s="14" t="s">
        <v>368</v>
      </c>
      <c r="N247" s="14">
        <v>77.5</v>
      </c>
      <c r="O247" s="14" t="s">
        <v>11</v>
      </c>
    </row>
    <row r="248" spans="1:15" x14ac:dyDescent="0.25">
      <c r="A248" s="4">
        <v>247</v>
      </c>
      <c r="B248" s="33" t="s">
        <v>1719</v>
      </c>
      <c r="C248" s="14">
        <v>75608382</v>
      </c>
      <c r="D248" s="14" t="s">
        <v>371</v>
      </c>
      <c r="E248" s="14" t="s">
        <v>1966</v>
      </c>
      <c r="F248" s="14" t="s">
        <v>1168</v>
      </c>
      <c r="G248" s="14" t="s">
        <v>1169</v>
      </c>
      <c r="H248" s="14" t="s">
        <v>1541</v>
      </c>
      <c r="I248" s="14" t="s">
        <v>372</v>
      </c>
      <c r="J248" s="34" t="s">
        <v>2104</v>
      </c>
      <c r="K248" s="14">
        <v>918771107</v>
      </c>
      <c r="L248" s="14" t="s">
        <v>90</v>
      </c>
      <c r="M248" s="14" t="s">
        <v>368</v>
      </c>
      <c r="N248" s="14">
        <v>75</v>
      </c>
      <c r="O248" s="14" t="s">
        <v>11</v>
      </c>
    </row>
    <row r="249" spans="1:15" x14ac:dyDescent="0.25">
      <c r="A249" s="4">
        <v>248</v>
      </c>
      <c r="B249" s="33" t="s">
        <v>1719</v>
      </c>
      <c r="C249" s="14">
        <v>75459300</v>
      </c>
      <c r="D249" s="14" t="s">
        <v>373</v>
      </c>
      <c r="E249" s="14" t="s">
        <v>1967</v>
      </c>
      <c r="F249" s="14" t="s">
        <v>858</v>
      </c>
      <c r="G249" s="14" t="s">
        <v>1170</v>
      </c>
      <c r="H249" s="14" t="s">
        <v>1542</v>
      </c>
      <c r="I249" s="14" t="s">
        <v>374</v>
      </c>
      <c r="J249" s="34" t="s">
        <v>2104</v>
      </c>
      <c r="K249" s="14">
        <v>955474720</v>
      </c>
      <c r="L249" s="14" t="s">
        <v>90</v>
      </c>
      <c r="M249" s="14" t="s">
        <v>368</v>
      </c>
      <c r="N249" s="14">
        <v>73.5</v>
      </c>
      <c r="O249" s="14" t="s">
        <v>11</v>
      </c>
    </row>
    <row r="250" spans="1:15" x14ac:dyDescent="0.25">
      <c r="A250" s="4">
        <v>249</v>
      </c>
      <c r="B250" s="33" t="s">
        <v>1719</v>
      </c>
      <c r="C250" s="14">
        <v>70042427</v>
      </c>
      <c r="D250" s="14" t="s">
        <v>375</v>
      </c>
      <c r="E250" s="14" t="s">
        <v>1968</v>
      </c>
      <c r="F250" s="14" t="s">
        <v>1171</v>
      </c>
      <c r="G250" s="14" t="s">
        <v>870</v>
      </c>
      <c r="H250" s="14" t="s">
        <v>1543</v>
      </c>
      <c r="I250" s="14" t="s">
        <v>376</v>
      </c>
      <c r="J250" s="34" t="s">
        <v>2104</v>
      </c>
      <c r="K250" s="14">
        <v>957661395</v>
      </c>
      <c r="L250" s="14" t="s">
        <v>90</v>
      </c>
      <c r="M250" s="14" t="s">
        <v>368</v>
      </c>
      <c r="N250" s="14">
        <v>73.5</v>
      </c>
      <c r="O250" s="14" t="s">
        <v>11</v>
      </c>
    </row>
    <row r="251" spans="1:15" x14ac:dyDescent="0.25">
      <c r="A251" s="4">
        <v>250</v>
      </c>
      <c r="B251" s="33" t="s">
        <v>1719</v>
      </c>
      <c r="C251" s="14">
        <v>75194516</v>
      </c>
      <c r="D251" s="14" t="s">
        <v>377</v>
      </c>
      <c r="E251" s="14" t="s">
        <v>1969</v>
      </c>
      <c r="F251" s="14" t="s">
        <v>1040</v>
      </c>
      <c r="G251" s="14" t="s">
        <v>1095</v>
      </c>
      <c r="H251" s="14" t="s">
        <v>1544</v>
      </c>
      <c r="I251" s="14" t="s">
        <v>378</v>
      </c>
      <c r="J251" s="34" t="s">
        <v>2104</v>
      </c>
      <c r="K251" s="14">
        <v>923507346</v>
      </c>
      <c r="L251" s="14" t="s">
        <v>90</v>
      </c>
      <c r="M251" s="14" t="s">
        <v>368</v>
      </c>
      <c r="N251" s="14">
        <v>73</v>
      </c>
      <c r="O251" s="14" t="s">
        <v>11</v>
      </c>
    </row>
    <row r="252" spans="1:15" x14ac:dyDescent="0.25">
      <c r="A252" s="4">
        <v>251</v>
      </c>
      <c r="B252" s="33" t="s">
        <v>1719</v>
      </c>
      <c r="C252" s="14">
        <v>44858163</v>
      </c>
      <c r="D252" s="14" t="s">
        <v>379</v>
      </c>
      <c r="E252" s="14" t="s">
        <v>1970</v>
      </c>
      <c r="F252" s="14" t="s">
        <v>1172</v>
      </c>
      <c r="G252" s="14" t="s">
        <v>952</v>
      </c>
      <c r="H252" s="14" t="s">
        <v>1545</v>
      </c>
      <c r="I252" s="14" t="s">
        <v>380</v>
      </c>
      <c r="J252" s="34" t="s">
        <v>2104</v>
      </c>
      <c r="K252" s="14">
        <v>955282059</v>
      </c>
      <c r="L252" s="14" t="s">
        <v>90</v>
      </c>
      <c r="M252" s="14" t="s">
        <v>368</v>
      </c>
      <c r="N252" s="14">
        <v>71.5</v>
      </c>
      <c r="O252" s="14" t="s">
        <v>11</v>
      </c>
    </row>
    <row r="253" spans="1:15" x14ac:dyDescent="0.25">
      <c r="A253" s="4">
        <v>252</v>
      </c>
      <c r="B253" s="33" t="s">
        <v>1719</v>
      </c>
      <c r="C253" s="14">
        <v>42656845</v>
      </c>
      <c r="D253" s="14" t="s">
        <v>381</v>
      </c>
      <c r="E253" s="14" t="s">
        <v>1971</v>
      </c>
      <c r="F253" s="14" t="s">
        <v>1173</v>
      </c>
      <c r="G253" s="14" t="s">
        <v>1299</v>
      </c>
      <c r="H253" s="14" t="s">
        <v>1546</v>
      </c>
      <c r="I253" s="14" t="s">
        <v>382</v>
      </c>
      <c r="J253" s="34" t="s">
        <v>2104</v>
      </c>
      <c r="K253" s="14">
        <v>929630046</v>
      </c>
      <c r="L253" s="14" t="s">
        <v>90</v>
      </c>
      <c r="M253" s="14" t="s">
        <v>368</v>
      </c>
      <c r="N253" s="14">
        <v>69.099999999999994</v>
      </c>
      <c r="O253" s="14" t="s">
        <v>11</v>
      </c>
    </row>
    <row r="254" spans="1:15" x14ac:dyDescent="0.25">
      <c r="A254" s="4">
        <v>253</v>
      </c>
      <c r="B254" s="33" t="s">
        <v>1719</v>
      </c>
      <c r="C254" s="14">
        <v>46327997</v>
      </c>
      <c r="D254" s="14" t="s">
        <v>383</v>
      </c>
      <c r="E254" s="14" t="s">
        <v>1972</v>
      </c>
      <c r="F254" s="14" t="s">
        <v>1174</v>
      </c>
      <c r="G254" s="14" t="s">
        <v>916</v>
      </c>
      <c r="H254" s="14" t="s">
        <v>1547</v>
      </c>
      <c r="I254" s="14" t="s">
        <v>384</v>
      </c>
      <c r="J254" s="34" t="s">
        <v>2104</v>
      </c>
      <c r="K254" s="14">
        <v>927715022</v>
      </c>
      <c r="L254" s="14" t="s">
        <v>90</v>
      </c>
      <c r="M254" s="14" t="s">
        <v>368</v>
      </c>
      <c r="N254" s="14">
        <v>68.5</v>
      </c>
      <c r="O254" s="14" t="s">
        <v>11</v>
      </c>
    </row>
    <row r="255" spans="1:15" x14ac:dyDescent="0.25">
      <c r="A255" s="4">
        <v>254</v>
      </c>
      <c r="B255" s="33" t="s">
        <v>1719</v>
      </c>
      <c r="C255" s="14">
        <v>77341510</v>
      </c>
      <c r="D255" s="14" t="s">
        <v>385</v>
      </c>
      <c r="E255" s="14" t="s">
        <v>1973</v>
      </c>
      <c r="F255" s="14" t="s">
        <v>1175</v>
      </c>
      <c r="G255" s="14" t="s">
        <v>1016</v>
      </c>
      <c r="H255" s="14" t="s">
        <v>1548</v>
      </c>
      <c r="I255" s="14" t="s">
        <v>386</v>
      </c>
      <c r="J255" s="34" t="s">
        <v>2104</v>
      </c>
      <c r="K255" s="14">
        <v>929717847</v>
      </c>
      <c r="L255" s="14" t="s">
        <v>90</v>
      </c>
      <c r="M255" s="14" t="s">
        <v>368</v>
      </c>
      <c r="N255" s="14">
        <v>68.5</v>
      </c>
      <c r="O255" s="14" t="s">
        <v>11</v>
      </c>
    </row>
    <row r="256" spans="1:15" x14ac:dyDescent="0.25">
      <c r="A256" s="4">
        <v>255</v>
      </c>
      <c r="B256" s="33" t="s">
        <v>1719</v>
      </c>
      <c r="C256" s="14">
        <v>71894605</v>
      </c>
      <c r="D256" s="14" t="s">
        <v>387</v>
      </c>
      <c r="E256" s="14" t="s">
        <v>1974</v>
      </c>
      <c r="F256" s="14" t="s">
        <v>859</v>
      </c>
      <c r="G256" s="14" t="s">
        <v>1176</v>
      </c>
      <c r="H256" s="14" t="s">
        <v>1549</v>
      </c>
      <c r="I256" s="14" t="s">
        <v>388</v>
      </c>
      <c r="J256" s="34" t="s">
        <v>2104</v>
      </c>
      <c r="K256" s="14">
        <v>904183225</v>
      </c>
      <c r="L256" s="14" t="s">
        <v>90</v>
      </c>
      <c r="M256" s="14" t="s">
        <v>368</v>
      </c>
      <c r="N256" s="14">
        <v>68.2</v>
      </c>
      <c r="O256" s="14" t="s">
        <v>11</v>
      </c>
    </row>
    <row r="257" spans="1:15" x14ac:dyDescent="0.25">
      <c r="A257" s="4">
        <v>256</v>
      </c>
      <c r="B257" s="33" t="s">
        <v>1719</v>
      </c>
      <c r="C257" s="14">
        <v>77294821</v>
      </c>
      <c r="D257" s="14" t="s">
        <v>389</v>
      </c>
      <c r="E257" s="14" t="s">
        <v>1975</v>
      </c>
      <c r="F257" s="14" t="s">
        <v>1177</v>
      </c>
      <c r="G257" s="14" t="s">
        <v>1178</v>
      </c>
      <c r="H257" s="14" t="s">
        <v>1550</v>
      </c>
      <c r="I257" s="14" t="s">
        <v>390</v>
      </c>
      <c r="J257" s="34" t="s">
        <v>2104</v>
      </c>
      <c r="K257" s="14">
        <v>980509283</v>
      </c>
      <c r="L257" s="14" t="s">
        <v>90</v>
      </c>
      <c r="M257" s="14" t="s">
        <v>368</v>
      </c>
      <c r="N257" s="14">
        <v>67.5</v>
      </c>
      <c r="O257" s="14" t="s">
        <v>11</v>
      </c>
    </row>
    <row r="258" spans="1:15" x14ac:dyDescent="0.25">
      <c r="A258" s="4">
        <v>257</v>
      </c>
      <c r="B258" s="33" t="s">
        <v>1719</v>
      </c>
      <c r="C258" s="14">
        <v>70914357</v>
      </c>
      <c r="D258" s="14" t="s">
        <v>391</v>
      </c>
      <c r="E258" s="14" t="s">
        <v>1976</v>
      </c>
      <c r="F258" s="14" t="s">
        <v>898</v>
      </c>
      <c r="G258" s="14" t="s">
        <v>1179</v>
      </c>
      <c r="H258" s="14" t="s">
        <v>1551</v>
      </c>
      <c r="I258" s="14" t="s">
        <v>392</v>
      </c>
      <c r="J258" s="34" t="s">
        <v>2104</v>
      </c>
      <c r="K258" s="14">
        <v>934930080</v>
      </c>
      <c r="L258" s="14" t="s">
        <v>90</v>
      </c>
      <c r="M258" s="14" t="s">
        <v>368</v>
      </c>
      <c r="N258" s="14">
        <v>67</v>
      </c>
      <c r="O258" s="14" t="s">
        <v>11</v>
      </c>
    </row>
    <row r="259" spans="1:15" x14ac:dyDescent="0.25">
      <c r="A259" s="4">
        <v>258</v>
      </c>
      <c r="B259" s="33" t="s">
        <v>1719</v>
      </c>
      <c r="C259" s="14">
        <v>16717925</v>
      </c>
      <c r="D259" s="14" t="s">
        <v>393</v>
      </c>
      <c r="E259" s="14" t="s">
        <v>1977</v>
      </c>
      <c r="F259" s="14" t="s">
        <v>1180</v>
      </c>
      <c r="G259" s="14" t="s">
        <v>965</v>
      </c>
      <c r="H259" s="14" t="s">
        <v>1552</v>
      </c>
      <c r="I259" s="14" t="s">
        <v>394</v>
      </c>
      <c r="J259" s="34" t="s">
        <v>2104</v>
      </c>
      <c r="K259" s="14">
        <v>945312620</v>
      </c>
      <c r="L259" s="14" t="s">
        <v>90</v>
      </c>
      <c r="M259" s="14" t="s">
        <v>368</v>
      </c>
      <c r="N259" s="14">
        <v>66</v>
      </c>
      <c r="O259" s="14" t="s">
        <v>11</v>
      </c>
    </row>
    <row r="260" spans="1:15" x14ac:dyDescent="0.25">
      <c r="A260" s="4">
        <v>259</v>
      </c>
      <c r="B260" s="33" t="s">
        <v>1719</v>
      </c>
      <c r="C260" s="14">
        <v>70072077</v>
      </c>
      <c r="D260" s="14" t="s">
        <v>395</v>
      </c>
      <c r="E260" s="14" t="s">
        <v>1978</v>
      </c>
      <c r="F260" s="14" t="s">
        <v>1181</v>
      </c>
      <c r="G260" s="14" t="s">
        <v>933</v>
      </c>
      <c r="H260" s="14" t="s">
        <v>1443</v>
      </c>
      <c r="I260" s="14" t="s">
        <v>396</v>
      </c>
      <c r="J260" s="34" t="s">
        <v>2104</v>
      </c>
      <c r="K260" s="14">
        <v>983896674</v>
      </c>
      <c r="L260" s="14" t="s">
        <v>90</v>
      </c>
      <c r="M260" s="14" t="s">
        <v>368</v>
      </c>
      <c r="N260" s="14">
        <v>65.3</v>
      </c>
      <c r="O260" s="14" t="s">
        <v>11</v>
      </c>
    </row>
    <row r="261" spans="1:15" x14ac:dyDescent="0.25">
      <c r="A261" s="4">
        <v>260</v>
      </c>
      <c r="B261" s="33" t="s">
        <v>1719</v>
      </c>
      <c r="C261" s="14">
        <v>74820040</v>
      </c>
      <c r="D261" s="14" t="s">
        <v>397</v>
      </c>
      <c r="E261" s="14" t="s">
        <v>1979</v>
      </c>
      <c r="F261" s="14" t="s">
        <v>1061</v>
      </c>
      <c r="G261" s="14" t="s">
        <v>1003</v>
      </c>
      <c r="H261" s="14" t="s">
        <v>1553</v>
      </c>
      <c r="I261" s="14" t="s">
        <v>398</v>
      </c>
      <c r="J261" s="34" t="s">
        <v>2104</v>
      </c>
      <c r="K261" s="14">
        <v>972287939</v>
      </c>
      <c r="L261" s="14" t="s">
        <v>90</v>
      </c>
      <c r="M261" s="14" t="s">
        <v>368</v>
      </c>
      <c r="N261" s="14">
        <v>65</v>
      </c>
      <c r="O261" s="14" t="s">
        <v>11</v>
      </c>
    </row>
    <row r="262" spans="1:15" x14ac:dyDescent="0.25">
      <c r="A262" s="4">
        <v>261</v>
      </c>
      <c r="B262" s="33" t="s">
        <v>1719</v>
      </c>
      <c r="C262" s="14">
        <v>42822148</v>
      </c>
      <c r="D262" s="14" t="s">
        <v>399</v>
      </c>
      <c r="E262" s="14" t="s">
        <v>1980</v>
      </c>
      <c r="F262" s="14" t="s">
        <v>894</v>
      </c>
      <c r="G262" s="14" t="s">
        <v>1049</v>
      </c>
      <c r="H262" s="14" t="s">
        <v>1554</v>
      </c>
      <c r="I262" s="14" t="s">
        <v>400</v>
      </c>
      <c r="J262" s="34" t="s">
        <v>2104</v>
      </c>
      <c r="K262" s="14">
        <v>969612526</v>
      </c>
      <c r="L262" s="14" t="s">
        <v>90</v>
      </c>
      <c r="M262" s="14" t="s">
        <v>368</v>
      </c>
      <c r="N262" s="14">
        <v>62.9</v>
      </c>
      <c r="O262" s="14" t="s">
        <v>11</v>
      </c>
    </row>
    <row r="263" spans="1:15" x14ac:dyDescent="0.25">
      <c r="A263" s="4">
        <v>262</v>
      </c>
      <c r="B263" s="33" t="s">
        <v>1719</v>
      </c>
      <c r="C263" s="14">
        <v>47466869</v>
      </c>
      <c r="D263" s="14" t="s">
        <v>401</v>
      </c>
      <c r="E263" s="14" t="s">
        <v>1981</v>
      </c>
      <c r="F263" s="14" t="s">
        <v>908</v>
      </c>
      <c r="G263" s="14" t="s">
        <v>1182</v>
      </c>
      <c r="H263" s="14" t="s">
        <v>1555</v>
      </c>
      <c r="I263" s="14" t="s">
        <v>402</v>
      </c>
      <c r="J263" s="34" t="s">
        <v>2104</v>
      </c>
      <c r="K263" s="14">
        <v>968076806</v>
      </c>
      <c r="L263" s="14" t="s">
        <v>90</v>
      </c>
      <c r="M263" s="14" t="s">
        <v>368</v>
      </c>
      <c r="N263" s="14">
        <v>61.3</v>
      </c>
      <c r="O263" s="14" t="s">
        <v>11</v>
      </c>
    </row>
    <row r="264" spans="1:15" x14ac:dyDescent="0.25">
      <c r="A264" s="4">
        <v>263</v>
      </c>
      <c r="B264" s="33" t="s">
        <v>1719</v>
      </c>
      <c r="C264" s="14">
        <v>26706589</v>
      </c>
      <c r="D264" s="14" t="s">
        <v>403</v>
      </c>
      <c r="E264" s="14" t="s">
        <v>1982</v>
      </c>
      <c r="F264" s="14" t="s">
        <v>901</v>
      </c>
      <c r="G264" s="14" t="s">
        <v>1053</v>
      </c>
      <c r="H264" s="14" t="s">
        <v>1556</v>
      </c>
      <c r="I264" s="14" t="s">
        <v>404</v>
      </c>
      <c r="J264" s="34" t="s">
        <v>2104</v>
      </c>
      <c r="K264" s="14">
        <v>949695725</v>
      </c>
      <c r="L264" s="14" t="s">
        <v>90</v>
      </c>
      <c r="M264" s="14" t="s">
        <v>368</v>
      </c>
      <c r="N264" s="14">
        <v>58.3</v>
      </c>
      <c r="O264" s="14" t="s">
        <v>11</v>
      </c>
    </row>
    <row r="265" spans="1:15" x14ac:dyDescent="0.25">
      <c r="A265" s="4">
        <v>264</v>
      </c>
      <c r="B265" s="33" t="s">
        <v>1719</v>
      </c>
      <c r="C265" s="14">
        <v>16716019</v>
      </c>
      <c r="D265" s="14" t="s">
        <v>405</v>
      </c>
      <c r="E265" s="14" t="s">
        <v>1983</v>
      </c>
      <c r="F265" s="14" t="s">
        <v>1183</v>
      </c>
      <c r="G265" s="14" t="s">
        <v>1184</v>
      </c>
      <c r="H265" s="14" t="s">
        <v>1557</v>
      </c>
      <c r="I265" s="14" t="s">
        <v>406</v>
      </c>
      <c r="J265" s="34" t="s">
        <v>2104</v>
      </c>
      <c r="K265" s="14">
        <v>964543139</v>
      </c>
      <c r="L265" s="14" t="s">
        <v>90</v>
      </c>
      <c r="M265" s="14" t="s">
        <v>368</v>
      </c>
      <c r="N265" s="14">
        <v>56</v>
      </c>
      <c r="O265" s="14" t="s">
        <v>11</v>
      </c>
    </row>
    <row r="266" spans="1:15" x14ac:dyDescent="0.25">
      <c r="A266" s="4">
        <v>265</v>
      </c>
      <c r="B266" s="33" t="s">
        <v>1719</v>
      </c>
      <c r="C266" s="14">
        <v>42056550</v>
      </c>
      <c r="D266" s="14" t="s">
        <v>407</v>
      </c>
      <c r="E266" s="14" t="s">
        <v>1984</v>
      </c>
      <c r="F266" s="14" t="s">
        <v>1185</v>
      </c>
      <c r="G266" s="14" t="s">
        <v>861</v>
      </c>
      <c r="H266" s="14" t="s">
        <v>1558</v>
      </c>
      <c r="I266" s="14" t="s">
        <v>408</v>
      </c>
      <c r="J266" s="34" t="s">
        <v>2104</v>
      </c>
      <c r="K266" s="14">
        <v>923296753</v>
      </c>
      <c r="L266" s="14" t="s">
        <v>90</v>
      </c>
      <c r="M266" s="14" t="s">
        <v>368</v>
      </c>
      <c r="N266" s="14">
        <v>53</v>
      </c>
      <c r="O266" s="14" t="s">
        <v>11</v>
      </c>
    </row>
    <row r="267" spans="1:15" x14ac:dyDescent="0.25">
      <c r="A267" s="4">
        <v>266</v>
      </c>
      <c r="B267" s="33" t="s">
        <v>1719</v>
      </c>
      <c r="C267" s="14" t="s">
        <v>409</v>
      </c>
      <c r="D267" s="14" t="s">
        <v>410</v>
      </c>
      <c r="E267" s="14" t="s">
        <v>1985</v>
      </c>
      <c r="F267" s="14" t="s">
        <v>1186</v>
      </c>
      <c r="G267" s="14" t="s">
        <v>1187</v>
      </c>
      <c r="H267" s="14" t="s">
        <v>1559</v>
      </c>
      <c r="I267" s="14" t="s">
        <v>411</v>
      </c>
      <c r="J267" s="34" t="s">
        <v>2104</v>
      </c>
      <c r="K267" s="14">
        <v>928685358</v>
      </c>
      <c r="L267" s="14" t="s">
        <v>90</v>
      </c>
      <c r="M267" s="14" t="s">
        <v>368</v>
      </c>
      <c r="N267" s="14">
        <v>51.3</v>
      </c>
      <c r="O267" s="14" t="s">
        <v>11</v>
      </c>
    </row>
    <row r="268" spans="1:15" x14ac:dyDescent="0.25">
      <c r="A268" s="4">
        <v>267</v>
      </c>
      <c r="B268" s="33" t="s">
        <v>1719</v>
      </c>
      <c r="C268" s="9">
        <v>40564392</v>
      </c>
      <c r="D268" s="9" t="s">
        <v>7</v>
      </c>
      <c r="E268" s="9" t="s">
        <v>1986</v>
      </c>
      <c r="F268" s="9" t="s">
        <v>950</v>
      </c>
      <c r="G268" s="9" t="s">
        <v>1188</v>
      </c>
      <c r="H268" s="9" t="s">
        <v>1560</v>
      </c>
      <c r="I268" s="9" t="s">
        <v>8</v>
      </c>
      <c r="J268" s="34" t="s">
        <v>2104</v>
      </c>
      <c r="K268" s="9">
        <v>922210488</v>
      </c>
      <c r="L268" s="9" t="s">
        <v>9</v>
      </c>
      <c r="M268" s="9" t="s">
        <v>10</v>
      </c>
      <c r="N268" s="9">
        <v>84.5</v>
      </c>
      <c r="O268" s="9" t="s">
        <v>11</v>
      </c>
    </row>
    <row r="269" spans="1:15" x14ac:dyDescent="0.25">
      <c r="A269" s="4">
        <v>268</v>
      </c>
      <c r="B269" s="33" t="s">
        <v>1719</v>
      </c>
      <c r="C269" s="9">
        <v>16676613</v>
      </c>
      <c r="D269" s="9" t="s">
        <v>12</v>
      </c>
      <c r="E269" s="9" t="s">
        <v>1987</v>
      </c>
      <c r="F269" s="9" t="s">
        <v>1189</v>
      </c>
      <c r="G269" s="9" t="s">
        <v>1190</v>
      </c>
      <c r="H269" s="9" t="s">
        <v>1561</v>
      </c>
      <c r="I269" s="9" t="s">
        <v>13</v>
      </c>
      <c r="J269" s="34" t="s">
        <v>2104</v>
      </c>
      <c r="K269" s="9">
        <v>965197190</v>
      </c>
      <c r="L269" s="9" t="s">
        <v>9</v>
      </c>
      <c r="M269" s="9" t="s">
        <v>10</v>
      </c>
      <c r="N269" s="9">
        <v>83</v>
      </c>
      <c r="O269" s="9" t="s">
        <v>11</v>
      </c>
    </row>
    <row r="270" spans="1:15" x14ac:dyDescent="0.25">
      <c r="A270" s="4">
        <v>269</v>
      </c>
      <c r="B270" s="33" t="s">
        <v>1719</v>
      </c>
      <c r="C270" s="9">
        <v>70060478</v>
      </c>
      <c r="D270" s="9" t="s">
        <v>14</v>
      </c>
      <c r="E270" s="9" t="s">
        <v>1988</v>
      </c>
      <c r="F270" s="9" t="s">
        <v>861</v>
      </c>
      <c r="G270" s="9" t="s">
        <v>1191</v>
      </c>
      <c r="H270" s="9" t="s">
        <v>1374</v>
      </c>
      <c r="I270" s="9" t="s">
        <v>15</v>
      </c>
      <c r="J270" s="34" t="s">
        <v>2104</v>
      </c>
      <c r="K270" s="9">
        <v>951538062</v>
      </c>
      <c r="L270" s="9" t="s">
        <v>9</v>
      </c>
      <c r="M270" s="9" t="s">
        <v>10</v>
      </c>
      <c r="N270" s="9">
        <v>82</v>
      </c>
      <c r="O270" s="9" t="s">
        <v>11</v>
      </c>
    </row>
    <row r="271" spans="1:15" x14ac:dyDescent="0.25">
      <c r="A271" s="4">
        <v>270</v>
      </c>
      <c r="B271" s="33" t="s">
        <v>1719</v>
      </c>
      <c r="C271" s="9">
        <v>16656814</v>
      </c>
      <c r="D271" s="9" t="s">
        <v>16</v>
      </c>
      <c r="E271" s="9" t="s">
        <v>1989</v>
      </c>
      <c r="F271" s="9" t="s">
        <v>1192</v>
      </c>
      <c r="G271" s="9" t="s">
        <v>1193</v>
      </c>
      <c r="H271" s="9" t="s">
        <v>1562</v>
      </c>
      <c r="I271" s="9" t="s">
        <v>17</v>
      </c>
      <c r="J271" s="34" t="s">
        <v>2104</v>
      </c>
      <c r="K271" s="9">
        <v>979618370</v>
      </c>
      <c r="L271" s="9" t="s">
        <v>9</v>
      </c>
      <c r="M271" s="9" t="s">
        <v>10</v>
      </c>
      <c r="N271" s="9">
        <v>81</v>
      </c>
      <c r="O271" s="9" t="s">
        <v>11</v>
      </c>
    </row>
    <row r="272" spans="1:15" x14ac:dyDescent="0.25">
      <c r="A272" s="4">
        <v>271</v>
      </c>
      <c r="B272" s="33" t="s">
        <v>1719</v>
      </c>
      <c r="C272" s="9">
        <v>16719569</v>
      </c>
      <c r="D272" s="9" t="s">
        <v>18</v>
      </c>
      <c r="E272" s="9" t="s">
        <v>1990</v>
      </c>
      <c r="F272" s="9" t="s">
        <v>1194</v>
      </c>
      <c r="G272" s="9" t="s">
        <v>1195</v>
      </c>
      <c r="H272" s="9" t="s">
        <v>1563</v>
      </c>
      <c r="I272" s="9" t="s">
        <v>19</v>
      </c>
      <c r="J272" s="34" t="s">
        <v>2104</v>
      </c>
      <c r="K272" s="9">
        <v>943855088</v>
      </c>
      <c r="L272" s="9" t="s">
        <v>9</v>
      </c>
      <c r="M272" s="9" t="s">
        <v>10</v>
      </c>
      <c r="N272" s="9">
        <v>80.8</v>
      </c>
      <c r="O272" s="9" t="s">
        <v>11</v>
      </c>
    </row>
    <row r="273" spans="1:15" x14ac:dyDescent="0.25">
      <c r="A273" s="4">
        <v>272</v>
      </c>
      <c r="B273" s="33" t="s">
        <v>1719</v>
      </c>
      <c r="C273" s="9">
        <v>45695320</v>
      </c>
      <c r="D273" s="9" t="s">
        <v>20</v>
      </c>
      <c r="E273" s="9" t="s">
        <v>1991</v>
      </c>
      <c r="F273" s="9" t="s">
        <v>1196</v>
      </c>
      <c r="G273" s="9" t="s">
        <v>1197</v>
      </c>
      <c r="H273" s="9" t="s">
        <v>1564</v>
      </c>
      <c r="I273" s="9" t="s">
        <v>21</v>
      </c>
      <c r="J273" s="34" t="s">
        <v>2104</v>
      </c>
      <c r="K273" s="9">
        <v>949529017</v>
      </c>
      <c r="L273" s="9" t="s">
        <v>9</v>
      </c>
      <c r="M273" s="9" t="s">
        <v>10</v>
      </c>
      <c r="N273" s="9">
        <v>80</v>
      </c>
      <c r="O273" s="9" t="s">
        <v>11</v>
      </c>
    </row>
    <row r="274" spans="1:15" x14ac:dyDescent="0.25">
      <c r="A274" s="4">
        <v>273</v>
      </c>
      <c r="B274" s="33" t="s">
        <v>1719</v>
      </c>
      <c r="C274" s="9">
        <v>19219053</v>
      </c>
      <c r="D274" s="9" t="s">
        <v>22</v>
      </c>
      <c r="E274" s="9" t="s">
        <v>1992</v>
      </c>
      <c r="F274" s="9" t="s">
        <v>1198</v>
      </c>
      <c r="G274" s="9" t="s">
        <v>1199</v>
      </c>
      <c r="H274" s="9" t="s">
        <v>1565</v>
      </c>
      <c r="I274" s="9" t="s">
        <v>23</v>
      </c>
      <c r="J274" s="34" t="s">
        <v>2104</v>
      </c>
      <c r="K274" s="9">
        <v>971049145</v>
      </c>
      <c r="L274" s="9" t="s">
        <v>9</v>
      </c>
      <c r="M274" s="9" t="s">
        <v>10</v>
      </c>
      <c r="N274" s="9">
        <v>78.5</v>
      </c>
      <c r="O274" s="9" t="s">
        <v>11</v>
      </c>
    </row>
    <row r="275" spans="1:15" x14ac:dyDescent="0.25">
      <c r="A275" s="4">
        <v>274</v>
      </c>
      <c r="B275" s="33" t="s">
        <v>1719</v>
      </c>
      <c r="C275" s="9">
        <v>71291418</v>
      </c>
      <c r="D275" s="9" t="s">
        <v>24</v>
      </c>
      <c r="E275" s="9" t="s">
        <v>1993</v>
      </c>
      <c r="F275" s="9" t="s">
        <v>951</v>
      </c>
      <c r="G275" s="9" t="s">
        <v>933</v>
      </c>
      <c r="H275" s="9" t="s">
        <v>1566</v>
      </c>
      <c r="I275" s="9" t="s">
        <v>25</v>
      </c>
      <c r="J275" s="34" t="s">
        <v>2104</v>
      </c>
      <c r="K275" s="9">
        <v>937361416</v>
      </c>
      <c r="L275" s="9" t="s">
        <v>9</v>
      </c>
      <c r="M275" s="9" t="s">
        <v>10</v>
      </c>
      <c r="N275" s="9">
        <v>77.5</v>
      </c>
      <c r="O275" s="9" t="s">
        <v>11</v>
      </c>
    </row>
    <row r="276" spans="1:15" x14ac:dyDescent="0.25">
      <c r="A276" s="4">
        <v>275</v>
      </c>
      <c r="B276" s="33" t="s">
        <v>1719</v>
      </c>
      <c r="C276" s="9">
        <v>43674308</v>
      </c>
      <c r="D276" s="9" t="s">
        <v>26</v>
      </c>
      <c r="E276" s="9" t="s">
        <v>1994</v>
      </c>
      <c r="F276" s="9" t="s">
        <v>916</v>
      </c>
      <c r="G276" s="9" t="s">
        <v>995</v>
      </c>
      <c r="H276" s="9" t="s">
        <v>1567</v>
      </c>
      <c r="I276" s="9" t="s">
        <v>27</v>
      </c>
      <c r="J276" s="34" t="s">
        <v>2104</v>
      </c>
      <c r="K276" s="9">
        <v>979784034</v>
      </c>
      <c r="L276" s="9" t="s">
        <v>9</v>
      </c>
      <c r="M276" s="9" t="s">
        <v>10</v>
      </c>
      <c r="N276" s="9">
        <v>76</v>
      </c>
      <c r="O276" s="9" t="s">
        <v>11</v>
      </c>
    </row>
    <row r="277" spans="1:15" x14ac:dyDescent="0.25">
      <c r="A277" s="4">
        <v>276</v>
      </c>
      <c r="B277" s="33" t="s">
        <v>1719</v>
      </c>
      <c r="C277" s="9">
        <v>17451203</v>
      </c>
      <c r="D277" s="9" t="s">
        <v>28</v>
      </c>
      <c r="E277" s="9" t="s">
        <v>1995</v>
      </c>
      <c r="F277" s="9" t="s">
        <v>860</v>
      </c>
      <c r="G277" s="9" t="s">
        <v>1200</v>
      </c>
      <c r="H277" s="9" t="s">
        <v>1568</v>
      </c>
      <c r="I277" s="9" t="s">
        <v>29</v>
      </c>
      <c r="J277" s="34" t="s">
        <v>2104</v>
      </c>
      <c r="K277" s="9">
        <v>968092042</v>
      </c>
      <c r="L277" s="9" t="s">
        <v>9</v>
      </c>
      <c r="M277" s="9" t="s">
        <v>10</v>
      </c>
      <c r="N277" s="9">
        <v>75.7</v>
      </c>
      <c r="O277" s="9" t="s">
        <v>11</v>
      </c>
    </row>
    <row r="278" spans="1:15" x14ac:dyDescent="0.25">
      <c r="A278" s="4">
        <v>277</v>
      </c>
      <c r="B278" s="33" t="s">
        <v>1719</v>
      </c>
      <c r="C278" s="9">
        <v>72747940</v>
      </c>
      <c r="D278" s="9" t="s">
        <v>30</v>
      </c>
      <c r="E278" s="9" t="s">
        <v>1996</v>
      </c>
      <c r="F278" s="9" t="s">
        <v>1201</v>
      </c>
      <c r="G278" s="9" t="s">
        <v>1202</v>
      </c>
      <c r="H278" s="9" t="s">
        <v>1569</v>
      </c>
      <c r="I278" s="9" t="s">
        <v>31</v>
      </c>
      <c r="J278" s="34" t="s">
        <v>2104</v>
      </c>
      <c r="K278" s="9">
        <v>960952982</v>
      </c>
      <c r="L278" s="9" t="s">
        <v>9</v>
      </c>
      <c r="M278" s="9" t="s">
        <v>10</v>
      </c>
      <c r="N278" s="9">
        <v>75.3</v>
      </c>
      <c r="O278" s="9" t="s">
        <v>11</v>
      </c>
    </row>
    <row r="279" spans="1:15" x14ac:dyDescent="0.25">
      <c r="A279" s="4">
        <v>278</v>
      </c>
      <c r="B279" s="33" t="s">
        <v>1719</v>
      </c>
      <c r="C279" s="9">
        <v>45620610</v>
      </c>
      <c r="D279" s="9" t="s">
        <v>32</v>
      </c>
      <c r="E279" s="9" t="s">
        <v>1997</v>
      </c>
      <c r="F279" s="9" t="s">
        <v>1203</v>
      </c>
      <c r="G279" s="9" t="s">
        <v>1204</v>
      </c>
      <c r="H279" s="9" t="s">
        <v>1512</v>
      </c>
      <c r="I279" s="9" t="s">
        <v>33</v>
      </c>
      <c r="J279" s="34" t="s">
        <v>2104</v>
      </c>
      <c r="K279" s="9">
        <v>945962546</v>
      </c>
      <c r="L279" s="9" t="s">
        <v>9</v>
      </c>
      <c r="M279" s="9" t="s">
        <v>10</v>
      </c>
      <c r="N279" s="9">
        <v>75</v>
      </c>
      <c r="O279" s="9" t="s">
        <v>11</v>
      </c>
    </row>
    <row r="280" spans="1:15" x14ac:dyDescent="0.25">
      <c r="A280" s="4">
        <v>279</v>
      </c>
      <c r="B280" s="33" t="s">
        <v>1719</v>
      </c>
      <c r="C280" s="9">
        <v>46093910</v>
      </c>
      <c r="D280" s="9" t="s">
        <v>34</v>
      </c>
      <c r="E280" s="9" t="s">
        <v>1998</v>
      </c>
      <c r="F280" s="9" t="s">
        <v>1205</v>
      </c>
      <c r="G280" s="9" t="s">
        <v>1205</v>
      </c>
      <c r="H280" s="9" t="s">
        <v>1370</v>
      </c>
      <c r="I280" s="9" t="s">
        <v>35</v>
      </c>
      <c r="J280" s="34" t="s">
        <v>2104</v>
      </c>
      <c r="K280" s="9">
        <v>980764341</v>
      </c>
      <c r="L280" s="9" t="s">
        <v>9</v>
      </c>
      <c r="M280" s="9" t="s">
        <v>10</v>
      </c>
      <c r="N280" s="9">
        <v>73.5</v>
      </c>
      <c r="O280" s="9" t="s">
        <v>11</v>
      </c>
    </row>
    <row r="281" spans="1:15" x14ac:dyDescent="0.25">
      <c r="A281" s="4">
        <v>280</v>
      </c>
      <c r="B281" s="33" t="s">
        <v>1719</v>
      </c>
      <c r="C281" s="9">
        <v>23012904</v>
      </c>
      <c r="D281" s="9" t="s">
        <v>36</v>
      </c>
      <c r="E281" s="9" t="s">
        <v>1999</v>
      </c>
      <c r="F281" s="9" t="s">
        <v>1206</v>
      </c>
      <c r="G281" s="9" t="s">
        <v>1207</v>
      </c>
      <c r="H281" s="9" t="s">
        <v>1512</v>
      </c>
      <c r="I281" s="9" t="s">
        <v>37</v>
      </c>
      <c r="J281" s="34" t="s">
        <v>2104</v>
      </c>
      <c r="K281" s="9">
        <v>979107777</v>
      </c>
      <c r="L281" s="9" t="s">
        <v>9</v>
      </c>
      <c r="M281" s="9" t="s">
        <v>10</v>
      </c>
      <c r="N281" s="9">
        <v>73.5</v>
      </c>
      <c r="O281" s="9" t="s">
        <v>11</v>
      </c>
    </row>
    <row r="282" spans="1:15" x14ac:dyDescent="0.25">
      <c r="A282" s="4">
        <v>281</v>
      </c>
      <c r="B282" s="33" t="s">
        <v>1719</v>
      </c>
      <c r="C282" s="9">
        <v>41107329</v>
      </c>
      <c r="D282" s="9" t="s">
        <v>38</v>
      </c>
      <c r="E282" s="9" t="s">
        <v>2000</v>
      </c>
      <c r="F282" s="9" t="s">
        <v>923</v>
      </c>
      <c r="G282" s="9" t="s">
        <v>1208</v>
      </c>
      <c r="H282" s="9" t="s">
        <v>1570</v>
      </c>
      <c r="I282" s="9" t="s">
        <v>39</v>
      </c>
      <c r="J282" s="34" t="s">
        <v>2104</v>
      </c>
      <c r="K282" s="9">
        <v>906013135</v>
      </c>
      <c r="L282" s="9" t="s">
        <v>9</v>
      </c>
      <c r="M282" s="9" t="s">
        <v>10</v>
      </c>
      <c r="N282" s="9">
        <v>73</v>
      </c>
      <c r="O282" s="9" t="s">
        <v>11</v>
      </c>
    </row>
    <row r="283" spans="1:15" x14ac:dyDescent="0.25">
      <c r="A283" s="4">
        <v>282</v>
      </c>
      <c r="B283" s="33" t="s">
        <v>1719</v>
      </c>
      <c r="C283" s="9">
        <v>17629020</v>
      </c>
      <c r="D283" s="9" t="s">
        <v>40</v>
      </c>
      <c r="E283" s="9" t="s">
        <v>2001</v>
      </c>
      <c r="F283" s="9" t="s">
        <v>1209</v>
      </c>
      <c r="G283" s="9" t="s">
        <v>1202</v>
      </c>
      <c r="H283" s="9" t="s">
        <v>1571</v>
      </c>
      <c r="I283" s="9" t="s">
        <v>41</v>
      </c>
      <c r="J283" s="34" t="s">
        <v>2104</v>
      </c>
      <c r="K283" s="9">
        <v>946859409</v>
      </c>
      <c r="L283" s="9" t="s">
        <v>9</v>
      </c>
      <c r="M283" s="9" t="s">
        <v>10</v>
      </c>
      <c r="N283" s="9">
        <v>71.5</v>
      </c>
      <c r="O283" s="9" t="s">
        <v>11</v>
      </c>
    </row>
    <row r="284" spans="1:15" x14ac:dyDescent="0.25">
      <c r="A284" s="4">
        <v>283</v>
      </c>
      <c r="B284" s="33" t="s">
        <v>1719</v>
      </c>
      <c r="C284" s="9">
        <v>42910566</v>
      </c>
      <c r="D284" s="9" t="s">
        <v>42</v>
      </c>
      <c r="E284" s="9" t="s">
        <v>2002</v>
      </c>
      <c r="F284" s="9" t="s">
        <v>1210</v>
      </c>
      <c r="G284" s="9" t="s">
        <v>898</v>
      </c>
      <c r="H284" s="9" t="s">
        <v>1572</v>
      </c>
      <c r="I284" s="9" t="s">
        <v>43</v>
      </c>
      <c r="J284" s="34" t="s">
        <v>2104</v>
      </c>
      <c r="K284" s="9">
        <v>959148878</v>
      </c>
      <c r="L284" s="9" t="s">
        <v>9</v>
      </c>
      <c r="M284" s="9" t="s">
        <v>10</v>
      </c>
      <c r="N284" s="9">
        <v>69</v>
      </c>
      <c r="O284" s="9" t="s">
        <v>11</v>
      </c>
    </row>
    <row r="285" spans="1:15" x14ac:dyDescent="0.25">
      <c r="A285" s="4">
        <v>284</v>
      </c>
      <c r="B285" s="33" t="s">
        <v>1719</v>
      </c>
      <c r="C285" s="9">
        <v>47570029</v>
      </c>
      <c r="D285" s="9" t="s">
        <v>44</v>
      </c>
      <c r="E285" s="9" t="s">
        <v>2003</v>
      </c>
      <c r="F285" s="9" t="s">
        <v>1211</v>
      </c>
      <c r="G285" s="9" t="s">
        <v>933</v>
      </c>
      <c r="H285" s="9" t="s">
        <v>1573</v>
      </c>
      <c r="I285" s="9" t="s">
        <v>45</v>
      </c>
      <c r="J285" s="34" t="s">
        <v>2104</v>
      </c>
      <c r="K285" s="9">
        <v>994782648</v>
      </c>
      <c r="L285" s="9" t="s">
        <v>9</v>
      </c>
      <c r="M285" s="9" t="s">
        <v>10</v>
      </c>
      <c r="N285" s="9">
        <v>68.5</v>
      </c>
      <c r="O285" s="9" t="s">
        <v>11</v>
      </c>
    </row>
    <row r="286" spans="1:15" x14ac:dyDescent="0.25">
      <c r="A286" s="4">
        <v>285</v>
      </c>
      <c r="B286" s="33" t="s">
        <v>1719</v>
      </c>
      <c r="C286" s="9">
        <v>40419542</v>
      </c>
      <c r="D286" s="9" t="s">
        <v>46</v>
      </c>
      <c r="E286" s="9" t="s">
        <v>2004</v>
      </c>
      <c r="F286" s="9" t="s">
        <v>1212</v>
      </c>
      <c r="G286" s="9" t="s">
        <v>1043</v>
      </c>
      <c r="H286" s="9" t="s">
        <v>1574</v>
      </c>
      <c r="I286" s="9" t="s">
        <v>47</v>
      </c>
      <c r="J286" s="34" t="s">
        <v>2104</v>
      </c>
      <c r="K286" s="9">
        <v>979514678</v>
      </c>
      <c r="L286" s="9" t="s">
        <v>9</v>
      </c>
      <c r="M286" s="9" t="s">
        <v>10</v>
      </c>
      <c r="N286" s="9">
        <v>59.5</v>
      </c>
      <c r="O286" s="9" t="s">
        <v>11</v>
      </c>
    </row>
    <row r="287" spans="1:15" x14ac:dyDescent="0.25">
      <c r="A287" s="4">
        <v>286</v>
      </c>
      <c r="B287" s="33" t="s">
        <v>1719</v>
      </c>
      <c r="C287" s="30">
        <v>77917975</v>
      </c>
      <c r="D287" s="30" t="s">
        <v>810</v>
      </c>
      <c r="E287" s="30" t="s">
        <v>2005</v>
      </c>
      <c r="F287" s="30" t="s">
        <v>876</v>
      </c>
      <c r="G287" s="30" t="s">
        <v>1213</v>
      </c>
      <c r="H287" s="30" t="s">
        <v>1575</v>
      </c>
      <c r="I287" s="30" t="s">
        <v>811</v>
      </c>
      <c r="J287" s="34" t="s">
        <v>2104</v>
      </c>
      <c r="K287" s="30">
        <v>990356090</v>
      </c>
      <c r="L287" s="30" t="s">
        <v>812</v>
      </c>
      <c r="M287" s="30" t="s">
        <v>813</v>
      </c>
      <c r="N287" s="30">
        <v>87</v>
      </c>
      <c r="O287" s="30" t="s">
        <v>11</v>
      </c>
    </row>
    <row r="288" spans="1:15" x14ac:dyDescent="0.25">
      <c r="A288" s="4">
        <v>287</v>
      </c>
      <c r="B288" s="33" t="s">
        <v>1719</v>
      </c>
      <c r="C288" s="30">
        <v>40443151</v>
      </c>
      <c r="D288" s="30" t="s">
        <v>814</v>
      </c>
      <c r="E288" s="30" t="s">
        <v>2006</v>
      </c>
      <c r="F288" s="30" t="s">
        <v>1214</v>
      </c>
      <c r="G288" s="30" t="s">
        <v>1215</v>
      </c>
      <c r="H288" s="30" t="s">
        <v>1576</v>
      </c>
      <c r="I288" s="30" t="s">
        <v>815</v>
      </c>
      <c r="J288" s="34" t="s">
        <v>2104</v>
      </c>
      <c r="K288" s="30">
        <v>941987804</v>
      </c>
      <c r="L288" s="30" t="s">
        <v>812</v>
      </c>
      <c r="M288" s="30" t="s">
        <v>813</v>
      </c>
      <c r="N288" s="30">
        <v>86.8</v>
      </c>
      <c r="O288" s="30" t="s">
        <v>11</v>
      </c>
    </row>
    <row r="289" spans="1:15" x14ac:dyDescent="0.25">
      <c r="A289" s="4">
        <v>288</v>
      </c>
      <c r="B289" s="33" t="s">
        <v>1719</v>
      </c>
      <c r="C289" s="30">
        <v>73201583</v>
      </c>
      <c r="D289" s="30" t="s">
        <v>816</v>
      </c>
      <c r="E289" s="30" t="s">
        <v>2007</v>
      </c>
      <c r="F289" s="30" t="s">
        <v>895</v>
      </c>
      <c r="G289" s="30" t="s">
        <v>1211</v>
      </c>
      <c r="H289" s="30" t="s">
        <v>1577</v>
      </c>
      <c r="I289" s="30" t="s">
        <v>817</v>
      </c>
      <c r="J289" s="34" t="s">
        <v>2104</v>
      </c>
      <c r="K289" s="30">
        <v>980376038</v>
      </c>
      <c r="L289" s="30" t="s">
        <v>812</v>
      </c>
      <c r="M289" s="30" t="s">
        <v>813</v>
      </c>
      <c r="N289" s="30">
        <v>80.5</v>
      </c>
      <c r="O289" s="30" t="s">
        <v>11</v>
      </c>
    </row>
    <row r="290" spans="1:15" x14ac:dyDescent="0.25">
      <c r="A290" s="4">
        <v>289</v>
      </c>
      <c r="B290" s="33" t="s">
        <v>1719</v>
      </c>
      <c r="C290" s="30">
        <v>72418564</v>
      </c>
      <c r="D290" s="30" t="s">
        <v>818</v>
      </c>
      <c r="E290" s="30" t="s">
        <v>2008</v>
      </c>
      <c r="F290" s="30" t="s">
        <v>976</v>
      </c>
      <c r="G290" s="30" t="s">
        <v>900</v>
      </c>
      <c r="H290" s="30" t="s">
        <v>1578</v>
      </c>
      <c r="I290" s="30" t="s">
        <v>819</v>
      </c>
      <c r="J290" s="34" t="s">
        <v>2104</v>
      </c>
      <c r="K290" s="30">
        <v>978477960</v>
      </c>
      <c r="L290" s="30" t="s">
        <v>812</v>
      </c>
      <c r="M290" s="30" t="s">
        <v>813</v>
      </c>
      <c r="N290" s="30">
        <v>76.599999999999994</v>
      </c>
      <c r="O290" s="30" t="s">
        <v>11</v>
      </c>
    </row>
    <row r="291" spans="1:15" x14ac:dyDescent="0.25">
      <c r="A291" s="4">
        <v>290</v>
      </c>
      <c r="B291" s="33" t="s">
        <v>1719</v>
      </c>
      <c r="C291" s="30">
        <v>46543374</v>
      </c>
      <c r="D291" s="30" t="s">
        <v>820</v>
      </c>
      <c r="E291" s="30" t="s">
        <v>2009</v>
      </c>
      <c r="F291" s="30" t="s">
        <v>987</v>
      </c>
      <c r="G291" s="30" t="s">
        <v>980</v>
      </c>
      <c r="H291" s="30" t="s">
        <v>1579</v>
      </c>
      <c r="I291" s="30" t="s">
        <v>821</v>
      </c>
      <c r="J291" s="34" t="s">
        <v>2104</v>
      </c>
      <c r="K291" s="30">
        <v>968446288</v>
      </c>
      <c r="L291" s="30" t="s">
        <v>812</v>
      </c>
      <c r="M291" s="30" t="s">
        <v>813</v>
      </c>
      <c r="N291" s="30">
        <v>76.599999999999994</v>
      </c>
      <c r="O291" s="30" t="s">
        <v>11</v>
      </c>
    </row>
    <row r="292" spans="1:15" x14ac:dyDescent="0.25">
      <c r="A292" s="4">
        <v>291</v>
      </c>
      <c r="B292" s="33" t="s">
        <v>1719</v>
      </c>
      <c r="C292" s="30">
        <v>72429350</v>
      </c>
      <c r="D292" s="30" t="s">
        <v>822</v>
      </c>
      <c r="E292" s="30" t="s">
        <v>2010</v>
      </c>
      <c r="F292" s="30" t="s">
        <v>1216</v>
      </c>
      <c r="G292" s="30" t="s">
        <v>1217</v>
      </c>
      <c r="H292" s="30" t="s">
        <v>1580</v>
      </c>
      <c r="I292" s="30" t="s">
        <v>823</v>
      </c>
      <c r="J292" s="34" t="s">
        <v>2104</v>
      </c>
      <c r="K292" s="30">
        <v>920530961</v>
      </c>
      <c r="L292" s="30" t="s">
        <v>812</v>
      </c>
      <c r="M292" s="30" t="s">
        <v>813</v>
      </c>
      <c r="N292" s="30">
        <v>75</v>
      </c>
      <c r="O292" s="30" t="s">
        <v>11</v>
      </c>
    </row>
    <row r="293" spans="1:15" x14ac:dyDescent="0.25">
      <c r="A293" s="4">
        <v>292</v>
      </c>
      <c r="B293" s="33" t="s">
        <v>1719</v>
      </c>
      <c r="C293" s="30">
        <v>40682987</v>
      </c>
      <c r="D293" s="30" t="s">
        <v>824</v>
      </c>
      <c r="E293" s="30" t="s">
        <v>2011</v>
      </c>
      <c r="F293" s="30" t="s">
        <v>1017</v>
      </c>
      <c r="G293" s="30" t="s">
        <v>1218</v>
      </c>
      <c r="H293" s="30" t="s">
        <v>1581</v>
      </c>
      <c r="I293" s="30" t="s">
        <v>825</v>
      </c>
      <c r="J293" s="34" t="s">
        <v>2104</v>
      </c>
      <c r="K293" s="30">
        <v>966227751</v>
      </c>
      <c r="L293" s="30" t="s">
        <v>812</v>
      </c>
      <c r="M293" s="30" t="s">
        <v>813</v>
      </c>
      <c r="N293" s="30">
        <v>75</v>
      </c>
      <c r="O293" s="30" t="s">
        <v>11</v>
      </c>
    </row>
    <row r="294" spans="1:15" x14ac:dyDescent="0.25">
      <c r="A294" s="4">
        <v>293</v>
      </c>
      <c r="B294" s="33" t="s">
        <v>1719</v>
      </c>
      <c r="C294" s="30">
        <v>76371681</v>
      </c>
      <c r="D294" s="30" t="s">
        <v>826</v>
      </c>
      <c r="E294" s="30" t="s">
        <v>2012</v>
      </c>
      <c r="F294" s="30" t="s">
        <v>1024</v>
      </c>
      <c r="G294" s="30" t="s">
        <v>1070</v>
      </c>
      <c r="H294" s="30" t="s">
        <v>1582</v>
      </c>
      <c r="I294" s="30" t="s">
        <v>827</v>
      </c>
      <c r="J294" s="34" t="s">
        <v>2104</v>
      </c>
      <c r="K294" s="30">
        <v>966572701</v>
      </c>
      <c r="L294" s="30" t="s">
        <v>812</v>
      </c>
      <c r="M294" s="30" t="s">
        <v>813</v>
      </c>
      <c r="N294" s="30">
        <v>74.7</v>
      </c>
      <c r="O294" s="30" t="s">
        <v>11</v>
      </c>
    </row>
    <row r="295" spans="1:15" x14ac:dyDescent="0.25">
      <c r="A295" s="4">
        <v>294</v>
      </c>
      <c r="B295" s="33" t="s">
        <v>1719</v>
      </c>
      <c r="C295" s="30">
        <v>40526435</v>
      </c>
      <c r="D295" s="30" t="s">
        <v>828</v>
      </c>
      <c r="E295" s="30" t="s">
        <v>2013</v>
      </c>
      <c r="F295" s="30" t="s">
        <v>1219</v>
      </c>
      <c r="G295" s="30" t="s">
        <v>1220</v>
      </c>
      <c r="H295" s="30" t="s">
        <v>1583</v>
      </c>
      <c r="I295" s="30" t="s">
        <v>829</v>
      </c>
      <c r="J295" s="34" t="s">
        <v>2104</v>
      </c>
      <c r="K295" s="30">
        <v>901415921</v>
      </c>
      <c r="L295" s="30" t="s">
        <v>812</v>
      </c>
      <c r="M295" s="30" t="s">
        <v>813</v>
      </c>
      <c r="N295" s="30">
        <v>74</v>
      </c>
      <c r="O295" s="30" t="s">
        <v>11</v>
      </c>
    </row>
    <row r="296" spans="1:15" x14ac:dyDescent="0.25">
      <c r="A296" s="4">
        <v>295</v>
      </c>
      <c r="B296" s="33" t="s">
        <v>1719</v>
      </c>
      <c r="C296" s="30">
        <v>17447604</v>
      </c>
      <c r="D296" s="30" t="s">
        <v>830</v>
      </c>
      <c r="E296" s="30" t="s">
        <v>2014</v>
      </c>
      <c r="F296" s="30" t="s">
        <v>1221</v>
      </c>
      <c r="G296" s="30" t="s">
        <v>1222</v>
      </c>
      <c r="H296" s="30" t="s">
        <v>1386</v>
      </c>
      <c r="I296" s="30" t="s">
        <v>831</v>
      </c>
      <c r="J296" s="34" t="s">
        <v>2104</v>
      </c>
      <c r="K296" s="30">
        <v>912946485</v>
      </c>
      <c r="L296" s="30" t="s">
        <v>812</v>
      </c>
      <c r="M296" s="30" t="s">
        <v>813</v>
      </c>
      <c r="N296" s="30">
        <v>73.5</v>
      </c>
      <c r="O296" s="30" t="s">
        <v>11</v>
      </c>
    </row>
    <row r="297" spans="1:15" x14ac:dyDescent="0.25">
      <c r="A297" s="4">
        <v>296</v>
      </c>
      <c r="B297" s="33" t="s">
        <v>1719</v>
      </c>
      <c r="C297" s="30">
        <v>46602449</v>
      </c>
      <c r="D297" s="30" t="s">
        <v>832</v>
      </c>
      <c r="E297" s="30" t="s">
        <v>2015</v>
      </c>
      <c r="F297" s="30" t="s">
        <v>1223</v>
      </c>
      <c r="G297" s="30" t="s">
        <v>1224</v>
      </c>
      <c r="H297" s="30" t="s">
        <v>1584</v>
      </c>
      <c r="I297" s="30" t="s">
        <v>833</v>
      </c>
      <c r="J297" s="34" t="s">
        <v>2104</v>
      </c>
      <c r="K297" s="30">
        <v>977727216</v>
      </c>
      <c r="L297" s="30" t="s">
        <v>812</v>
      </c>
      <c r="M297" s="30" t="s">
        <v>813</v>
      </c>
      <c r="N297" s="30">
        <v>72</v>
      </c>
      <c r="O297" s="30" t="s">
        <v>11</v>
      </c>
    </row>
    <row r="298" spans="1:15" x14ac:dyDescent="0.25">
      <c r="A298" s="4">
        <v>297</v>
      </c>
      <c r="B298" s="33" t="s">
        <v>1719</v>
      </c>
      <c r="C298" s="30">
        <v>46166550</v>
      </c>
      <c r="D298" s="30" t="s">
        <v>834</v>
      </c>
      <c r="E298" s="30" t="s">
        <v>2016</v>
      </c>
      <c r="F298" s="30" t="s">
        <v>1225</v>
      </c>
      <c r="G298" s="30" t="s">
        <v>1226</v>
      </c>
      <c r="H298" s="30" t="s">
        <v>1585</v>
      </c>
      <c r="I298" s="30" t="s">
        <v>835</v>
      </c>
      <c r="J298" s="34" t="s">
        <v>2104</v>
      </c>
      <c r="K298" s="30">
        <v>948949910</v>
      </c>
      <c r="L298" s="30" t="s">
        <v>812</v>
      </c>
      <c r="M298" s="30" t="s">
        <v>813</v>
      </c>
      <c r="N298" s="30">
        <v>71.5</v>
      </c>
      <c r="O298" s="30" t="s">
        <v>11</v>
      </c>
    </row>
    <row r="299" spans="1:15" x14ac:dyDescent="0.25">
      <c r="A299" s="4">
        <v>298</v>
      </c>
      <c r="B299" s="33" t="s">
        <v>1719</v>
      </c>
      <c r="C299" s="30">
        <v>71961884</v>
      </c>
      <c r="D299" s="30" t="s">
        <v>836</v>
      </c>
      <c r="E299" s="30" t="s">
        <v>2017</v>
      </c>
      <c r="F299" s="30" t="s">
        <v>1055</v>
      </c>
      <c r="G299" s="30" t="s">
        <v>879</v>
      </c>
      <c r="H299" s="30" t="s">
        <v>1586</v>
      </c>
      <c r="I299" s="30" t="s">
        <v>837</v>
      </c>
      <c r="J299" s="34" t="s">
        <v>2104</v>
      </c>
      <c r="K299" s="30">
        <v>968529122</v>
      </c>
      <c r="L299" s="30" t="s">
        <v>812</v>
      </c>
      <c r="M299" s="30" t="s">
        <v>813</v>
      </c>
      <c r="N299" s="30">
        <v>71</v>
      </c>
      <c r="O299" s="30" t="s">
        <v>11</v>
      </c>
    </row>
    <row r="300" spans="1:15" x14ac:dyDescent="0.25">
      <c r="A300" s="4">
        <v>299</v>
      </c>
      <c r="B300" s="33" t="s">
        <v>1719</v>
      </c>
      <c r="C300" s="30">
        <v>47153347</v>
      </c>
      <c r="D300" s="30" t="s">
        <v>838</v>
      </c>
      <c r="E300" s="30" t="s">
        <v>2018</v>
      </c>
      <c r="F300" s="30" t="s">
        <v>1024</v>
      </c>
      <c r="G300" s="30" t="s">
        <v>1227</v>
      </c>
      <c r="H300" s="30" t="s">
        <v>1587</v>
      </c>
      <c r="I300" s="30" t="s">
        <v>839</v>
      </c>
      <c r="J300" s="34" t="s">
        <v>2104</v>
      </c>
      <c r="K300" s="30">
        <v>900651194</v>
      </c>
      <c r="L300" s="30" t="s">
        <v>812</v>
      </c>
      <c r="M300" s="30" t="s">
        <v>813</v>
      </c>
      <c r="N300" s="30">
        <v>69.5</v>
      </c>
      <c r="O300" s="30" t="s">
        <v>11</v>
      </c>
    </row>
    <row r="301" spans="1:15" x14ac:dyDescent="0.25">
      <c r="A301" s="4">
        <v>300</v>
      </c>
      <c r="B301" s="33" t="s">
        <v>1719</v>
      </c>
      <c r="C301" s="30">
        <v>47472434</v>
      </c>
      <c r="D301" s="30" t="s">
        <v>840</v>
      </c>
      <c r="E301" s="30" t="s">
        <v>2019</v>
      </c>
      <c r="F301" s="30" t="s">
        <v>1228</v>
      </c>
      <c r="G301" s="30" t="s">
        <v>860</v>
      </c>
      <c r="H301" s="30" t="s">
        <v>1588</v>
      </c>
      <c r="I301" s="30" t="s">
        <v>841</v>
      </c>
      <c r="J301" s="34" t="s">
        <v>2104</v>
      </c>
      <c r="K301" s="30">
        <v>948720491</v>
      </c>
      <c r="L301" s="30" t="s">
        <v>812</v>
      </c>
      <c r="M301" s="30" t="s">
        <v>813</v>
      </c>
      <c r="N301" s="30">
        <v>68.8</v>
      </c>
      <c r="O301" s="30" t="s">
        <v>11</v>
      </c>
    </row>
    <row r="302" spans="1:15" x14ac:dyDescent="0.25">
      <c r="A302" s="4">
        <v>301</v>
      </c>
      <c r="B302" s="33" t="s">
        <v>1719</v>
      </c>
      <c r="C302" s="30">
        <v>42631304</v>
      </c>
      <c r="D302" s="30" t="s">
        <v>842</v>
      </c>
      <c r="E302" s="30" t="s">
        <v>2020</v>
      </c>
      <c r="F302" s="30" t="s">
        <v>1229</v>
      </c>
      <c r="G302" s="30" t="s">
        <v>858</v>
      </c>
      <c r="H302" s="30" t="s">
        <v>1589</v>
      </c>
      <c r="I302" s="30" t="s">
        <v>843</v>
      </c>
      <c r="J302" s="34" t="s">
        <v>2104</v>
      </c>
      <c r="K302" s="30">
        <v>942954525</v>
      </c>
      <c r="L302" s="30" t="s">
        <v>812</v>
      </c>
      <c r="M302" s="30" t="s">
        <v>813</v>
      </c>
      <c r="N302" s="30">
        <v>66</v>
      </c>
      <c r="O302" s="30" t="s">
        <v>11</v>
      </c>
    </row>
    <row r="303" spans="1:15" x14ac:dyDescent="0.25">
      <c r="A303" s="4">
        <v>302</v>
      </c>
      <c r="B303" s="33" t="s">
        <v>1719</v>
      </c>
      <c r="C303" s="30">
        <v>10267454</v>
      </c>
      <c r="D303" s="30" t="s">
        <v>844</v>
      </c>
      <c r="E303" s="30" t="s">
        <v>2021</v>
      </c>
      <c r="F303" s="30" t="s">
        <v>1063</v>
      </c>
      <c r="G303" s="30" t="s">
        <v>1230</v>
      </c>
      <c r="H303" s="30" t="s">
        <v>1590</v>
      </c>
      <c r="I303" s="30" t="s">
        <v>845</v>
      </c>
      <c r="J303" s="34" t="s">
        <v>2104</v>
      </c>
      <c r="K303" s="30">
        <v>944435541</v>
      </c>
      <c r="L303" s="30" t="s">
        <v>812</v>
      </c>
      <c r="M303" s="30" t="s">
        <v>813</v>
      </c>
      <c r="N303" s="30">
        <v>65.8</v>
      </c>
      <c r="O303" s="30" t="s">
        <v>11</v>
      </c>
    </row>
    <row r="304" spans="1:15" x14ac:dyDescent="0.25">
      <c r="A304" s="4">
        <v>303</v>
      </c>
      <c r="B304" s="33" t="s">
        <v>1719</v>
      </c>
      <c r="C304" s="30">
        <v>25869444</v>
      </c>
      <c r="D304" s="30" t="s">
        <v>846</v>
      </c>
      <c r="E304" s="30" t="s">
        <v>2022</v>
      </c>
      <c r="F304" s="30" t="s">
        <v>1231</v>
      </c>
      <c r="G304" s="30" t="s">
        <v>900</v>
      </c>
      <c r="H304" s="30" t="s">
        <v>1591</v>
      </c>
      <c r="I304" s="30" t="s">
        <v>847</v>
      </c>
      <c r="J304" s="34" t="s">
        <v>2104</v>
      </c>
      <c r="K304" s="30">
        <v>929296574</v>
      </c>
      <c r="L304" s="30" t="s">
        <v>812</v>
      </c>
      <c r="M304" s="30" t="s">
        <v>813</v>
      </c>
      <c r="N304" s="30">
        <v>64.2</v>
      </c>
      <c r="O304" s="30" t="s">
        <v>11</v>
      </c>
    </row>
    <row r="305" spans="1:15" x14ac:dyDescent="0.25">
      <c r="A305" s="4">
        <v>304</v>
      </c>
      <c r="B305" s="33" t="s">
        <v>1719</v>
      </c>
      <c r="C305" s="30" t="s">
        <v>848</v>
      </c>
      <c r="D305" s="30" t="s">
        <v>849</v>
      </c>
      <c r="E305" s="30" t="s">
        <v>2023</v>
      </c>
      <c r="F305" s="30" t="s">
        <v>1232</v>
      </c>
      <c r="G305" s="30" t="s">
        <v>1233</v>
      </c>
      <c r="H305" s="30" t="s">
        <v>1390</v>
      </c>
      <c r="I305" s="30" t="s">
        <v>850</v>
      </c>
      <c r="J305" s="34" t="s">
        <v>2104</v>
      </c>
      <c r="K305" s="30">
        <v>968054988</v>
      </c>
      <c r="L305" s="30" t="s">
        <v>812</v>
      </c>
      <c r="M305" s="30" t="s">
        <v>813</v>
      </c>
      <c r="N305" s="30">
        <v>63</v>
      </c>
      <c r="O305" s="30" t="s">
        <v>11</v>
      </c>
    </row>
    <row r="306" spans="1:15" x14ac:dyDescent="0.25">
      <c r="A306" s="4">
        <v>305</v>
      </c>
      <c r="B306" s="33" t="s">
        <v>1719</v>
      </c>
      <c r="C306" s="18">
        <v>16707822</v>
      </c>
      <c r="D306" s="18" t="s">
        <v>491</v>
      </c>
      <c r="E306" s="18" t="s">
        <v>2024</v>
      </c>
      <c r="F306" s="18" t="s">
        <v>1053</v>
      </c>
      <c r="G306" s="18" t="s">
        <v>937</v>
      </c>
      <c r="H306" s="18" t="s">
        <v>1592</v>
      </c>
      <c r="I306" s="18" t="s">
        <v>492</v>
      </c>
      <c r="J306" s="34" t="s">
        <v>2104</v>
      </c>
      <c r="K306" s="18">
        <v>949694371</v>
      </c>
      <c r="L306" s="18" t="s">
        <v>90</v>
      </c>
      <c r="M306" s="18" t="s">
        <v>493</v>
      </c>
      <c r="N306" s="18">
        <v>78</v>
      </c>
      <c r="O306" s="18" t="s">
        <v>11</v>
      </c>
    </row>
    <row r="307" spans="1:15" x14ac:dyDescent="0.25">
      <c r="A307" s="4">
        <v>306</v>
      </c>
      <c r="B307" s="33" t="s">
        <v>1719</v>
      </c>
      <c r="C307" s="18">
        <v>44453453</v>
      </c>
      <c r="D307" s="18" t="s">
        <v>494</v>
      </c>
      <c r="E307" s="18" t="s">
        <v>2025</v>
      </c>
      <c r="F307" s="18" t="s">
        <v>1066</v>
      </c>
      <c r="G307" s="18" t="s">
        <v>1234</v>
      </c>
      <c r="H307" s="18" t="s">
        <v>1593</v>
      </c>
      <c r="I307" s="18" t="s">
        <v>495</v>
      </c>
      <c r="J307" s="34" t="s">
        <v>2104</v>
      </c>
      <c r="K307" s="18">
        <v>963522492</v>
      </c>
      <c r="L307" s="18" t="s">
        <v>90</v>
      </c>
      <c r="M307" s="18" t="s">
        <v>493</v>
      </c>
      <c r="N307" s="18">
        <v>74.5</v>
      </c>
      <c r="O307" s="18" t="s">
        <v>11</v>
      </c>
    </row>
    <row r="308" spans="1:15" x14ac:dyDescent="0.25">
      <c r="A308" s="4">
        <v>307</v>
      </c>
      <c r="B308" s="33" t="s">
        <v>1719</v>
      </c>
      <c r="C308" s="18">
        <v>46720707</v>
      </c>
      <c r="D308" s="18" t="s">
        <v>496</v>
      </c>
      <c r="E308" s="18" t="s">
        <v>2026</v>
      </c>
      <c r="F308" s="18" t="s">
        <v>1235</v>
      </c>
      <c r="G308" s="18" t="s">
        <v>1036</v>
      </c>
      <c r="H308" s="18" t="s">
        <v>1594</v>
      </c>
      <c r="I308" s="18" t="s">
        <v>497</v>
      </c>
      <c r="J308" s="34" t="s">
        <v>2104</v>
      </c>
      <c r="K308" s="18">
        <v>960698218</v>
      </c>
      <c r="L308" s="18" t="s">
        <v>90</v>
      </c>
      <c r="M308" s="18" t="s">
        <v>493</v>
      </c>
      <c r="N308" s="18">
        <v>72</v>
      </c>
      <c r="O308" s="18" t="s">
        <v>11</v>
      </c>
    </row>
    <row r="309" spans="1:15" x14ac:dyDescent="0.25">
      <c r="A309" s="4">
        <v>308</v>
      </c>
      <c r="B309" s="33" t="s">
        <v>1719</v>
      </c>
      <c r="C309" s="18">
        <v>45437477</v>
      </c>
      <c r="D309" s="18" t="s">
        <v>498</v>
      </c>
      <c r="E309" s="18" t="s">
        <v>2027</v>
      </c>
      <c r="F309" s="18" t="s">
        <v>1236</v>
      </c>
      <c r="G309" s="18" t="s">
        <v>1237</v>
      </c>
      <c r="H309" s="18" t="s">
        <v>1595</v>
      </c>
      <c r="I309" s="18" t="s">
        <v>499</v>
      </c>
      <c r="J309" s="34" t="s">
        <v>2104</v>
      </c>
      <c r="K309" s="18">
        <v>979499826</v>
      </c>
      <c r="L309" s="18" t="s">
        <v>90</v>
      </c>
      <c r="M309" s="18" t="s">
        <v>493</v>
      </c>
      <c r="N309" s="18">
        <v>69.7</v>
      </c>
      <c r="O309" s="18" t="s">
        <v>11</v>
      </c>
    </row>
    <row r="310" spans="1:15" x14ac:dyDescent="0.25">
      <c r="A310" s="4">
        <v>309</v>
      </c>
      <c r="B310" s="33" t="s">
        <v>1719</v>
      </c>
      <c r="C310" s="18">
        <v>44314825</v>
      </c>
      <c r="D310" s="18" t="s">
        <v>500</v>
      </c>
      <c r="E310" s="18" t="s">
        <v>2028</v>
      </c>
      <c r="F310" s="18" t="s">
        <v>1238</v>
      </c>
      <c r="G310" s="18" t="s">
        <v>1049</v>
      </c>
      <c r="H310" s="18" t="s">
        <v>1596</v>
      </c>
      <c r="I310" s="18" t="s">
        <v>501</v>
      </c>
      <c r="J310" s="34" t="s">
        <v>2104</v>
      </c>
      <c r="K310" s="18">
        <v>995488843</v>
      </c>
      <c r="L310" s="18" t="s">
        <v>90</v>
      </c>
      <c r="M310" s="18" t="s">
        <v>493</v>
      </c>
      <c r="N310" s="18">
        <v>65.7</v>
      </c>
      <c r="O310" s="18" t="s">
        <v>11</v>
      </c>
    </row>
    <row r="311" spans="1:15" x14ac:dyDescent="0.25">
      <c r="A311" s="4">
        <v>310</v>
      </c>
      <c r="B311" s="33" t="s">
        <v>1719</v>
      </c>
      <c r="C311" s="18">
        <v>41923767</v>
      </c>
      <c r="D311" s="18" t="s">
        <v>502</v>
      </c>
      <c r="E311" s="18" t="s">
        <v>2029</v>
      </c>
      <c r="F311" s="18" t="s">
        <v>1239</v>
      </c>
      <c r="G311" s="18" t="s">
        <v>1240</v>
      </c>
      <c r="H311" s="18" t="s">
        <v>1597</v>
      </c>
      <c r="I311" s="18" t="s">
        <v>503</v>
      </c>
      <c r="J311" s="34" t="s">
        <v>2104</v>
      </c>
      <c r="K311" s="18">
        <v>990382651</v>
      </c>
      <c r="L311" s="18" t="s">
        <v>90</v>
      </c>
      <c r="M311" s="18" t="s">
        <v>493</v>
      </c>
      <c r="N311" s="18">
        <v>64.900000000000006</v>
      </c>
      <c r="O311" s="18" t="s">
        <v>11</v>
      </c>
    </row>
    <row r="312" spans="1:15" x14ac:dyDescent="0.25">
      <c r="A312" s="4">
        <v>311</v>
      </c>
      <c r="B312" s="33" t="s">
        <v>1719</v>
      </c>
      <c r="C312" s="18">
        <v>45016415</v>
      </c>
      <c r="D312" s="18" t="s">
        <v>504</v>
      </c>
      <c r="E312" s="18" t="s">
        <v>2030</v>
      </c>
      <c r="F312" s="18" t="s">
        <v>1241</v>
      </c>
      <c r="G312" s="18" t="s">
        <v>1242</v>
      </c>
      <c r="H312" s="18" t="s">
        <v>1598</v>
      </c>
      <c r="I312" s="18" t="s">
        <v>505</v>
      </c>
      <c r="J312" s="34" t="s">
        <v>2104</v>
      </c>
      <c r="K312" s="18">
        <v>968043708</v>
      </c>
      <c r="L312" s="18" t="s">
        <v>90</v>
      </c>
      <c r="M312" s="18" t="s">
        <v>493</v>
      </c>
      <c r="N312" s="18">
        <v>64.5</v>
      </c>
      <c r="O312" s="18" t="s">
        <v>11</v>
      </c>
    </row>
    <row r="313" spans="1:15" x14ac:dyDescent="0.25">
      <c r="A313" s="4">
        <v>312</v>
      </c>
      <c r="B313" s="33" t="s">
        <v>1719</v>
      </c>
      <c r="C313" s="18">
        <v>46528893</v>
      </c>
      <c r="D313" s="18" t="s">
        <v>506</v>
      </c>
      <c r="E313" s="18" t="s">
        <v>2031</v>
      </c>
      <c r="F313" s="18" t="s">
        <v>1243</v>
      </c>
      <c r="G313" s="18" t="s">
        <v>1129</v>
      </c>
      <c r="H313" s="18" t="s">
        <v>1599</v>
      </c>
      <c r="I313" s="18" t="s">
        <v>507</v>
      </c>
      <c r="J313" s="34" t="s">
        <v>2104</v>
      </c>
      <c r="K313" s="18">
        <v>920190315</v>
      </c>
      <c r="L313" s="18" t="s">
        <v>90</v>
      </c>
      <c r="M313" s="18" t="s">
        <v>493</v>
      </c>
      <c r="N313" s="18">
        <v>63.4</v>
      </c>
      <c r="O313" s="18" t="s">
        <v>11</v>
      </c>
    </row>
    <row r="314" spans="1:15" x14ac:dyDescent="0.25">
      <c r="A314" s="4">
        <v>313</v>
      </c>
      <c r="B314" s="33" t="s">
        <v>1719</v>
      </c>
      <c r="C314" s="18">
        <v>41379898</v>
      </c>
      <c r="D314" s="18" t="s">
        <v>508</v>
      </c>
      <c r="E314" s="18" t="s">
        <v>2032</v>
      </c>
      <c r="F314" s="18" t="s">
        <v>1244</v>
      </c>
      <c r="G314" s="18" t="s">
        <v>1245</v>
      </c>
      <c r="H314" s="18" t="s">
        <v>1600</v>
      </c>
      <c r="I314" s="18" t="s">
        <v>509</v>
      </c>
      <c r="J314" s="34" t="s">
        <v>2104</v>
      </c>
      <c r="K314" s="18">
        <v>990935504</v>
      </c>
      <c r="L314" s="18" t="s">
        <v>90</v>
      </c>
      <c r="M314" s="18" t="s">
        <v>493</v>
      </c>
      <c r="N314" s="18">
        <v>63</v>
      </c>
      <c r="O314" s="18" t="s">
        <v>11</v>
      </c>
    </row>
    <row r="315" spans="1:15" x14ac:dyDescent="0.25">
      <c r="A315" s="4">
        <v>314</v>
      </c>
      <c r="B315" s="33" t="s">
        <v>1719</v>
      </c>
      <c r="C315" s="18">
        <v>44685921</v>
      </c>
      <c r="D315" s="18" t="s">
        <v>510</v>
      </c>
      <c r="E315" s="18" t="s">
        <v>2033</v>
      </c>
      <c r="F315" s="18" t="s">
        <v>1246</v>
      </c>
      <c r="G315" s="18" t="s">
        <v>1247</v>
      </c>
      <c r="H315" s="18" t="s">
        <v>1601</v>
      </c>
      <c r="I315" s="18" t="s">
        <v>511</v>
      </c>
      <c r="J315" s="34" t="s">
        <v>2104</v>
      </c>
      <c r="K315" s="18">
        <v>943732547</v>
      </c>
      <c r="L315" s="18" t="s">
        <v>90</v>
      </c>
      <c r="M315" s="18" t="s">
        <v>493</v>
      </c>
      <c r="N315" s="18">
        <v>63</v>
      </c>
      <c r="O315" s="18" t="s">
        <v>11</v>
      </c>
    </row>
    <row r="316" spans="1:15" x14ac:dyDescent="0.25">
      <c r="A316" s="4">
        <v>315</v>
      </c>
      <c r="B316" s="33" t="s">
        <v>1719</v>
      </c>
      <c r="C316" s="18">
        <v>41600624</v>
      </c>
      <c r="D316" s="18" t="s">
        <v>512</v>
      </c>
      <c r="E316" s="18" t="s">
        <v>2034</v>
      </c>
      <c r="F316" s="18" t="s">
        <v>1026</v>
      </c>
      <c r="G316" s="18" t="s">
        <v>858</v>
      </c>
      <c r="H316" s="18" t="s">
        <v>1602</v>
      </c>
      <c r="I316" s="18" t="s">
        <v>513</v>
      </c>
      <c r="J316" s="34" t="s">
        <v>2104</v>
      </c>
      <c r="K316" s="18">
        <v>968239466</v>
      </c>
      <c r="L316" s="18" t="s">
        <v>90</v>
      </c>
      <c r="M316" s="18" t="s">
        <v>493</v>
      </c>
      <c r="N316" s="18">
        <v>62.7</v>
      </c>
      <c r="O316" s="18" t="s">
        <v>11</v>
      </c>
    </row>
    <row r="317" spans="1:15" x14ac:dyDescent="0.25">
      <c r="A317" s="4">
        <v>316</v>
      </c>
      <c r="B317" s="33" t="s">
        <v>1719</v>
      </c>
      <c r="C317" s="18">
        <v>48318009</v>
      </c>
      <c r="D317" s="18" t="s">
        <v>514</v>
      </c>
      <c r="E317" s="18" t="s">
        <v>2035</v>
      </c>
      <c r="F317" s="18" t="s">
        <v>976</v>
      </c>
      <c r="G317" s="18" t="s">
        <v>1248</v>
      </c>
      <c r="H317" s="18" t="s">
        <v>1603</v>
      </c>
      <c r="I317" s="18" t="s">
        <v>515</v>
      </c>
      <c r="J317" s="34" t="s">
        <v>2104</v>
      </c>
      <c r="K317" s="18">
        <v>978878772</v>
      </c>
      <c r="L317" s="18" t="s">
        <v>90</v>
      </c>
      <c r="M317" s="18" t="s">
        <v>493</v>
      </c>
      <c r="N317" s="18">
        <v>61</v>
      </c>
      <c r="O317" s="18" t="s">
        <v>11</v>
      </c>
    </row>
    <row r="318" spans="1:15" x14ac:dyDescent="0.25">
      <c r="A318" s="4">
        <v>317</v>
      </c>
      <c r="B318" s="33" t="s">
        <v>1719</v>
      </c>
      <c r="C318" s="18">
        <v>71075038</v>
      </c>
      <c r="D318" s="18" t="s">
        <v>516</v>
      </c>
      <c r="E318" s="18" t="s">
        <v>2036</v>
      </c>
      <c r="F318" s="18" t="s">
        <v>1249</v>
      </c>
      <c r="G318" s="18" t="s">
        <v>859</v>
      </c>
      <c r="H318" s="18" t="s">
        <v>1604</v>
      </c>
      <c r="I318" s="18" t="s">
        <v>517</v>
      </c>
      <c r="J318" s="34" t="s">
        <v>2104</v>
      </c>
      <c r="K318" s="18">
        <v>957571871</v>
      </c>
      <c r="L318" s="18" t="s">
        <v>90</v>
      </c>
      <c r="M318" s="18" t="s">
        <v>493</v>
      </c>
      <c r="N318" s="18">
        <v>60.8</v>
      </c>
      <c r="O318" s="18" t="s">
        <v>11</v>
      </c>
    </row>
    <row r="319" spans="1:15" x14ac:dyDescent="0.25">
      <c r="A319" s="4">
        <v>318</v>
      </c>
      <c r="B319" s="33" t="s">
        <v>1719</v>
      </c>
      <c r="C319" s="18">
        <v>42883961</v>
      </c>
      <c r="D319" s="18" t="s">
        <v>518</v>
      </c>
      <c r="E319" s="18" t="s">
        <v>2037</v>
      </c>
      <c r="F319" s="18" t="s">
        <v>1250</v>
      </c>
      <c r="G319" s="18" t="s">
        <v>1251</v>
      </c>
      <c r="H319" s="18" t="s">
        <v>1390</v>
      </c>
      <c r="I319" s="18" t="s">
        <v>519</v>
      </c>
      <c r="J319" s="34" t="s">
        <v>2104</v>
      </c>
      <c r="K319" s="18">
        <v>967903668</v>
      </c>
      <c r="L319" s="18" t="s">
        <v>90</v>
      </c>
      <c r="M319" s="18" t="s">
        <v>493</v>
      </c>
      <c r="N319" s="18">
        <v>59.2</v>
      </c>
      <c r="O319" s="18" t="s">
        <v>11</v>
      </c>
    </row>
    <row r="320" spans="1:15" x14ac:dyDescent="0.25">
      <c r="A320" s="4">
        <v>319</v>
      </c>
      <c r="B320" s="33" t="s">
        <v>1719</v>
      </c>
      <c r="C320" s="18">
        <v>43300428</v>
      </c>
      <c r="D320" s="18" t="s">
        <v>520</v>
      </c>
      <c r="E320" s="18" t="s">
        <v>2038</v>
      </c>
      <c r="F320" s="18" t="s">
        <v>1008</v>
      </c>
      <c r="G320" s="18" t="s">
        <v>1300</v>
      </c>
      <c r="H320" s="18" t="s">
        <v>1605</v>
      </c>
      <c r="I320" s="18" t="s">
        <v>521</v>
      </c>
      <c r="J320" s="34" t="s">
        <v>2104</v>
      </c>
      <c r="K320" s="18">
        <v>999235588</v>
      </c>
      <c r="L320" s="18" t="s">
        <v>90</v>
      </c>
      <c r="M320" s="18" t="s">
        <v>493</v>
      </c>
      <c r="N320" s="18">
        <v>58</v>
      </c>
      <c r="O320" s="18" t="s">
        <v>11</v>
      </c>
    </row>
    <row r="321" spans="1:15" x14ac:dyDescent="0.25">
      <c r="A321" s="4">
        <v>320</v>
      </c>
      <c r="B321" s="33" t="s">
        <v>1719</v>
      </c>
      <c r="C321" s="18">
        <v>47960065</v>
      </c>
      <c r="D321" s="18" t="s">
        <v>522</v>
      </c>
      <c r="E321" s="18" t="s">
        <v>2039</v>
      </c>
      <c r="F321" s="18" t="s">
        <v>1252</v>
      </c>
      <c r="G321" s="18" t="s">
        <v>910</v>
      </c>
      <c r="H321" s="18" t="s">
        <v>1606</v>
      </c>
      <c r="I321" s="18" t="s">
        <v>523</v>
      </c>
      <c r="J321" s="34" t="s">
        <v>2104</v>
      </c>
      <c r="K321" s="18">
        <v>927919376</v>
      </c>
      <c r="L321" s="18" t="s">
        <v>90</v>
      </c>
      <c r="M321" s="18" t="s">
        <v>493</v>
      </c>
      <c r="N321" s="18">
        <v>54.6</v>
      </c>
      <c r="O321" s="18" t="s">
        <v>11</v>
      </c>
    </row>
    <row r="322" spans="1:15" x14ac:dyDescent="0.25">
      <c r="A322" s="4">
        <v>321</v>
      </c>
      <c r="B322" s="33" t="s">
        <v>1719</v>
      </c>
      <c r="C322" s="18">
        <v>40788603</v>
      </c>
      <c r="D322" s="18" t="s">
        <v>524</v>
      </c>
      <c r="E322" s="18" t="s">
        <v>2040</v>
      </c>
      <c r="F322" s="18" t="s">
        <v>1253</v>
      </c>
      <c r="G322" s="18" t="s">
        <v>1254</v>
      </c>
      <c r="H322" s="18" t="s">
        <v>1607</v>
      </c>
      <c r="I322" s="18" t="s">
        <v>525</v>
      </c>
      <c r="J322" s="34" t="s">
        <v>2104</v>
      </c>
      <c r="K322" s="18">
        <v>979695505</v>
      </c>
      <c r="L322" s="18" t="s">
        <v>90</v>
      </c>
      <c r="M322" s="18" t="s">
        <v>493</v>
      </c>
      <c r="N322" s="18">
        <v>54.2</v>
      </c>
      <c r="O322" s="18" t="s">
        <v>11</v>
      </c>
    </row>
    <row r="323" spans="1:15" x14ac:dyDescent="0.25">
      <c r="A323" s="4">
        <v>322</v>
      </c>
      <c r="B323" s="33" t="s">
        <v>1719</v>
      </c>
      <c r="C323" s="18">
        <v>33592009</v>
      </c>
      <c r="D323" s="18" t="s">
        <v>526</v>
      </c>
      <c r="E323" s="18" t="s">
        <v>2041</v>
      </c>
      <c r="F323" s="18" t="s">
        <v>901</v>
      </c>
      <c r="G323" s="18" t="s">
        <v>956</v>
      </c>
      <c r="H323" s="18" t="s">
        <v>1608</v>
      </c>
      <c r="I323" s="18" t="s">
        <v>527</v>
      </c>
      <c r="J323" s="34" t="s">
        <v>2104</v>
      </c>
      <c r="K323" s="18">
        <v>932034684</v>
      </c>
      <c r="L323" s="18" t="s">
        <v>90</v>
      </c>
      <c r="M323" s="18" t="s">
        <v>493</v>
      </c>
      <c r="N323" s="18">
        <v>52</v>
      </c>
      <c r="O323" s="18" t="s">
        <v>11</v>
      </c>
    </row>
    <row r="324" spans="1:15" x14ac:dyDescent="0.25">
      <c r="A324" s="4">
        <v>323</v>
      </c>
      <c r="B324" s="33" t="s">
        <v>1719</v>
      </c>
      <c r="C324" s="3">
        <v>16734916</v>
      </c>
      <c r="D324" s="3" t="s">
        <v>88</v>
      </c>
      <c r="E324" s="3" t="s">
        <v>2042</v>
      </c>
      <c r="F324" s="3" t="s">
        <v>876</v>
      </c>
      <c r="G324" s="3" t="s">
        <v>975</v>
      </c>
      <c r="H324" s="3" t="s">
        <v>1609</v>
      </c>
      <c r="I324" s="3" t="s">
        <v>89</v>
      </c>
      <c r="J324" s="34" t="s">
        <v>2104</v>
      </c>
      <c r="K324" s="3">
        <v>954689163</v>
      </c>
      <c r="L324" s="3" t="s">
        <v>90</v>
      </c>
      <c r="M324" s="3" t="s">
        <v>91</v>
      </c>
      <c r="N324" s="3">
        <v>75.8</v>
      </c>
      <c r="O324" s="3" t="s">
        <v>11</v>
      </c>
    </row>
    <row r="325" spans="1:15" x14ac:dyDescent="0.25">
      <c r="A325" s="4">
        <v>324</v>
      </c>
      <c r="B325" s="33" t="s">
        <v>1719</v>
      </c>
      <c r="C325" s="3">
        <v>72086966</v>
      </c>
      <c r="D325" s="3" t="s">
        <v>92</v>
      </c>
      <c r="E325" s="3" t="s">
        <v>2043</v>
      </c>
      <c r="F325" s="3" t="s">
        <v>860</v>
      </c>
      <c r="G325" s="3" t="s">
        <v>1255</v>
      </c>
      <c r="H325" s="3" t="s">
        <v>1610</v>
      </c>
      <c r="I325" s="3" t="s">
        <v>93</v>
      </c>
      <c r="J325" s="34" t="s">
        <v>2104</v>
      </c>
      <c r="K325" s="3">
        <v>934709713</v>
      </c>
      <c r="L325" s="3" t="s">
        <v>90</v>
      </c>
      <c r="M325" s="3" t="s">
        <v>91</v>
      </c>
      <c r="N325" s="3">
        <v>74.5</v>
      </c>
      <c r="O325" s="3" t="s">
        <v>11</v>
      </c>
    </row>
    <row r="326" spans="1:15" x14ac:dyDescent="0.25">
      <c r="A326" s="4">
        <v>325</v>
      </c>
      <c r="B326" s="33" t="s">
        <v>1719</v>
      </c>
      <c r="C326" s="3">
        <v>23008546</v>
      </c>
      <c r="D326" s="3" t="s">
        <v>94</v>
      </c>
      <c r="E326" s="3" t="s">
        <v>2044</v>
      </c>
      <c r="F326" s="3" t="s">
        <v>1012</v>
      </c>
      <c r="G326" s="3" t="s">
        <v>1256</v>
      </c>
      <c r="H326" s="3" t="s">
        <v>1611</v>
      </c>
      <c r="I326" s="3" t="s">
        <v>95</v>
      </c>
      <c r="J326" s="34" t="s">
        <v>2104</v>
      </c>
      <c r="K326" s="3">
        <v>921733886</v>
      </c>
      <c r="L326" s="3" t="s">
        <v>90</v>
      </c>
      <c r="M326" s="3" t="s">
        <v>91</v>
      </c>
      <c r="N326" s="3">
        <v>74.2</v>
      </c>
      <c r="O326" s="3" t="s">
        <v>11</v>
      </c>
    </row>
    <row r="327" spans="1:15" x14ac:dyDescent="0.25">
      <c r="A327" s="4">
        <v>326</v>
      </c>
      <c r="B327" s="33" t="s">
        <v>1719</v>
      </c>
      <c r="C327" s="3">
        <v>46041762</v>
      </c>
      <c r="D327" s="3" t="s">
        <v>96</v>
      </c>
      <c r="E327" s="3" t="s">
        <v>2045</v>
      </c>
      <c r="F327" s="3" t="s">
        <v>1257</v>
      </c>
      <c r="G327" s="3" t="s">
        <v>1258</v>
      </c>
      <c r="H327" s="3" t="s">
        <v>1612</v>
      </c>
      <c r="I327" s="3" t="s">
        <v>97</v>
      </c>
      <c r="J327" s="34" t="s">
        <v>2104</v>
      </c>
      <c r="K327" s="3">
        <v>914855171</v>
      </c>
      <c r="L327" s="3" t="s">
        <v>90</v>
      </c>
      <c r="M327" s="3" t="s">
        <v>91</v>
      </c>
      <c r="N327" s="3">
        <v>74</v>
      </c>
      <c r="O327" s="3" t="s">
        <v>11</v>
      </c>
    </row>
    <row r="328" spans="1:15" x14ac:dyDescent="0.25">
      <c r="A328" s="4">
        <v>327</v>
      </c>
      <c r="B328" s="33" t="s">
        <v>1719</v>
      </c>
      <c r="C328" s="3">
        <v>17540369</v>
      </c>
      <c r="D328" s="3" t="s">
        <v>98</v>
      </c>
      <c r="E328" s="3" t="s">
        <v>2046</v>
      </c>
      <c r="F328" s="3" t="s">
        <v>1259</v>
      </c>
      <c r="G328" s="3" t="s">
        <v>888</v>
      </c>
      <c r="H328" s="3" t="s">
        <v>1613</v>
      </c>
      <c r="I328" s="3" t="s">
        <v>99</v>
      </c>
      <c r="J328" s="34" t="s">
        <v>2104</v>
      </c>
      <c r="K328" s="3">
        <v>945773098</v>
      </c>
      <c r="L328" s="3" t="s">
        <v>90</v>
      </c>
      <c r="M328" s="3" t="s">
        <v>91</v>
      </c>
      <c r="N328" s="3">
        <v>71.7</v>
      </c>
      <c r="O328" s="3" t="s">
        <v>11</v>
      </c>
    </row>
    <row r="329" spans="1:15" x14ac:dyDescent="0.25">
      <c r="A329" s="4">
        <v>328</v>
      </c>
      <c r="B329" s="33" t="s">
        <v>1719</v>
      </c>
      <c r="C329" s="3">
        <v>19196040</v>
      </c>
      <c r="D329" s="3" t="s">
        <v>100</v>
      </c>
      <c r="E329" s="3" t="s">
        <v>2047</v>
      </c>
      <c r="F329" s="3" t="s">
        <v>933</v>
      </c>
      <c r="G329" s="3" t="s">
        <v>896</v>
      </c>
      <c r="H329" s="3" t="s">
        <v>1614</v>
      </c>
      <c r="I329" s="3" t="s">
        <v>101</v>
      </c>
      <c r="J329" s="34" t="s">
        <v>2104</v>
      </c>
      <c r="K329" s="3">
        <v>949782004</v>
      </c>
      <c r="L329" s="3" t="s">
        <v>90</v>
      </c>
      <c r="M329" s="3" t="s">
        <v>91</v>
      </c>
      <c r="N329" s="3">
        <v>71.2</v>
      </c>
      <c r="O329" s="3" t="s">
        <v>11</v>
      </c>
    </row>
    <row r="330" spans="1:15" x14ac:dyDescent="0.25">
      <c r="A330" s="4">
        <v>329</v>
      </c>
      <c r="B330" s="33" t="s">
        <v>1719</v>
      </c>
      <c r="C330" s="3">
        <v>76069023</v>
      </c>
      <c r="D330" s="3" t="s">
        <v>102</v>
      </c>
      <c r="E330" s="3" t="s">
        <v>2048</v>
      </c>
      <c r="F330" s="3" t="s">
        <v>913</v>
      </c>
      <c r="G330" s="3" t="s">
        <v>1260</v>
      </c>
      <c r="H330" s="3" t="s">
        <v>1615</v>
      </c>
      <c r="I330" s="3" t="s">
        <v>103</v>
      </c>
      <c r="J330" s="34" t="s">
        <v>2104</v>
      </c>
      <c r="K330" s="3">
        <v>912893869</v>
      </c>
      <c r="L330" s="3" t="s">
        <v>90</v>
      </c>
      <c r="M330" s="3" t="s">
        <v>91</v>
      </c>
      <c r="N330" s="3">
        <v>70.599999999999994</v>
      </c>
      <c r="O330" s="3" t="s">
        <v>11</v>
      </c>
    </row>
    <row r="331" spans="1:15" x14ac:dyDescent="0.25">
      <c r="A331" s="4">
        <v>330</v>
      </c>
      <c r="B331" s="33" t="s">
        <v>1719</v>
      </c>
      <c r="C331" s="3">
        <v>72515720</v>
      </c>
      <c r="D331" s="3" t="s">
        <v>104</v>
      </c>
      <c r="E331" s="3" t="s">
        <v>2049</v>
      </c>
      <c r="F331" s="3" t="s">
        <v>1261</v>
      </c>
      <c r="G331" s="3" t="s">
        <v>1262</v>
      </c>
      <c r="H331" s="3" t="s">
        <v>1616</v>
      </c>
      <c r="I331" s="3" t="s">
        <v>105</v>
      </c>
      <c r="J331" s="34" t="s">
        <v>2104</v>
      </c>
      <c r="K331" s="3">
        <v>939327384</v>
      </c>
      <c r="L331" s="3" t="s">
        <v>90</v>
      </c>
      <c r="M331" s="3" t="s">
        <v>91</v>
      </c>
      <c r="N331" s="3">
        <v>69.8</v>
      </c>
      <c r="O331" s="3" t="s">
        <v>11</v>
      </c>
    </row>
    <row r="332" spans="1:15" x14ac:dyDescent="0.25">
      <c r="A332" s="4">
        <v>331</v>
      </c>
      <c r="B332" s="33" t="s">
        <v>1719</v>
      </c>
      <c r="C332" s="3">
        <v>43470708</v>
      </c>
      <c r="D332" s="3" t="s">
        <v>106</v>
      </c>
      <c r="E332" s="3" t="s">
        <v>2050</v>
      </c>
      <c r="F332" s="3" t="s">
        <v>1263</v>
      </c>
      <c r="G332" s="3" t="s">
        <v>905</v>
      </c>
      <c r="H332" s="3" t="s">
        <v>1617</v>
      </c>
      <c r="I332" s="3" t="s">
        <v>107</v>
      </c>
      <c r="J332" s="34" t="s">
        <v>2104</v>
      </c>
      <c r="K332" s="3">
        <v>953113423</v>
      </c>
      <c r="L332" s="3" t="s">
        <v>90</v>
      </c>
      <c r="M332" s="3" t="s">
        <v>91</v>
      </c>
      <c r="N332" s="3">
        <v>69.599999999999994</v>
      </c>
      <c r="O332" s="3" t="s">
        <v>11</v>
      </c>
    </row>
    <row r="333" spans="1:15" x14ac:dyDescent="0.25">
      <c r="A333" s="4">
        <v>332</v>
      </c>
      <c r="B333" s="33" t="s">
        <v>1719</v>
      </c>
      <c r="C333" s="3">
        <v>47267644</v>
      </c>
      <c r="D333" s="3" t="s">
        <v>108</v>
      </c>
      <c r="E333" s="3" t="s">
        <v>2051</v>
      </c>
      <c r="F333" s="3" t="s">
        <v>900</v>
      </c>
      <c r="G333" s="3" t="s">
        <v>888</v>
      </c>
      <c r="H333" s="3" t="s">
        <v>1618</v>
      </c>
      <c r="I333" s="3" t="s">
        <v>109</v>
      </c>
      <c r="J333" s="34" t="s">
        <v>2104</v>
      </c>
      <c r="K333" s="3">
        <v>979715336</v>
      </c>
      <c r="L333" s="3" t="s">
        <v>90</v>
      </c>
      <c r="M333" s="3" t="s">
        <v>91</v>
      </c>
      <c r="N333" s="3">
        <v>69.400000000000006</v>
      </c>
      <c r="O333" s="3" t="s">
        <v>11</v>
      </c>
    </row>
    <row r="334" spans="1:15" x14ac:dyDescent="0.25">
      <c r="A334" s="4">
        <v>333</v>
      </c>
      <c r="B334" s="33" t="s">
        <v>1719</v>
      </c>
      <c r="C334" s="3">
        <v>44390443</v>
      </c>
      <c r="D334" s="3" t="s">
        <v>110</v>
      </c>
      <c r="E334" s="3" t="s">
        <v>2052</v>
      </c>
      <c r="F334" s="3" t="s">
        <v>990</v>
      </c>
      <c r="G334" s="3" t="s">
        <v>1063</v>
      </c>
      <c r="H334" s="3" t="s">
        <v>1619</v>
      </c>
      <c r="I334" s="3" t="s">
        <v>111</v>
      </c>
      <c r="J334" s="34" t="s">
        <v>2104</v>
      </c>
      <c r="K334" s="3">
        <v>945585013</v>
      </c>
      <c r="L334" s="3" t="s">
        <v>90</v>
      </c>
      <c r="M334" s="3" t="s">
        <v>91</v>
      </c>
      <c r="N334" s="3">
        <v>69</v>
      </c>
      <c r="O334" s="3" t="s">
        <v>11</v>
      </c>
    </row>
    <row r="335" spans="1:15" x14ac:dyDescent="0.25">
      <c r="A335" s="4">
        <v>334</v>
      </c>
      <c r="B335" s="33" t="s">
        <v>1719</v>
      </c>
      <c r="C335" s="3">
        <v>41160658</v>
      </c>
      <c r="D335" s="3" t="s">
        <v>112</v>
      </c>
      <c r="E335" s="3" t="s">
        <v>2053</v>
      </c>
      <c r="F335" s="3" t="s">
        <v>913</v>
      </c>
      <c r="G335" s="3" t="s">
        <v>1065</v>
      </c>
      <c r="H335" s="3" t="s">
        <v>1620</v>
      </c>
      <c r="I335" s="3" t="s">
        <v>113</v>
      </c>
      <c r="J335" s="34" t="s">
        <v>2104</v>
      </c>
      <c r="K335" s="3">
        <v>936903797</v>
      </c>
      <c r="L335" s="3" t="s">
        <v>90</v>
      </c>
      <c r="M335" s="3" t="s">
        <v>91</v>
      </c>
      <c r="N335" s="3">
        <v>68.5</v>
      </c>
      <c r="O335" s="3" t="s">
        <v>11</v>
      </c>
    </row>
    <row r="336" spans="1:15" x14ac:dyDescent="0.25">
      <c r="A336" s="4">
        <v>335</v>
      </c>
      <c r="B336" s="33" t="s">
        <v>1719</v>
      </c>
      <c r="C336" s="3" t="s">
        <v>114</v>
      </c>
      <c r="D336" s="3" t="s">
        <v>115</v>
      </c>
      <c r="E336" s="3" t="s">
        <v>2054</v>
      </c>
      <c r="F336" s="3" t="s">
        <v>1264</v>
      </c>
      <c r="G336" s="3" t="s">
        <v>1103</v>
      </c>
      <c r="H336" s="3" t="s">
        <v>1621</v>
      </c>
      <c r="I336" s="3" t="s">
        <v>116</v>
      </c>
      <c r="J336" s="34" t="s">
        <v>2104</v>
      </c>
      <c r="K336" s="3">
        <v>905441358</v>
      </c>
      <c r="L336" s="3" t="s">
        <v>90</v>
      </c>
      <c r="M336" s="3" t="s">
        <v>91</v>
      </c>
      <c r="N336" s="3">
        <v>68.5</v>
      </c>
      <c r="O336" s="3" t="s">
        <v>11</v>
      </c>
    </row>
    <row r="337" spans="1:15" x14ac:dyDescent="0.25">
      <c r="A337" s="4">
        <v>336</v>
      </c>
      <c r="B337" s="33" t="s">
        <v>1719</v>
      </c>
      <c r="C337" s="3">
        <v>40366179</v>
      </c>
      <c r="D337" s="3" t="s">
        <v>117</v>
      </c>
      <c r="E337" s="3" t="s">
        <v>2055</v>
      </c>
      <c r="F337" s="3" t="s">
        <v>1265</v>
      </c>
      <c r="G337" s="3" t="s">
        <v>1134</v>
      </c>
      <c r="H337" s="3" t="s">
        <v>1622</v>
      </c>
      <c r="I337" s="3" t="s">
        <v>118</v>
      </c>
      <c r="J337" s="34" t="s">
        <v>2104</v>
      </c>
      <c r="K337" s="3">
        <v>926294937</v>
      </c>
      <c r="L337" s="3" t="s">
        <v>90</v>
      </c>
      <c r="M337" s="3" t="s">
        <v>91</v>
      </c>
      <c r="N337" s="3">
        <v>68.2</v>
      </c>
      <c r="O337" s="3" t="s">
        <v>11</v>
      </c>
    </row>
    <row r="338" spans="1:15" x14ac:dyDescent="0.25">
      <c r="A338" s="4">
        <v>337</v>
      </c>
      <c r="B338" s="33" t="s">
        <v>1719</v>
      </c>
      <c r="C338" s="3">
        <v>47515394</v>
      </c>
      <c r="D338" s="3" t="s">
        <v>119</v>
      </c>
      <c r="E338" s="3" t="s">
        <v>2056</v>
      </c>
      <c r="F338" s="3" t="s">
        <v>1043</v>
      </c>
      <c r="G338" s="3" t="s">
        <v>1016</v>
      </c>
      <c r="H338" s="3" t="s">
        <v>1623</v>
      </c>
      <c r="I338" s="3" t="s">
        <v>120</v>
      </c>
      <c r="J338" s="34" t="s">
        <v>2104</v>
      </c>
      <c r="K338" s="3">
        <v>976003092</v>
      </c>
      <c r="L338" s="3" t="s">
        <v>90</v>
      </c>
      <c r="M338" s="3" t="s">
        <v>91</v>
      </c>
      <c r="N338" s="3">
        <v>67</v>
      </c>
      <c r="O338" s="3" t="s">
        <v>11</v>
      </c>
    </row>
    <row r="339" spans="1:15" x14ac:dyDescent="0.25">
      <c r="A339" s="4">
        <v>338</v>
      </c>
      <c r="B339" s="33" t="s">
        <v>1719</v>
      </c>
      <c r="C339" s="3">
        <v>48042572</v>
      </c>
      <c r="D339" s="3" t="s">
        <v>121</v>
      </c>
      <c r="E339" s="3" t="s">
        <v>2057</v>
      </c>
      <c r="F339" s="3" t="s">
        <v>944</v>
      </c>
      <c r="G339" s="3" t="s">
        <v>908</v>
      </c>
      <c r="H339" s="3" t="s">
        <v>1624</v>
      </c>
      <c r="I339" s="3" t="s">
        <v>122</v>
      </c>
      <c r="J339" s="34" t="s">
        <v>2104</v>
      </c>
      <c r="K339" s="3">
        <v>968408629</v>
      </c>
      <c r="L339" s="3" t="s">
        <v>90</v>
      </c>
      <c r="M339" s="3" t="s">
        <v>91</v>
      </c>
      <c r="N339" s="3">
        <v>67</v>
      </c>
      <c r="O339" s="3" t="s">
        <v>11</v>
      </c>
    </row>
    <row r="340" spans="1:15" x14ac:dyDescent="0.25">
      <c r="A340" s="4">
        <v>339</v>
      </c>
      <c r="B340" s="33" t="s">
        <v>1719</v>
      </c>
      <c r="C340" s="3">
        <v>80612579</v>
      </c>
      <c r="D340" s="3" t="s">
        <v>123</v>
      </c>
      <c r="E340" s="3" t="s">
        <v>2058</v>
      </c>
      <c r="F340" s="3" t="s">
        <v>1049</v>
      </c>
      <c r="G340" s="3" t="s">
        <v>915</v>
      </c>
      <c r="H340" s="3" t="s">
        <v>1625</v>
      </c>
      <c r="I340" s="3" t="s">
        <v>124</v>
      </c>
      <c r="J340" s="34" t="s">
        <v>2104</v>
      </c>
      <c r="K340" s="3">
        <v>996187265</v>
      </c>
      <c r="L340" s="3" t="s">
        <v>90</v>
      </c>
      <c r="M340" s="3" t="s">
        <v>91</v>
      </c>
      <c r="N340" s="3">
        <v>66.599999999999994</v>
      </c>
      <c r="O340" s="3" t="s">
        <v>11</v>
      </c>
    </row>
    <row r="341" spans="1:15" x14ac:dyDescent="0.25">
      <c r="A341" s="4">
        <v>340</v>
      </c>
      <c r="B341" s="33" t="s">
        <v>1719</v>
      </c>
      <c r="C341" s="3">
        <v>75879465</v>
      </c>
      <c r="D341" s="3" t="s">
        <v>125</v>
      </c>
      <c r="E341" s="3" t="s">
        <v>2059</v>
      </c>
      <c r="F341" s="3" t="s">
        <v>1266</v>
      </c>
      <c r="G341" s="3" t="s">
        <v>917</v>
      </c>
      <c r="H341" s="3" t="s">
        <v>1626</v>
      </c>
      <c r="I341" s="3" t="s">
        <v>126</v>
      </c>
      <c r="J341" s="34" t="s">
        <v>2104</v>
      </c>
      <c r="K341" s="3">
        <v>935563100</v>
      </c>
      <c r="L341" s="3" t="s">
        <v>90</v>
      </c>
      <c r="M341" s="3" t="s">
        <v>91</v>
      </c>
      <c r="N341" s="3">
        <v>65.599999999999994</v>
      </c>
      <c r="O341" s="3" t="s">
        <v>11</v>
      </c>
    </row>
    <row r="342" spans="1:15" x14ac:dyDescent="0.25">
      <c r="A342" s="4">
        <v>341</v>
      </c>
      <c r="B342" s="33" t="s">
        <v>1719</v>
      </c>
      <c r="C342" s="3">
        <v>16718184</v>
      </c>
      <c r="D342" s="3" t="s">
        <v>127</v>
      </c>
      <c r="E342" s="3" t="s">
        <v>2060</v>
      </c>
      <c r="F342" s="3" t="s">
        <v>1061</v>
      </c>
      <c r="G342" s="3" t="s">
        <v>887</v>
      </c>
      <c r="H342" s="3" t="s">
        <v>1627</v>
      </c>
      <c r="I342" s="3" t="s">
        <v>128</v>
      </c>
      <c r="J342" s="34" t="s">
        <v>2104</v>
      </c>
      <c r="K342" s="3">
        <v>914244340</v>
      </c>
      <c r="L342" s="3" t="s">
        <v>90</v>
      </c>
      <c r="M342" s="3" t="s">
        <v>91</v>
      </c>
      <c r="N342" s="3">
        <v>62.4</v>
      </c>
      <c r="O342" s="3" t="s">
        <v>11</v>
      </c>
    </row>
    <row r="343" spans="1:15" x14ac:dyDescent="0.25">
      <c r="A343" s="4">
        <v>342</v>
      </c>
      <c r="B343" s="33" t="s">
        <v>1719</v>
      </c>
      <c r="C343" s="3">
        <v>42707881</v>
      </c>
      <c r="D343" s="3" t="s">
        <v>129</v>
      </c>
      <c r="E343" s="3" t="s">
        <v>2061</v>
      </c>
      <c r="F343" s="3" t="s">
        <v>1267</v>
      </c>
      <c r="G343" s="3" t="s">
        <v>1154</v>
      </c>
      <c r="H343" s="3" t="s">
        <v>1628</v>
      </c>
      <c r="I343" s="3" t="s">
        <v>130</v>
      </c>
      <c r="J343" s="34" t="s">
        <v>2104</v>
      </c>
      <c r="K343" s="3">
        <v>977177076</v>
      </c>
      <c r="L343" s="3" t="s">
        <v>90</v>
      </c>
      <c r="M343" s="3" t="s">
        <v>91</v>
      </c>
      <c r="N343" s="3">
        <v>61</v>
      </c>
      <c r="O343" s="3" t="s">
        <v>11</v>
      </c>
    </row>
    <row r="344" spans="1:15" x14ac:dyDescent="0.25">
      <c r="A344" s="4">
        <v>343</v>
      </c>
      <c r="B344" s="33" t="s">
        <v>1719</v>
      </c>
      <c r="C344" s="3">
        <v>75475198</v>
      </c>
      <c r="D344" s="3" t="s">
        <v>131</v>
      </c>
      <c r="E344" s="3" t="s">
        <v>2062</v>
      </c>
      <c r="F344" s="3" t="s">
        <v>1204</v>
      </c>
      <c r="G344" s="3" t="s">
        <v>1191</v>
      </c>
      <c r="H344" s="3" t="s">
        <v>1629</v>
      </c>
      <c r="I344" s="3" t="s">
        <v>132</v>
      </c>
      <c r="J344" s="34" t="s">
        <v>2104</v>
      </c>
      <c r="K344" s="3">
        <v>934195823</v>
      </c>
      <c r="L344" s="3" t="s">
        <v>90</v>
      </c>
      <c r="M344" s="3" t="s">
        <v>91</v>
      </c>
      <c r="N344" s="3">
        <v>57.8</v>
      </c>
      <c r="O344" s="3" t="s">
        <v>11</v>
      </c>
    </row>
    <row r="345" spans="1:15" x14ac:dyDescent="0.25">
      <c r="A345" s="4">
        <v>344</v>
      </c>
      <c r="B345" s="33" t="s">
        <v>1719</v>
      </c>
      <c r="C345" s="28">
        <v>45810268</v>
      </c>
      <c r="D345" s="28" t="s">
        <v>767</v>
      </c>
      <c r="E345" s="28" t="s">
        <v>2063</v>
      </c>
      <c r="F345" s="28" t="s">
        <v>869</v>
      </c>
      <c r="G345" s="28" t="s">
        <v>870</v>
      </c>
      <c r="H345" s="28" t="s">
        <v>1630</v>
      </c>
      <c r="I345" s="28" t="s">
        <v>768</v>
      </c>
      <c r="J345" s="34" t="s">
        <v>2104</v>
      </c>
      <c r="K345" s="28">
        <v>979109191</v>
      </c>
      <c r="L345" s="28" t="s">
        <v>90</v>
      </c>
      <c r="M345" s="28" t="s">
        <v>769</v>
      </c>
      <c r="N345" s="28">
        <v>83</v>
      </c>
      <c r="O345" s="28" t="s">
        <v>11</v>
      </c>
    </row>
    <row r="346" spans="1:15" x14ac:dyDescent="0.25">
      <c r="A346" s="4">
        <v>345</v>
      </c>
      <c r="B346" s="33" t="s">
        <v>1719</v>
      </c>
      <c r="C346" s="28">
        <v>47373478</v>
      </c>
      <c r="D346" s="28" t="s">
        <v>770</v>
      </c>
      <c r="E346" s="28" t="s">
        <v>2064</v>
      </c>
      <c r="F346" s="28" t="s">
        <v>901</v>
      </c>
      <c r="G346" s="28" t="s">
        <v>859</v>
      </c>
      <c r="H346" s="28" t="s">
        <v>1631</v>
      </c>
      <c r="I346" s="28" t="s">
        <v>771</v>
      </c>
      <c r="J346" s="34" t="s">
        <v>2104</v>
      </c>
      <c r="K346" s="28">
        <v>954693044</v>
      </c>
      <c r="L346" s="28" t="s">
        <v>90</v>
      </c>
      <c r="M346" s="28" t="s">
        <v>769</v>
      </c>
      <c r="N346" s="28">
        <v>80.3</v>
      </c>
      <c r="O346" s="28" t="s">
        <v>11</v>
      </c>
    </row>
    <row r="347" spans="1:15" x14ac:dyDescent="0.25">
      <c r="A347" s="4">
        <v>346</v>
      </c>
      <c r="B347" s="33" t="s">
        <v>1719</v>
      </c>
      <c r="C347" s="28">
        <v>44842913</v>
      </c>
      <c r="D347" s="28" t="s">
        <v>772</v>
      </c>
      <c r="E347" s="28" t="s">
        <v>2065</v>
      </c>
      <c r="F347" s="28" t="s">
        <v>1268</v>
      </c>
      <c r="G347" s="28" t="s">
        <v>1269</v>
      </c>
      <c r="H347" s="28" t="s">
        <v>1374</v>
      </c>
      <c r="I347" s="28" t="s">
        <v>773</v>
      </c>
      <c r="J347" s="34" t="s">
        <v>2104</v>
      </c>
      <c r="K347" s="28">
        <v>923026775</v>
      </c>
      <c r="L347" s="28" t="s">
        <v>90</v>
      </c>
      <c r="M347" s="28" t="s">
        <v>769</v>
      </c>
      <c r="N347" s="28">
        <v>79.599999999999994</v>
      </c>
      <c r="O347" s="28" t="s">
        <v>11</v>
      </c>
    </row>
    <row r="348" spans="1:15" x14ac:dyDescent="0.25">
      <c r="A348" s="4">
        <v>347</v>
      </c>
      <c r="B348" s="33" t="s">
        <v>1719</v>
      </c>
      <c r="C348" s="28">
        <v>40021177</v>
      </c>
      <c r="D348" s="28" t="s">
        <v>774</v>
      </c>
      <c r="E348" s="28" t="s">
        <v>2066</v>
      </c>
      <c r="F348" s="28" t="s">
        <v>1270</v>
      </c>
      <c r="G348" s="28" t="s">
        <v>980</v>
      </c>
      <c r="H348" s="28" t="s">
        <v>1632</v>
      </c>
      <c r="I348" s="28" t="s">
        <v>775</v>
      </c>
      <c r="J348" s="34" t="s">
        <v>2104</v>
      </c>
      <c r="K348" s="28">
        <v>925812685</v>
      </c>
      <c r="L348" s="28" t="s">
        <v>90</v>
      </c>
      <c r="M348" s="28" t="s">
        <v>769</v>
      </c>
      <c r="N348" s="28">
        <v>78.5</v>
      </c>
      <c r="O348" s="28" t="s">
        <v>11</v>
      </c>
    </row>
    <row r="349" spans="1:15" x14ac:dyDescent="0.25">
      <c r="A349" s="4">
        <v>348</v>
      </c>
      <c r="B349" s="33" t="s">
        <v>1719</v>
      </c>
      <c r="C349" s="28" t="s">
        <v>776</v>
      </c>
      <c r="D349" s="28" t="s">
        <v>777</v>
      </c>
      <c r="E349" s="28" t="s">
        <v>2067</v>
      </c>
      <c r="F349" s="28" t="s">
        <v>1271</v>
      </c>
      <c r="G349" s="28" t="s">
        <v>1272</v>
      </c>
      <c r="H349" s="28" t="s">
        <v>1390</v>
      </c>
      <c r="I349" s="28" t="s">
        <v>778</v>
      </c>
      <c r="J349" s="34" t="s">
        <v>2104</v>
      </c>
      <c r="K349" s="28">
        <v>969268674</v>
      </c>
      <c r="L349" s="28" t="s">
        <v>90</v>
      </c>
      <c r="M349" s="28" t="s">
        <v>769</v>
      </c>
      <c r="N349" s="28">
        <v>78.2</v>
      </c>
      <c r="O349" s="28" t="s">
        <v>11</v>
      </c>
    </row>
    <row r="350" spans="1:15" x14ac:dyDescent="0.25">
      <c r="A350" s="4">
        <v>349</v>
      </c>
      <c r="B350" s="33" t="s">
        <v>1719</v>
      </c>
      <c r="C350" s="28">
        <v>44249936</v>
      </c>
      <c r="D350" s="28" t="s">
        <v>779</v>
      </c>
      <c r="E350" s="28" t="s">
        <v>2068</v>
      </c>
      <c r="F350" s="28" t="s">
        <v>984</v>
      </c>
      <c r="G350" s="28" t="s">
        <v>987</v>
      </c>
      <c r="H350" s="28" t="s">
        <v>1633</v>
      </c>
      <c r="I350" s="28" t="s">
        <v>780</v>
      </c>
      <c r="J350" s="34" t="s">
        <v>2104</v>
      </c>
      <c r="K350" s="28">
        <v>979066416</v>
      </c>
      <c r="L350" s="28" t="s">
        <v>90</v>
      </c>
      <c r="M350" s="28" t="s">
        <v>769</v>
      </c>
      <c r="N350" s="28">
        <v>77.5</v>
      </c>
      <c r="O350" s="28" t="s">
        <v>11</v>
      </c>
    </row>
    <row r="351" spans="1:15" x14ac:dyDescent="0.25">
      <c r="A351" s="4">
        <v>350</v>
      </c>
      <c r="B351" s="33" t="s">
        <v>1719</v>
      </c>
      <c r="C351" s="28">
        <v>46558332</v>
      </c>
      <c r="D351" s="28" t="s">
        <v>781</v>
      </c>
      <c r="E351" s="28" t="s">
        <v>2069</v>
      </c>
      <c r="F351" s="28" t="s">
        <v>858</v>
      </c>
      <c r="G351" s="28" t="s">
        <v>1273</v>
      </c>
      <c r="H351" s="28" t="s">
        <v>1634</v>
      </c>
      <c r="I351" s="28" t="s">
        <v>782</v>
      </c>
      <c r="J351" s="34" t="s">
        <v>2104</v>
      </c>
      <c r="K351" s="28">
        <v>940990391</v>
      </c>
      <c r="L351" s="28" t="s">
        <v>90</v>
      </c>
      <c r="M351" s="28" t="s">
        <v>769</v>
      </c>
      <c r="N351" s="28">
        <v>76.599999999999994</v>
      </c>
      <c r="O351" s="28" t="s">
        <v>11</v>
      </c>
    </row>
    <row r="352" spans="1:15" x14ac:dyDescent="0.25">
      <c r="A352" s="4">
        <v>351</v>
      </c>
      <c r="B352" s="33" t="s">
        <v>1719</v>
      </c>
      <c r="C352" s="28">
        <v>77355069</v>
      </c>
      <c r="D352" s="28" t="s">
        <v>783</v>
      </c>
      <c r="E352" s="28" t="s">
        <v>2070</v>
      </c>
      <c r="F352" s="28" t="s">
        <v>1044</v>
      </c>
      <c r="G352" s="28" t="s">
        <v>979</v>
      </c>
      <c r="H352" s="28" t="s">
        <v>1635</v>
      </c>
      <c r="I352" s="28" t="s">
        <v>784</v>
      </c>
      <c r="J352" s="34" t="s">
        <v>2104</v>
      </c>
      <c r="K352" s="28">
        <v>948721925</v>
      </c>
      <c r="L352" s="28" t="s">
        <v>90</v>
      </c>
      <c r="M352" s="28" t="s">
        <v>769</v>
      </c>
      <c r="N352" s="28">
        <v>75</v>
      </c>
      <c r="O352" s="28" t="s">
        <v>11</v>
      </c>
    </row>
    <row r="353" spans="1:15" x14ac:dyDescent="0.25">
      <c r="A353" s="4">
        <v>352</v>
      </c>
      <c r="B353" s="33" t="s">
        <v>1719</v>
      </c>
      <c r="C353" s="28" t="s">
        <v>785</v>
      </c>
      <c r="D353" s="28" t="s">
        <v>786</v>
      </c>
      <c r="E353" s="28" t="s">
        <v>2071</v>
      </c>
      <c r="F353" s="28" t="s">
        <v>1274</v>
      </c>
      <c r="G353" s="28" t="s">
        <v>1084</v>
      </c>
      <c r="H353" s="28" t="s">
        <v>1636</v>
      </c>
      <c r="I353" s="28" t="s">
        <v>787</v>
      </c>
      <c r="J353" s="34" t="s">
        <v>2104</v>
      </c>
      <c r="K353" s="28">
        <v>918567044</v>
      </c>
      <c r="L353" s="28" t="s">
        <v>90</v>
      </c>
      <c r="M353" s="28" t="s">
        <v>769</v>
      </c>
      <c r="N353" s="28">
        <v>73.900000000000006</v>
      </c>
      <c r="O353" s="28" t="s">
        <v>11</v>
      </c>
    </row>
    <row r="354" spans="1:15" x14ac:dyDescent="0.25">
      <c r="A354" s="4">
        <v>353</v>
      </c>
      <c r="B354" s="33" t="s">
        <v>1719</v>
      </c>
      <c r="C354" s="28">
        <v>41203836</v>
      </c>
      <c r="D354" s="28" t="s">
        <v>788</v>
      </c>
      <c r="E354" s="28" t="s">
        <v>2072</v>
      </c>
      <c r="F354" s="28" t="s">
        <v>901</v>
      </c>
      <c r="G354" s="28" t="s">
        <v>898</v>
      </c>
      <c r="H354" s="28" t="s">
        <v>1637</v>
      </c>
      <c r="I354" s="28" t="s">
        <v>789</v>
      </c>
      <c r="J354" s="34" t="s">
        <v>2104</v>
      </c>
      <c r="K354" s="28">
        <v>979114738</v>
      </c>
      <c r="L354" s="28" t="s">
        <v>90</v>
      </c>
      <c r="M354" s="28" t="s">
        <v>769</v>
      </c>
      <c r="N354" s="28">
        <v>72</v>
      </c>
      <c r="O354" s="28" t="s">
        <v>11</v>
      </c>
    </row>
    <row r="355" spans="1:15" x14ac:dyDescent="0.25">
      <c r="A355" s="4">
        <v>354</v>
      </c>
      <c r="B355" s="33" t="s">
        <v>1719</v>
      </c>
      <c r="C355" s="28">
        <v>42091229</v>
      </c>
      <c r="D355" s="28" t="s">
        <v>790</v>
      </c>
      <c r="E355" s="28" t="s">
        <v>2073</v>
      </c>
      <c r="F355" s="28" t="s">
        <v>1275</v>
      </c>
      <c r="G355" s="28" t="s">
        <v>1276</v>
      </c>
      <c r="H355" s="28" t="s">
        <v>1638</v>
      </c>
      <c r="I355" s="28" t="s">
        <v>791</v>
      </c>
      <c r="J355" s="34" t="s">
        <v>2104</v>
      </c>
      <c r="K355" s="28">
        <v>969032110</v>
      </c>
      <c r="L355" s="28" t="s">
        <v>90</v>
      </c>
      <c r="M355" s="28" t="s">
        <v>769</v>
      </c>
      <c r="N355" s="28">
        <v>71.400000000000006</v>
      </c>
      <c r="O355" s="28" t="s">
        <v>11</v>
      </c>
    </row>
    <row r="356" spans="1:15" x14ac:dyDescent="0.25">
      <c r="A356" s="4">
        <v>355</v>
      </c>
      <c r="B356" s="33" t="s">
        <v>1719</v>
      </c>
      <c r="C356" s="28">
        <v>72044190</v>
      </c>
      <c r="D356" s="28" t="s">
        <v>792</v>
      </c>
      <c r="E356" s="28" t="s">
        <v>2074</v>
      </c>
      <c r="F356" s="28" t="s">
        <v>1131</v>
      </c>
      <c r="G356" s="28" t="s">
        <v>913</v>
      </c>
      <c r="H356" s="28" t="s">
        <v>1639</v>
      </c>
      <c r="I356" s="28" t="s">
        <v>793</v>
      </c>
      <c r="J356" s="34" t="s">
        <v>2104</v>
      </c>
      <c r="K356" s="28">
        <v>923655551</v>
      </c>
      <c r="L356" s="28" t="s">
        <v>90</v>
      </c>
      <c r="M356" s="28" t="s">
        <v>769</v>
      </c>
      <c r="N356" s="28">
        <v>70.599999999999994</v>
      </c>
      <c r="O356" s="28" t="s">
        <v>11</v>
      </c>
    </row>
    <row r="357" spans="1:15" x14ac:dyDescent="0.25">
      <c r="A357" s="4">
        <v>356</v>
      </c>
      <c r="B357" s="33" t="s">
        <v>1719</v>
      </c>
      <c r="C357" s="28">
        <v>75796634</v>
      </c>
      <c r="D357" s="28" t="s">
        <v>794</v>
      </c>
      <c r="E357" s="28" t="s">
        <v>2075</v>
      </c>
      <c r="F357" s="28" t="s">
        <v>898</v>
      </c>
      <c r="G357" s="28" t="s">
        <v>858</v>
      </c>
      <c r="H357" s="28" t="s">
        <v>1640</v>
      </c>
      <c r="I357" s="28" t="s">
        <v>795</v>
      </c>
      <c r="J357" s="34" t="s">
        <v>2104</v>
      </c>
      <c r="K357" s="28">
        <v>963591442</v>
      </c>
      <c r="L357" s="28" t="s">
        <v>90</v>
      </c>
      <c r="M357" s="28" t="s">
        <v>769</v>
      </c>
      <c r="N357" s="28">
        <v>69.2</v>
      </c>
      <c r="O357" s="28" t="s">
        <v>11</v>
      </c>
    </row>
    <row r="358" spans="1:15" x14ac:dyDescent="0.25">
      <c r="A358" s="4">
        <v>357</v>
      </c>
      <c r="B358" s="33" t="s">
        <v>1719</v>
      </c>
      <c r="C358" s="28">
        <v>71643302</v>
      </c>
      <c r="D358" s="28" t="s">
        <v>796</v>
      </c>
      <c r="E358" s="28" t="s">
        <v>2076</v>
      </c>
      <c r="F358" s="28" t="s">
        <v>1277</v>
      </c>
      <c r="G358" s="28" t="s">
        <v>963</v>
      </c>
      <c r="H358" s="28" t="s">
        <v>1641</v>
      </c>
      <c r="I358" s="28" t="s">
        <v>797</v>
      </c>
      <c r="J358" s="34" t="s">
        <v>2104</v>
      </c>
      <c r="K358" s="28">
        <v>993645001</v>
      </c>
      <c r="L358" s="28" t="s">
        <v>90</v>
      </c>
      <c r="M358" s="28" t="s">
        <v>769</v>
      </c>
      <c r="N358" s="28">
        <v>68.599999999999994</v>
      </c>
      <c r="O358" s="28" t="s">
        <v>11</v>
      </c>
    </row>
    <row r="359" spans="1:15" x14ac:dyDescent="0.25">
      <c r="A359" s="4">
        <v>358</v>
      </c>
      <c r="B359" s="33" t="s">
        <v>1719</v>
      </c>
      <c r="C359" s="28">
        <v>41891142</v>
      </c>
      <c r="D359" s="28" t="s">
        <v>798</v>
      </c>
      <c r="E359" s="28" t="s">
        <v>2077</v>
      </c>
      <c r="F359" s="28" t="s">
        <v>918</v>
      </c>
      <c r="G359" s="28" t="s">
        <v>1278</v>
      </c>
      <c r="H359" s="28" t="s">
        <v>1642</v>
      </c>
      <c r="I359" s="28" t="s">
        <v>799</v>
      </c>
      <c r="J359" s="34" t="s">
        <v>2104</v>
      </c>
      <c r="K359" s="28">
        <v>943873493</v>
      </c>
      <c r="L359" s="28" t="s">
        <v>90</v>
      </c>
      <c r="M359" s="28" t="s">
        <v>769</v>
      </c>
      <c r="N359" s="28">
        <v>67.400000000000006</v>
      </c>
      <c r="O359" s="28" t="s">
        <v>11</v>
      </c>
    </row>
    <row r="360" spans="1:15" x14ac:dyDescent="0.25">
      <c r="A360" s="4">
        <v>359</v>
      </c>
      <c r="B360" s="33" t="s">
        <v>1719</v>
      </c>
      <c r="C360" s="28">
        <v>75397174</v>
      </c>
      <c r="D360" s="28" t="s">
        <v>800</v>
      </c>
      <c r="E360" s="28" t="s">
        <v>2078</v>
      </c>
      <c r="F360" s="28" t="s">
        <v>1279</v>
      </c>
      <c r="G360" s="28" t="s">
        <v>1280</v>
      </c>
      <c r="H360" s="28" t="s">
        <v>1643</v>
      </c>
      <c r="I360" s="28" t="s">
        <v>801</v>
      </c>
      <c r="J360" s="34" t="s">
        <v>2104</v>
      </c>
      <c r="K360" s="28">
        <v>962072750</v>
      </c>
      <c r="L360" s="28" t="s">
        <v>90</v>
      </c>
      <c r="M360" s="28" t="s">
        <v>769</v>
      </c>
      <c r="N360" s="28">
        <v>66</v>
      </c>
      <c r="O360" s="28" t="s">
        <v>11</v>
      </c>
    </row>
    <row r="361" spans="1:15" x14ac:dyDescent="0.25">
      <c r="A361" s="4">
        <v>360</v>
      </c>
      <c r="B361" s="33" t="s">
        <v>1719</v>
      </c>
      <c r="C361" s="28">
        <v>16688080</v>
      </c>
      <c r="D361" s="28" t="s">
        <v>802</v>
      </c>
      <c r="E361" s="28" t="s">
        <v>2079</v>
      </c>
      <c r="F361" s="28" t="s">
        <v>952</v>
      </c>
      <c r="G361" s="28" t="s">
        <v>1281</v>
      </c>
      <c r="H361" s="28" t="s">
        <v>1644</v>
      </c>
      <c r="I361" s="28" t="s">
        <v>803</v>
      </c>
      <c r="J361" s="34" t="s">
        <v>2104</v>
      </c>
      <c r="K361" s="28">
        <v>946922965</v>
      </c>
      <c r="L361" s="28" t="s">
        <v>90</v>
      </c>
      <c r="M361" s="28" t="s">
        <v>769</v>
      </c>
      <c r="N361" s="28">
        <v>54</v>
      </c>
      <c r="O361" s="28" t="s">
        <v>11</v>
      </c>
    </row>
    <row r="362" spans="1:15" x14ac:dyDescent="0.25">
      <c r="A362" s="4">
        <v>361</v>
      </c>
      <c r="B362" s="33" t="s">
        <v>1719</v>
      </c>
      <c r="C362" s="28">
        <v>70822466</v>
      </c>
      <c r="D362" s="28" t="s">
        <v>804</v>
      </c>
      <c r="E362" s="28" t="s">
        <v>2080</v>
      </c>
      <c r="F362" s="28" t="s">
        <v>1282</v>
      </c>
      <c r="G362" s="28" t="s">
        <v>1278</v>
      </c>
      <c r="H362" s="28" t="s">
        <v>1645</v>
      </c>
      <c r="I362" s="28" t="s">
        <v>805</v>
      </c>
      <c r="J362" s="34" t="s">
        <v>2104</v>
      </c>
      <c r="K362" s="28">
        <v>930151853</v>
      </c>
      <c r="L362" s="28" t="s">
        <v>90</v>
      </c>
      <c r="M362" s="28" t="s">
        <v>769</v>
      </c>
      <c r="N362" s="28">
        <v>48.9</v>
      </c>
      <c r="O362" s="28" t="s">
        <v>11</v>
      </c>
    </row>
    <row r="363" spans="1:15" x14ac:dyDescent="0.25">
      <c r="A363" s="4">
        <v>362</v>
      </c>
      <c r="B363" s="33" t="s">
        <v>1719</v>
      </c>
      <c r="C363" s="6">
        <v>16694733</v>
      </c>
      <c r="D363" s="6" t="s">
        <v>174</v>
      </c>
      <c r="E363" s="6" t="s">
        <v>2081</v>
      </c>
      <c r="F363" s="6" t="s">
        <v>1283</v>
      </c>
      <c r="G363" s="6" t="s">
        <v>1148</v>
      </c>
      <c r="H363" s="6" t="s">
        <v>1646</v>
      </c>
      <c r="I363" s="6" t="s">
        <v>175</v>
      </c>
      <c r="J363" s="34" t="s">
        <v>2104</v>
      </c>
      <c r="K363" s="6">
        <v>939815572</v>
      </c>
      <c r="L363" s="6" t="s">
        <v>90</v>
      </c>
      <c r="M363" s="6" t="s">
        <v>176</v>
      </c>
      <c r="N363" s="6">
        <v>83.1</v>
      </c>
      <c r="O363" s="6" t="s">
        <v>11</v>
      </c>
    </row>
    <row r="364" spans="1:15" x14ac:dyDescent="0.25">
      <c r="A364" s="4">
        <v>363</v>
      </c>
      <c r="B364" s="33" t="s">
        <v>1719</v>
      </c>
      <c r="C364" s="6">
        <v>74226566</v>
      </c>
      <c r="D364" s="6" t="s">
        <v>177</v>
      </c>
      <c r="E364" s="6" t="s">
        <v>2082</v>
      </c>
      <c r="F364" s="6" t="s">
        <v>1284</v>
      </c>
      <c r="G364" s="6" t="s">
        <v>862</v>
      </c>
      <c r="H364" s="6" t="s">
        <v>1647</v>
      </c>
      <c r="I364" s="6" t="s">
        <v>178</v>
      </c>
      <c r="J364" s="34" t="s">
        <v>2104</v>
      </c>
      <c r="K364" s="6">
        <v>989866778</v>
      </c>
      <c r="L364" s="6" t="s">
        <v>90</v>
      </c>
      <c r="M364" s="6" t="s">
        <v>176</v>
      </c>
      <c r="N364" s="6">
        <v>78.2</v>
      </c>
      <c r="O364" s="6" t="s">
        <v>11</v>
      </c>
    </row>
    <row r="365" spans="1:15" x14ac:dyDescent="0.25">
      <c r="A365" s="4">
        <v>364</v>
      </c>
      <c r="B365" s="33" t="s">
        <v>1719</v>
      </c>
      <c r="C365" s="6">
        <v>75357455</v>
      </c>
      <c r="D365" s="6" t="s">
        <v>179</v>
      </c>
      <c r="E365" s="6" t="s">
        <v>2083</v>
      </c>
      <c r="F365" s="6" t="s">
        <v>1285</v>
      </c>
      <c r="G365" s="6" t="s">
        <v>1286</v>
      </c>
      <c r="H365" s="6" t="s">
        <v>1648</v>
      </c>
      <c r="I365" s="6" t="s">
        <v>180</v>
      </c>
      <c r="J365" s="34" t="s">
        <v>2104</v>
      </c>
      <c r="K365" s="6">
        <v>928720337</v>
      </c>
      <c r="L365" s="6" t="s">
        <v>90</v>
      </c>
      <c r="M365" s="6" t="s">
        <v>176</v>
      </c>
      <c r="N365" s="6">
        <v>77</v>
      </c>
      <c r="O365" s="6" t="s">
        <v>11</v>
      </c>
    </row>
    <row r="366" spans="1:15" x14ac:dyDescent="0.25">
      <c r="A366" s="4">
        <v>365</v>
      </c>
      <c r="B366" s="33" t="s">
        <v>1719</v>
      </c>
      <c r="C366" s="6">
        <v>75822747</v>
      </c>
      <c r="D366" s="6" t="s">
        <v>181</v>
      </c>
      <c r="E366" s="6" t="s">
        <v>2084</v>
      </c>
      <c r="F366" s="6" t="s">
        <v>1287</v>
      </c>
      <c r="G366" s="6" t="s">
        <v>1288</v>
      </c>
      <c r="H366" s="6" t="s">
        <v>1342</v>
      </c>
      <c r="I366" s="6" t="s">
        <v>182</v>
      </c>
      <c r="J366" s="34" t="s">
        <v>2104</v>
      </c>
      <c r="K366" s="6">
        <v>972930955</v>
      </c>
      <c r="L366" s="6" t="s">
        <v>90</v>
      </c>
      <c r="M366" s="6" t="s">
        <v>176</v>
      </c>
      <c r="N366" s="6">
        <v>76.3</v>
      </c>
      <c r="O366" s="6" t="s">
        <v>11</v>
      </c>
    </row>
    <row r="367" spans="1:15" x14ac:dyDescent="0.25">
      <c r="A367" s="4">
        <v>366</v>
      </c>
      <c r="B367" s="33" t="s">
        <v>1719</v>
      </c>
      <c r="C367" s="6">
        <v>77148412</v>
      </c>
      <c r="D367" s="6" t="s">
        <v>183</v>
      </c>
      <c r="E367" s="6" t="s">
        <v>2085</v>
      </c>
      <c r="F367" s="6" t="s">
        <v>916</v>
      </c>
      <c r="G367" s="6" t="s">
        <v>1003</v>
      </c>
      <c r="H367" s="6" t="s">
        <v>1649</v>
      </c>
      <c r="I367" s="6" t="s">
        <v>184</v>
      </c>
      <c r="J367" s="34" t="s">
        <v>2104</v>
      </c>
      <c r="K367" s="6">
        <v>966693463</v>
      </c>
      <c r="L367" s="6" t="s">
        <v>90</v>
      </c>
      <c r="M367" s="6" t="s">
        <v>176</v>
      </c>
      <c r="N367" s="6">
        <v>75</v>
      </c>
      <c r="O367" s="6" t="s">
        <v>11</v>
      </c>
    </row>
    <row r="368" spans="1:15" x14ac:dyDescent="0.25">
      <c r="A368" s="4">
        <v>367</v>
      </c>
      <c r="B368" s="33" t="s">
        <v>1719</v>
      </c>
      <c r="C368" s="6">
        <v>74243164</v>
      </c>
      <c r="D368" s="6" t="s">
        <v>185</v>
      </c>
      <c r="E368" s="6" t="s">
        <v>2086</v>
      </c>
      <c r="F368" s="6" t="s">
        <v>1023</v>
      </c>
      <c r="G368" s="6" t="s">
        <v>1289</v>
      </c>
      <c r="H368" s="6" t="s">
        <v>1650</v>
      </c>
      <c r="I368" s="6" t="s">
        <v>186</v>
      </c>
      <c r="J368" s="34" t="s">
        <v>2104</v>
      </c>
      <c r="K368" s="6">
        <v>954546987</v>
      </c>
      <c r="L368" s="6" t="s">
        <v>90</v>
      </c>
      <c r="M368" s="6" t="s">
        <v>176</v>
      </c>
      <c r="N368" s="6">
        <v>71.8</v>
      </c>
      <c r="O368" s="6" t="s">
        <v>11</v>
      </c>
    </row>
    <row r="369" spans="1:15" x14ac:dyDescent="0.25">
      <c r="A369" s="4">
        <v>368</v>
      </c>
      <c r="B369" s="33" t="s">
        <v>1719</v>
      </c>
      <c r="C369" s="6">
        <v>47571093</v>
      </c>
      <c r="D369" s="6" t="s">
        <v>187</v>
      </c>
      <c r="E369" s="6" t="s">
        <v>2087</v>
      </c>
      <c r="F369" s="6" t="s">
        <v>980</v>
      </c>
      <c r="G369" s="6" t="s">
        <v>862</v>
      </c>
      <c r="H369" s="6" t="s">
        <v>1651</v>
      </c>
      <c r="I369" s="6" t="s">
        <v>188</v>
      </c>
      <c r="J369" s="34" t="s">
        <v>2104</v>
      </c>
      <c r="K369" s="6">
        <v>949747028</v>
      </c>
      <c r="L369" s="6" t="s">
        <v>90</v>
      </c>
      <c r="M369" s="6" t="s">
        <v>176</v>
      </c>
      <c r="N369" s="6">
        <v>71.5</v>
      </c>
      <c r="O369" s="6" t="s">
        <v>11</v>
      </c>
    </row>
    <row r="370" spans="1:15" x14ac:dyDescent="0.25">
      <c r="A370" s="4">
        <v>369</v>
      </c>
      <c r="B370" s="33" t="s">
        <v>1719</v>
      </c>
      <c r="C370" s="6">
        <v>40472061</v>
      </c>
      <c r="D370" s="6" t="s">
        <v>189</v>
      </c>
      <c r="E370" s="6" t="s">
        <v>2088</v>
      </c>
      <c r="F370" s="6" t="s">
        <v>1290</v>
      </c>
      <c r="G370" s="6" t="s">
        <v>1206</v>
      </c>
      <c r="H370" s="6" t="s">
        <v>1652</v>
      </c>
      <c r="I370" s="6" t="s">
        <v>190</v>
      </c>
      <c r="J370" s="34" t="s">
        <v>2104</v>
      </c>
      <c r="K370" s="6">
        <v>956749492</v>
      </c>
      <c r="L370" s="6" t="s">
        <v>90</v>
      </c>
      <c r="M370" s="6" t="s">
        <v>176</v>
      </c>
      <c r="N370" s="6">
        <v>69.7</v>
      </c>
      <c r="O370" s="6" t="s">
        <v>11</v>
      </c>
    </row>
    <row r="371" spans="1:15" x14ac:dyDescent="0.25">
      <c r="A371" s="4">
        <v>370</v>
      </c>
      <c r="B371" s="33" t="s">
        <v>1719</v>
      </c>
      <c r="C371" s="6">
        <v>45674376</v>
      </c>
      <c r="D371" s="6" t="s">
        <v>191</v>
      </c>
      <c r="E371" s="6" t="s">
        <v>2089</v>
      </c>
      <c r="F371" s="6" t="s">
        <v>869</v>
      </c>
      <c r="G371" s="6" t="s">
        <v>932</v>
      </c>
      <c r="H371" s="6" t="s">
        <v>1327</v>
      </c>
      <c r="I371" s="6" t="s">
        <v>192</v>
      </c>
      <c r="J371" s="34" t="s">
        <v>2104</v>
      </c>
      <c r="K371" s="6">
        <v>929304528</v>
      </c>
      <c r="L371" s="6" t="s">
        <v>90</v>
      </c>
      <c r="M371" s="6" t="s">
        <v>176</v>
      </c>
      <c r="N371" s="6">
        <v>69.3</v>
      </c>
      <c r="O371" s="6" t="s">
        <v>11</v>
      </c>
    </row>
    <row r="372" spans="1:15" x14ac:dyDescent="0.25">
      <c r="A372" s="4">
        <v>371</v>
      </c>
      <c r="B372" s="33" t="s">
        <v>1719</v>
      </c>
      <c r="C372" s="6">
        <v>75209895</v>
      </c>
      <c r="D372" s="6" t="s">
        <v>193</v>
      </c>
      <c r="E372" s="6" t="s">
        <v>2090</v>
      </c>
      <c r="F372" s="6" t="s">
        <v>981</v>
      </c>
      <c r="G372" s="6" t="s">
        <v>891</v>
      </c>
      <c r="H372" s="6" t="s">
        <v>1444</v>
      </c>
      <c r="I372" s="6" t="s">
        <v>194</v>
      </c>
      <c r="J372" s="34" t="s">
        <v>2104</v>
      </c>
      <c r="K372" s="6">
        <v>963923481</v>
      </c>
      <c r="L372" s="6" t="s">
        <v>90</v>
      </c>
      <c r="M372" s="6" t="s">
        <v>176</v>
      </c>
      <c r="N372" s="6">
        <v>69</v>
      </c>
      <c r="O372" s="6" t="s">
        <v>11</v>
      </c>
    </row>
    <row r="373" spans="1:15" x14ac:dyDescent="0.25">
      <c r="A373" s="4">
        <v>372</v>
      </c>
      <c r="B373" s="33" t="s">
        <v>1719</v>
      </c>
      <c r="C373" s="6">
        <v>43871941</v>
      </c>
      <c r="D373" s="6" t="s">
        <v>195</v>
      </c>
      <c r="E373" s="6" t="s">
        <v>2091</v>
      </c>
      <c r="F373" s="6" t="s">
        <v>894</v>
      </c>
      <c r="G373" s="6" t="s">
        <v>901</v>
      </c>
      <c r="H373" s="6" t="s">
        <v>1609</v>
      </c>
      <c r="I373" s="6" t="s">
        <v>196</v>
      </c>
      <c r="J373" s="34" t="s">
        <v>2104</v>
      </c>
      <c r="K373" s="6">
        <v>953165306</v>
      </c>
      <c r="L373" s="6" t="s">
        <v>90</v>
      </c>
      <c r="M373" s="6" t="s">
        <v>176</v>
      </c>
      <c r="N373" s="6">
        <v>68.3</v>
      </c>
      <c r="O373" s="6" t="s">
        <v>11</v>
      </c>
    </row>
    <row r="374" spans="1:15" x14ac:dyDescent="0.25">
      <c r="A374" s="4">
        <v>373</v>
      </c>
      <c r="B374" s="33" t="s">
        <v>1719</v>
      </c>
      <c r="C374" s="6">
        <v>16742508</v>
      </c>
      <c r="D374" s="6" t="s">
        <v>197</v>
      </c>
      <c r="E374" s="6" t="s">
        <v>2092</v>
      </c>
      <c r="F374" s="6" t="s">
        <v>1166</v>
      </c>
      <c r="G374" s="6" t="s">
        <v>996</v>
      </c>
      <c r="H374" s="6" t="s">
        <v>1363</v>
      </c>
      <c r="I374" s="6" t="s">
        <v>198</v>
      </c>
      <c r="J374" s="34" t="s">
        <v>2104</v>
      </c>
      <c r="K374" s="6">
        <v>990676586</v>
      </c>
      <c r="L374" s="6" t="s">
        <v>90</v>
      </c>
      <c r="M374" s="6" t="s">
        <v>176</v>
      </c>
      <c r="N374" s="6">
        <v>67.5</v>
      </c>
      <c r="O374" s="6" t="s">
        <v>11</v>
      </c>
    </row>
    <row r="375" spans="1:15" x14ac:dyDescent="0.25">
      <c r="A375" s="4">
        <v>374</v>
      </c>
      <c r="B375" s="33" t="s">
        <v>1719</v>
      </c>
      <c r="C375" s="6">
        <v>17614550</v>
      </c>
      <c r="D375" s="6" t="s">
        <v>199</v>
      </c>
      <c r="E375" s="6" t="s">
        <v>2093</v>
      </c>
      <c r="F375" s="6" t="s">
        <v>876</v>
      </c>
      <c r="G375" s="6" t="s">
        <v>1291</v>
      </c>
      <c r="H375" s="6" t="s">
        <v>1653</v>
      </c>
      <c r="I375" s="6" t="s">
        <v>200</v>
      </c>
      <c r="J375" s="34" t="s">
        <v>2104</v>
      </c>
      <c r="K375" s="6">
        <v>978032851</v>
      </c>
      <c r="L375" s="6" t="s">
        <v>90</v>
      </c>
      <c r="M375" s="6" t="s">
        <v>176</v>
      </c>
      <c r="N375" s="6">
        <v>66.400000000000006</v>
      </c>
      <c r="O375" s="6" t="s">
        <v>11</v>
      </c>
    </row>
    <row r="376" spans="1:15" x14ac:dyDescent="0.25">
      <c r="A376" s="4">
        <v>375</v>
      </c>
      <c r="B376" s="33" t="s">
        <v>1719</v>
      </c>
      <c r="C376" s="6">
        <v>72023858</v>
      </c>
      <c r="D376" s="6" t="s">
        <v>201</v>
      </c>
      <c r="E376" s="6" t="s">
        <v>2094</v>
      </c>
      <c r="F376" s="6" t="s">
        <v>1292</v>
      </c>
      <c r="G376" s="6" t="s">
        <v>869</v>
      </c>
      <c r="H376" s="6" t="s">
        <v>1654</v>
      </c>
      <c r="I376" s="6" t="s">
        <v>202</v>
      </c>
      <c r="J376" s="34" t="s">
        <v>2104</v>
      </c>
      <c r="K376" s="6">
        <v>965346380</v>
      </c>
      <c r="L376" s="6" t="s">
        <v>90</v>
      </c>
      <c r="M376" s="6" t="s">
        <v>176</v>
      </c>
      <c r="N376" s="6">
        <v>65.7</v>
      </c>
      <c r="O376" s="6" t="s">
        <v>11</v>
      </c>
    </row>
    <row r="377" spans="1:15" x14ac:dyDescent="0.25">
      <c r="A377" s="4">
        <v>376</v>
      </c>
      <c r="B377" s="33" t="s">
        <v>1719</v>
      </c>
      <c r="C377" s="6">
        <v>16672714</v>
      </c>
      <c r="D377" s="6" t="s">
        <v>203</v>
      </c>
      <c r="E377" s="6" t="s">
        <v>2095</v>
      </c>
      <c r="F377" s="6" t="s">
        <v>858</v>
      </c>
      <c r="G377" s="6" t="s">
        <v>1032</v>
      </c>
      <c r="H377" s="6" t="s">
        <v>1655</v>
      </c>
      <c r="I377" s="6" t="s">
        <v>204</v>
      </c>
      <c r="J377" s="34" t="s">
        <v>2104</v>
      </c>
      <c r="K377" s="6">
        <v>979724416</v>
      </c>
      <c r="L377" s="6" t="s">
        <v>90</v>
      </c>
      <c r="M377" s="6" t="s">
        <v>176</v>
      </c>
      <c r="N377" s="6">
        <v>65</v>
      </c>
      <c r="O377" s="6" t="s">
        <v>11</v>
      </c>
    </row>
    <row r="378" spans="1:15" x14ac:dyDescent="0.25">
      <c r="A378" s="4">
        <v>377</v>
      </c>
      <c r="B378" s="33" t="s">
        <v>1719</v>
      </c>
      <c r="C378" s="6">
        <v>40564490</v>
      </c>
      <c r="D378" s="6" t="s">
        <v>205</v>
      </c>
      <c r="E378" s="6" t="s">
        <v>2096</v>
      </c>
      <c r="F378" s="6" t="s">
        <v>1293</v>
      </c>
      <c r="G378" s="6" t="s">
        <v>1009</v>
      </c>
      <c r="H378" s="6" t="s">
        <v>1656</v>
      </c>
      <c r="I378" s="6" t="s">
        <v>206</v>
      </c>
      <c r="J378" s="34" t="s">
        <v>2104</v>
      </c>
      <c r="K378" s="6">
        <v>954573441</v>
      </c>
      <c r="L378" s="6" t="s">
        <v>90</v>
      </c>
      <c r="M378" s="6" t="s">
        <v>176</v>
      </c>
      <c r="N378" s="6">
        <v>63.8</v>
      </c>
      <c r="O378" s="6" t="s">
        <v>11</v>
      </c>
    </row>
    <row r="379" spans="1:15" x14ac:dyDescent="0.25">
      <c r="A379" s="4">
        <v>378</v>
      </c>
      <c r="B379" s="33" t="s">
        <v>1719</v>
      </c>
      <c r="C379" s="6">
        <v>72931068</v>
      </c>
      <c r="D379" s="6" t="s">
        <v>207</v>
      </c>
      <c r="E379" s="6" t="s">
        <v>2097</v>
      </c>
      <c r="F379" s="6" t="s">
        <v>1294</v>
      </c>
      <c r="G379" s="6" t="s">
        <v>927</v>
      </c>
      <c r="H379" s="6" t="s">
        <v>1657</v>
      </c>
      <c r="I379" s="6" t="s">
        <v>208</v>
      </c>
      <c r="J379" s="34" t="s">
        <v>2104</v>
      </c>
      <c r="K379" s="6">
        <v>943747988</v>
      </c>
      <c r="L379" s="6" t="s">
        <v>90</v>
      </c>
      <c r="M379" s="6" t="s">
        <v>176</v>
      </c>
      <c r="N379" s="6">
        <v>62.3</v>
      </c>
      <c r="O379" s="6" t="s">
        <v>11</v>
      </c>
    </row>
    <row r="380" spans="1:15" x14ac:dyDescent="0.25">
      <c r="A380" s="4">
        <v>379</v>
      </c>
      <c r="B380" s="33" t="s">
        <v>1719</v>
      </c>
      <c r="C380" s="6">
        <v>47366638</v>
      </c>
      <c r="D380" s="6" t="s">
        <v>209</v>
      </c>
      <c r="E380" s="6" t="s">
        <v>2098</v>
      </c>
      <c r="F380" s="6" t="s">
        <v>1230</v>
      </c>
      <c r="G380" s="6" t="s">
        <v>1295</v>
      </c>
      <c r="H380" s="6" t="s">
        <v>1658</v>
      </c>
      <c r="I380" s="6" t="s">
        <v>210</v>
      </c>
      <c r="J380" s="34" t="s">
        <v>2104</v>
      </c>
      <c r="K380" s="6">
        <v>949255581</v>
      </c>
      <c r="L380" s="6" t="s">
        <v>90</v>
      </c>
      <c r="M380" s="6" t="s">
        <v>176</v>
      </c>
      <c r="N380" s="6">
        <v>61.5</v>
      </c>
      <c r="O380" s="6" t="s">
        <v>11</v>
      </c>
    </row>
    <row r="381" spans="1:15" x14ac:dyDescent="0.25">
      <c r="A381" s="4">
        <v>380</v>
      </c>
      <c r="B381" s="33" t="s">
        <v>1719</v>
      </c>
      <c r="C381" s="6">
        <v>70040696</v>
      </c>
      <c r="D381" s="6" t="s">
        <v>211</v>
      </c>
      <c r="E381" s="6" t="s">
        <v>2099</v>
      </c>
      <c r="F381" s="6" t="s">
        <v>1298</v>
      </c>
      <c r="G381" s="6" t="s">
        <v>1296</v>
      </c>
      <c r="H381" s="6" t="s">
        <v>1659</v>
      </c>
      <c r="I381" s="6" t="s">
        <v>212</v>
      </c>
      <c r="J381" s="34" t="s">
        <v>2104</v>
      </c>
      <c r="K381" s="6">
        <v>976125167</v>
      </c>
      <c r="L381" s="6" t="s">
        <v>90</v>
      </c>
      <c r="M381" s="6" t="s">
        <v>176</v>
      </c>
      <c r="N381" s="6">
        <v>61</v>
      </c>
      <c r="O381" s="6" t="s">
        <v>11</v>
      </c>
    </row>
    <row r="382" spans="1:15" x14ac:dyDescent="0.25">
      <c r="A382" s="4">
        <v>381</v>
      </c>
      <c r="B382" s="33" t="s">
        <v>1719</v>
      </c>
      <c r="C382" s="6">
        <v>47368239</v>
      </c>
      <c r="D382" s="6" t="s">
        <v>213</v>
      </c>
      <c r="E382" s="6" t="s">
        <v>2100</v>
      </c>
      <c r="F382" s="6" t="s">
        <v>887</v>
      </c>
      <c r="G382" s="6" t="s">
        <v>943</v>
      </c>
      <c r="H382" s="6" t="s">
        <v>1660</v>
      </c>
      <c r="I382" s="6" t="s">
        <v>214</v>
      </c>
      <c r="J382" s="34" t="s">
        <v>2104</v>
      </c>
      <c r="K382" s="6">
        <v>994149180</v>
      </c>
      <c r="L382" s="6" t="s">
        <v>90</v>
      </c>
      <c r="M382" s="6" t="s">
        <v>176</v>
      </c>
      <c r="N382" s="6">
        <v>60.7</v>
      </c>
      <c r="O382" s="6" t="s">
        <v>11</v>
      </c>
    </row>
    <row r="383" spans="1:15" x14ac:dyDescent="0.25">
      <c r="A383" s="4">
        <v>382</v>
      </c>
      <c r="B383" s="33" t="s">
        <v>1719</v>
      </c>
      <c r="C383" s="6">
        <v>75765882</v>
      </c>
      <c r="D383" s="6" t="s">
        <v>215</v>
      </c>
      <c r="E383" s="6" t="s">
        <v>2101</v>
      </c>
      <c r="F383" s="6" t="s">
        <v>1005</v>
      </c>
      <c r="G383" s="6" t="s">
        <v>1297</v>
      </c>
      <c r="H383" s="6" t="s">
        <v>1661</v>
      </c>
      <c r="I383" s="6" t="s">
        <v>216</v>
      </c>
      <c r="J383" s="34" t="s">
        <v>2104</v>
      </c>
      <c r="K383" s="6">
        <v>930162153</v>
      </c>
      <c r="L383" s="6" t="s">
        <v>90</v>
      </c>
      <c r="M383" s="6" t="s">
        <v>176</v>
      </c>
      <c r="N383" s="6">
        <v>58.7</v>
      </c>
      <c r="O383" s="6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2DCCF-26C8-4F7C-A2AB-BC5FDBFE0F96}">
  <dimension ref="A1:BG383"/>
  <sheetViews>
    <sheetView topLeftCell="F1" workbookViewId="0">
      <selection activeCell="Q14" sqref="Q14"/>
    </sheetView>
  </sheetViews>
  <sheetFormatPr baseColWidth="10" defaultRowHeight="15" x14ac:dyDescent="0.25"/>
  <cols>
    <col min="1" max="1" width="5.7109375" bestFit="1" customWidth="1"/>
    <col min="2" max="2" width="4.85546875" bestFit="1" customWidth="1"/>
    <col min="3" max="3" width="48.5703125" bestFit="1" customWidth="1"/>
    <col min="4" max="4" width="11.5703125" bestFit="1" customWidth="1"/>
    <col min="5" max="5" width="44" bestFit="1" customWidth="1"/>
    <col min="6" max="6" width="9" bestFit="1" customWidth="1"/>
    <col min="7" max="7" width="10" bestFit="1" customWidth="1"/>
    <col min="8" max="8" width="93.5703125" bestFit="1" customWidth="1"/>
    <col min="9" max="9" width="15.7109375" bestFit="1" customWidth="1"/>
    <col min="10" max="10" width="22.140625" bestFit="1" customWidth="1"/>
    <col min="11" max="11" width="30.140625" bestFit="1" customWidth="1"/>
    <col min="12" max="12" width="6" bestFit="1" customWidth="1"/>
    <col min="13" max="13" width="9.28515625" bestFit="1" customWidth="1"/>
    <col min="14" max="14" width="7.140625" bestFit="1" customWidth="1"/>
    <col min="15" max="15" width="11.85546875" bestFit="1" customWidth="1"/>
    <col min="16" max="16" width="6" bestFit="1" customWidth="1"/>
    <col min="17" max="17" width="10.140625" bestFit="1" customWidth="1"/>
    <col min="18" max="18" width="8.5703125" bestFit="1" customWidth="1"/>
    <col min="19" max="19" width="10.5703125" bestFit="1" customWidth="1"/>
    <col min="20" max="20" width="8.85546875" bestFit="1" customWidth="1"/>
    <col min="21" max="21" width="9.85546875" bestFit="1" customWidth="1"/>
    <col min="22" max="22" width="5.42578125" bestFit="1" customWidth="1"/>
    <col min="23" max="23" width="14.7109375" bestFit="1" customWidth="1"/>
    <col min="24" max="24" width="9.85546875" bestFit="1" customWidth="1"/>
    <col min="26" max="26" width="13.5703125" bestFit="1" customWidth="1"/>
    <col min="27" max="27" width="18.5703125" bestFit="1" customWidth="1"/>
    <col min="28" max="28" width="16.140625" bestFit="1" customWidth="1"/>
    <col min="29" max="29" width="10.140625" bestFit="1" customWidth="1"/>
    <col min="30" max="30" width="12.85546875" customWidth="1"/>
    <col min="31" max="31" width="14.42578125" customWidth="1"/>
    <col min="32" max="32" width="17" customWidth="1"/>
    <col min="33" max="33" width="19.28515625" bestFit="1" customWidth="1"/>
    <col min="34" max="34" width="14.140625" bestFit="1" customWidth="1"/>
    <col min="35" max="35" width="18" bestFit="1" customWidth="1"/>
    <col min="36" max="36" width="12.28515625" bestFit="1" customWidth="1"/>
    <col min="37" max="37" width="12.140625" bestFit="1" customWidth="1"/>
    <col min="38" max="38" width="9" bestFit="1" customWidth="1"/>
    <col min="39" max="39" width="19.28515625" bestFit="1" customWidth="1"/>
    <col min="40" max="40" width="22.28515625" bestFit="1" customWidth="1"/>
    <col min="41" max="41" width="19.85546875" bestFit="1" customWidth="1"/>
    <col min="42" max="42" width="22.85546875" bestFit="1" customWidth="1"/>
    <col min="43" max="43" width="18.85546875" bestFit="1" customWidth="1"/>
    <col min="44" max="44" width="15.42578125" bestFit="1" customWidth="1"/>
    <col min="45" max="45" width="15.5703125" bestFit="1" customWidth="1"/>
    <col min="46" max="46" width="9.5703125" bestFit="1" customWidth="1"/>
    <col min="47" max="47" width="25.7109375" bestFit="1" customWidth="1"/>
    <col min="48" max="48" width="17.28515625" bestFit="1" customWidth="1"/>
    <col min="49" max="49" width="18.85546875" bestFit="1" customWidth="1"/>
    <col min="50" max="50" width="23.7109375" bestFit="1" customWidth="1"/>
    <col min="51" max="51" width="8" bestFit="1" customWidth="1"/>
    <col min="52" max="52" width="10.42578125" bestFit="1" customWidth="1"/>
    <col min="53" max="53" width="20.140625" bestFit="1" customWidth="1"/>
    <col min="54" max="54" width="10.42578125" bestFit="1" customWidth="1"/>
    <col min="55" max="55" width="20" bestFit="1" customWidth="1"/>
    <col min="56" max="56" width="11.5703125" bestFit="1" customWidth="1"/>
    <col min="57" max="57" width="16.28515625" bestFit="1" customWidth="1"/>
    <col min="58" max="58" width="16.140625" bestFit="1" customWidth="1"/>
    <col min="59" max="59" width="17.5703125" bestFit="1" customWidth="1"/>
  </cols>
  <sheetData>
    <row r="1" spans="1:59" s="35" customFormat="1" x14ac:dyDescent="0.25">
      <c r="A1" s="35" t="s">
        <v>1662</v>
      </c>
      <c r="B1" s="35" t="s">
        <v>1663</v>
      </c>
      <c r="C1" s="35" t="s">
        <v>1664</v>
      </c>
      <c r="D1" s="35" t="s">
        <v>1665</v>
      </c>
      <c r="E1" s="35" t="s">
        <v>1666</v>
      </c>
      <c r="F1" s="35" t="s">
        <v>1667</v>
      </c>
      <c r="G1" s="35" t="s">
        <v>1668</v>
      </c>
      <c r="H1" s="35" t="s">
        <v>1669</v>
      </c>
      <c r="I1" s="35" t="s">
        <v>1670</v>
      </c>
      <c r="J1" s="35" t="s">
        <v>1671</v>
      </c>
      <c r="K1" s="35" t="s">
        <v>1672</v>
      </c>
      <c r="L1" s="35" t="s">
        <v>1673</v>
      </c>
      <c r="M1" s="35" t="s">
        <v>1674</v>
      </c>
      <c r="N1" s="35" t="s">
        <v>1675</v>
      </c>
      <c r="O1" s="35" t="s">
        <v>1676</v>
      </c>
      <c r="P1" s="35" t="s">
        <v>1677</v>
      </c>
      <c r="Q1" s="35" t="s">
        <v>1678</v>
      </c>
      <c r="R1" s="35" t="s">
        <v>1679</v>
      </c>
      <c r="S1" s="35" t="s">
        <v>1680</v>
      </c>
      <c r="T1" s="35" t="s">
        <v>1681</v>
      </c>
      <c r="U1" s="35" t="s">
        <v>1682</v>
      </c>
      <c r="V1" s="35" t="s">
        <v>1683</v>
      </c>
      <c r="W1" s="35" t="s">
        <v>1684</v>
      </c>
      <c r="X1" s="35" t="s">
        <v>1685</v>
      </c>
      <c r="Y1" s="35" t="s">
        <v>1686</v>
      </c>
      <c r="Z1" s="35" t="s">
        <v>1687</v>
      </c>
      <c r="AA1" s="35" t="s">
        <v>1688</v>
      </c>
      <c r="AB1" s="35" t="s">
        <v>1689</v>
      </c>
      <c r="AC1" s="35" t="s">
        <v>1690</v>
      </c>
      <c r="AD1" s="35" t="s">
        <v>1691</v>
      </c>
      <c r="AE1" s="35" t="s">
        <v>1692</v>
      </c>
      <c r="AF1" s="35" t="s">
        <v>1693</v>
      </c>
      <c r="AG1" s="35" t="s">
        <v>1694</v>
      </c>
      <c r="AH1" s="35" t="s">
        <v>1695</v>
      </c>
      <c r="AI1" s="35" t="s">
        <v>1696</v>
      </c>
      <c r="AJ1" s="35" t="s">
        <v>1697</v>
      </c>
      <c r="AK1" s="35" t="s">
        <v>1698</v>
      </c>
      <c r="AL1" s="35" t="s">
        <v>0</v>
      </c>
      <c r="AM1" s="35" t="s">
        <v>1699</v>
      </c>
      <c r="AN1" s="35" t="s">
        <v>1700</v>
      </c>
      <c r="AO1" s="35" t="s">
        <v>1701</v>
      </c>
      <c r="AP1" s="35" t="s">
        <v>1702</v>
      </c>
      <c r="AQ1" s="35" t="s">
        <v>1703</v>
      </c>
      <c r="AR1" s="35" t="s">
        <v>1704</v>
      </c>
      <c r="AS1" s="35" t="s">
        <v>1705</v>
      </c>
      <c r="AT1" s="35" t="s">
        <v>1706</v>
      </c>
      <c r="AU1" s="35" t="s">
        <v>1707</v>
      </c>
      <c r="AV1" s="35" t="s">
        <v>1708</v>
      </c>
      <c r="AW1" s="35" t="s">
        <v>1709</v>
      </c>
      <c r="AX1" s="35" t="s">
        <v>1710</v>
      </c>
      <c r="AY1" s="35" t="s">
        <v>1711</v>
      </c>
      <c r="AZ1" s="35" t="s">
        <v>1712</v>
      </c>
      <c r="BA1" s="35" t="s">
        <v>1713</v>
      </c>
      <c r="BB1" s="35" t="s">
        <v>1714</v>
      </c>
      <c r="BC1" s="35" t="s">
        <v>1715</v>
      </c>
      <c r="BD1" s="35" t="s">
        <v>1716</v>
      </c>
      <c r="BE1" s="35" t="s">
        <v>1717</v>
      </c>
      <c r="BF1" s="35" t="s">
        <v>2108</v>
      </c>
      <c r="BG1" s="35" t="s">
        <v>2109</v>
      </c>
    </row>
    <row r="2" spans="1:59" x14ac:dyDescent="0.25">
      <c r="A2" s="4">
        <v>1</v>
      </c>
      <c r="B2" s="33" t="s">
        <v>1719</v>
      </c>
      <c r="C2" s="4" t="s">
        <v>1720</v>
      </c>
      <c r="D2" s="53" t="s">
        <v>4523</v>
      </c>
      <c r="E2" s="4" t="s">
        <v>134</v>
      </c>
      <c r="F2" s="36" t="s">
        <v>1718</v>
      </c>
      <c r="G2" s="4">
        <v>955850651</v>
      </c>
      <c r="H2" t="str">
        <f>VLOOKUP(D2,DATA_SISTEMA!$A$1:$Q$506,13,FALSE)</f>
        <v>ANEXO CRUCE LAS CANTERAS S/N</v>
      </c>
      <c r="I2" t="str">
        <f>VLOOKUP(D2,DATA_SISTEMA!$A$1:$Q$506,7,FALSE)</f>
        <v>1999-02-25</v>
      </c>
      <c r="J2" s="32" t="s">
        <v>1718</v>
      </c>
      <c r="K2" s="32" t="s">
        <v>1718</v>
      </c>
      <c r="L2" s="32" t="s">
        <v>1718</v>
      </c>
      <c r="M2">
        <v>74</v>
      </c>
      <c r="N2">
        <v>0</v>
      </c>
      <c r="O2" s="32" t="str">
        <f>_xlfn.CONCAT(A2,"0020261X")</f>
        <v>10020261X</v>
      </c>
      <c r="P2" s="32" t="s">
        <v>1718</v>
      </c>
      <c r="Q2" s="32" t="s">
        <v>1718</v>
      </c>
      <c r="R2" s="32" t="s">
        <v>2110</v>
      </c>
      <c r="S2" s="32" t="s">
        <v>5029</v>
      </c>
      <c r="T2" t="str">
        <f>VLOOKUP(D2,DATA_SISTEMA!$A$1:$Q$506,9,FALSE)</f>
        <v>M</v>
      </c>
      <c r="U2" s="32" t="s">
        <v>2106</v>
      </c>
      <c r="V2" s="32" t="s">
        <v>1718</v>
      </c>
      <c r="W2" s="37" t="s">
        <v>5028</v>
      </c>
      <c r="X2" s="32" t="s">
        <v>4522</v>
      </c>
      <c r="Y2" s="32" t="s">
        <v>1718</v>
      </c>
      <c r="Z2" s="32" t="s">
        <v>1718</v>
      </c>
      <c r="AA2" s="32" t="s">
        <v>5028</v>
      </c>
      <c r="AB2" s="32" t="s">
        <v>1718</v>
      </c>
      <c r="AC2" s="32" t="s">
        <v>1718</v>
      </c>
      <c r="AD2" s="32" t="s">
        <v>1718</v>
      </c>
      <c r="AE2" s="32" t="s">
        <v>1718</v>
      </c>
      <c r="AF2" s="32" t="s">
        <v>1718</v>
      </c>
      <c r="AG2" s="32" t="s">
        <v>1718</v>
      </c>
      <c r="AH2" s="32" t="s">
        <v>2107</v>
      </c>
      <c r="AI2" s="4" t="s">
        <v>1301</v>
      </c>
      <c r="AJ2" s="4" t="s">
        <v>857</v>
      </c>
      <c r="AK2" s="4" t="s">
        <v>858</v>
      </c>
      <c r="AL2" s="4">
        <v>75363208</v>
      </c>
      <c r="AM2" t="s">
        <v>1718</v>
      </c>
      <c r="AN2" t="s">
        <v>1718</v>
      </c>
      <c r="AO2" t="s">
        <v>1718</v>
      </c>
      <c r="AP2" t="s">
        <v>1718</v>
      </c>
      <c r="AQ2" t="s">
        <v>1718</v>
      </c>
      <c r="AR2" t="s">
        <v>1718</v>
      </c>
      <c r="AS2" t="s">
        <v>1718</v>
      </c>
      <c r="AT2" t="s">
        <v>1718</v>
      </c>
      <c r="AU2" t="s">
        <v>1718</v>
      </c>
      <c r="AV2" t="str">
        <f>VLOOKUP(D2,DATA_SISTEMA!$A$1:$Q$506,12,FALSE)</f>
        <v>PATAPO</v>
      </c>
      <c r="AW2" t="str">
        <f>VLOOKUP(D2,DATA_SISTEMA!$A$1:$Q$506,11,FALSE)</f>
        <v>CHICLAYO</v>
      </c>
      <c r="AX2" t="str">
        <f>VLOOKUP(D2,DATA_SISTEMA!$A$1:$Q$506,10,FALSE)</f>
        <v>LAMBAYEQUE</v>
      </c>
      <c r="AY2" t="s">
        <v>1718</v>
      </c>
      <c r="AZ2" t="s">
        <v>5028</v>
      </c>
      <c r="BA2" t="s">
        <v>1718</v>
      </c>
      <c r="BB2" t="s">
        <v>5028</v>
      </c>
      <c r="BC2" t="s">
        <v>1718</v>
      </c>
      <c r="BD2" t="s">
        <v>5028</v>
      </c>
      <c r="BE2" t="s">
        <v>1718</v>
      </c>
      <c r="BF2" s="34" t="s">
        <v>2104</v>
      </c>
      <c r="BG2" s="4">
        <v>80.5</v>
      </c>
    </row>
    <row r="3" spans="1:59" x14ac:dyDescent="0.25">
      <c r="A3" s="4">
        <v>2</v>
      </c>
      <c r="B3" s="33" t="s">
        <v>1719</v>
      </c>
      <c r="C3" s="4" t="s">
        <v>1721</v>
      </c>
      <c r="D3" s="39" t="s">
        <v>4525</v>
      </c>
      <c r="E3" s="4" t="s">
        <v>137</v>
      </c>
      <c r="F3" s="36" t="s">
        <v>1718</v>
      </c>
      <c r="G3" s="4">
        <v>926186587</v>
      </c>
      <c r="H3" t="str">
        <f>VLOOKUP(D3,DATA_SISTEMA!$A$1:$Q$506,13,FALSE)</f>
        <v>MZ -B  LOTE  11</v>
      </c>
      <c r="I3" t="str">
        <f>VLOOKUP(D3,DATA_SISTEMA!$A$1:$Q$506,7,FALSE)</f>
        <v>1986-12-06</v>
      </c>
      <c r="J3" s="32" t="s">
        <v>1718</v>
      </c>
      <c r="K3" s="32" t="s">
        <v>1718</v>
      </c>
      <c r="L3" s="32" t="s">
        <v>1718</v>
      </c>
      <c r="M3">
        <v>74</v>
      </c>
      <c r="N3">
        <v>0</v>
      </c>
      <c r="O3" s="32" t="str">
        <f t="shared" ref="O3:O66" si="0">_xlfn.CONCAT(A3,"0020261X")</f>
        <v>20020261X</v>
      </c>
      <c r="P3" s="32" t="s">
        <v>1718</v>
      </c>
      <c r="Q3" s="32" t="s">
        <v>1718</v>
      </c>
      <c r="R3" s="32" t="s">
        <v>2110</v>
      </c>
      <c r="S3" s="32" t="s">
        <v>5029</v>
      </c>
      <c r="T3" t="str">
        <f>VLOOKUP(D3,DATA_SISTEMA!$A$1:$Q$506,9,FALSE)</f>
        <v>M</v>
      </c>
      <c r="U3" s="32" t="s">
        <v>2106</v>
      </c>
      <c r="V3" s="32" t="s">
        <v>1718</v>
      </c>
      <c r="W3" s="37" t="s">
        <v>5028</v>
      </c>
      <c r="X3" s="32" t="s">
        <v>4522</v>
      </c>
      <c r="Y3" s="32" t="s">
        <v>1718</v>
      </c>
      <c r="Z3" s="32" t="s">
        <v>1718</v>
      </c>
      <c r="AA3" s="32" t="s">
        <v>5028</v>
      </c>
      <c r="AB3" s="32" t="s">
        <v>1718</v>
      </c>
      <c r="AC3" s="32" t="s">
        <v>1718</v>
      </c>
      <c r="AD3" s="32" t="s">
        <v>1718</v>
      </c>
      <c r="AE3" s="32" t="s">
        <v>1718</v>
      </c>
      <c r="AF3" s="32" t="s">
        <v>1718</v>
      </c>
      <c r="AG3" s="32" t="s">
        <v>1718</v>
      </c>
      <c r="AH3" s="32" t="s">
        <v>2107</v>
      </c>
      <c r="AI3" s="4" t="s">
        <v>1302</v>
      </c>
      <c r="AJ3" s="4" t="s">
        <v>859</v>
      </c>
      <c r="AK3" s="4" t="s">
        <v>860</v>
      </c>
      <c r="AL3" s="4">
        <v>44666269</v>
      </c>
      <c r="AM3" t="s">
        <v>1718</v>
      </c>
      <c r="AN3" t="s">
        <v>1718</v>
      </c>
      <c r="AO3" t="s">
        <v>1718</v>
      </c>
      <c r="AP3" t="s">
        <v>1718</v>
      </c>
      <c r="AQ3" t="s">
        <v>1718</v>
      </c>
      <c r="AR3" t="s">
        <v>1718</v>
      </c>
      <c r="AS3" t="s">
        <v>1718</v>
      </c>
      <c r="AT3" t="s">
        <v>1718</v>
      </c>
      <c r="AU3" t="s">
        <v>1718</v>
      </c>
      <c r="AV3" t="str">
        <f>VLOOKUP(D3,DATA_SISTEMA!$A$1:$Q$506,12,FALSE)</f>
        <v>CASTILLA</v>
      </c>
      <c r="AW3" t="str">
        <f>VLOOKUP(D3,DATA_SISTEMA!$A$1:$Q$506,11,FALSE)</f>
        <v>PIURA</v>
      </c>
      <c r="AX3" t="str">
        <f>VLOOKUP(D3,DATA_SISTEMA!$A$1:$Q$506,10,FALSE)</f>
        <v>PIURA</v>
      </c>
      <c r="AY3" t="s">
        <v>1718</v>
      </c>
      <c r="AZ3" t="s">
        <v>5028</v>
      </c>
      <c r="BA3" t="s">
        <v>1718</v>
      </c>
      <c r="BB3" t="s">
        <v>5028</v>
      </c>
      <c r="BC3" t="s">
        <v>1718</v>
      </c>
      <c r="BD3" t="s">
        <v>5028</v>
      </c>
      <c r="BE3" t="s">
        <v>1718</v>
      </c>
      <c r="BF3" s="34" t="s">
        <v>2104</v>
      </c>
      <c r="BG3" s="4">
        <v>74.5</v>
      </c>
    </row>
    <row r="4" spans="1:59" x14ac:dyDescent="0.25">
      <c r="A4" s="4">
        <v>3</v>
      </c>
      <c r="B4" s="33" t="s">
        <v>1719</v>
      </c>
      <c r="C4" s="4" t="s">
        <v>1722</v>
      </c>
      <c r="D4" s="53" t="s">
        <v>4524</v>
      </c>
      <c r="E4" s="4" t="s">
        <v>139</v>
      </c>
      <c r="F4" s="36" t="s">
        <v>1718</v>
      </c>
      <c r="G4" s="4">
        <v>968750910</v>
      </c>
      <c r="H4" t="str">
        <f>VLOOKUP(D4,DATA_SISTEMA!$A$1:$Q$506,13,FALSE)</f>
        <v>BLOCK 18 MZ. LT. 6B</v>
      </c>
      <c r="I4" t="str">
        <f>VLOOKUP(D4,DATA_SISTEMA!$A$1:$Q$506,7,FALSE)</f>
        <v>1999-08-13</v>
      </c>
      <c r="J4" s="32" t="s">
        <v>1718</v>
      </c>
      <c r="K4" s="32" t="s">
        <v>1718</v>
      </c>
      <c r="L4" s="32" t="s">
        <v>1718</v>
      </c>
      <c r="M4">
        <v>74</v>
      </c>
      <c r="N4">
        <v>0</v>
      </c>
      <c r="O4" s="32" t="str">
        <f t="shared" si="0"/>
        <v>30020261X</v>
      </c>
      <c r="P4" s="32" t="s">
        <v>1718</v>
      </c>
      <c r="Q4" s="32" t="s">
        <v>1718</v>
      </c>
      <c r="R4" s="32" t="s">
        <v>2110</v>
      </c>
      <c r="S4" s="32" t="s">
        <v>5029</v>
      </c>
      <c r="T4" t="str">
        <f>VLOOKUP(D4,DATA_SISTEMA!$A$1:$Q$506,9,FALSE)</f>
        <v>M</v>
      </c>
      <c r="U4" s="32" t="s">
        <v>2106</v>
      </c>
      <c r="V4" s="32" t="s">
        <v>1718</v>
      </c>
      <c r="W4" s="37" t="s">
        <v>5028</v>
      </c>
      <c r="X4" s="32" t="s">
        <v>4522</v>
      </c>
      <c r="Y4" s="32" t="s">
        <v>1718</v>
      </c>
      <c r="Z4" s="32" t="s">
        <v>1718</v>
      </c>
      <c r="AA4" s="32" t="s">
        <v>5028</v>
      </c>
      <c r="AB4" s="32" t="s">
        <v>1718</v>
      </c>
      <c r="AC4" s="32" t="s">
        <v>1718</v>
      </c>
      <c r="AD4" s="32" t="s">
        <v>1718</v>
      </c>
      <c r="AE4" s="32" t="s">
        <v>1718</v>
      </c>
      <c r="AF4" s="32" t="s">
        <v>1718</v>
      </c>
      <c r="AG4" s="32" t="s">
        <v>1718</v>
      </c>
      <c r="AH4" s="32" t="s">
        <v>2107</v>
      </c>
      <c r="AI4" s="4" t="s">
        <v>1303</v>
      </c>
      <c r="AJ4" s="4" t="s">
        <v>861</v>
      </c>
      <c r="AK4" s="4" t="s">
        <v>862</v>
      </c>
      <c r="AL4" s="4">
        <v>71491689</v>
      </c>
      <c r="AM4" t="s">
        <v>1718</v>
      </c>
      <c r="AN4" t="s">
        <v>1718</v>
      </c>
      <c r="AO4" t="s">
        <v>1718</v>
      </c>
      <c r="AP4" t="s">
        <v>1718</v>
      </c>
      <c r="AQ4" t="s">
        <v>1718</v>
      </c>
      <c r="AR4" t="s">
        <v>1718</v>
      </c>
      <c r="AS4" t="s">
        <v>1718</v>
      </c>
      <c r="AT4" t="s">
        <v>1718</v>
      </c>
      <c r="AU4" t="s">
        <v>1718</v>
      </c>
      <c r="AV4" t="str">
        <f>VLOOKUP(D4,DATA_SISTEMA!$A$1:$Q$506,12,FALSE)</f>
        <v>TUMAN</v>
      </c>
      <c r="AW4" t="str">
        <f>VLOOKUP(D4,DATA_SISTEMA!$A$1:$Q$506,11,FALSE)</f>
        <v>CHICLAYO</v>
      </c>
      <c r="AX4" t="str">
        <f>VLOOKUP(D4,DATA_SISTEMA!$A$1:$Q$506,10,FALSE)</f>
        <v>LAMBAYEQUE</v>
      </c>
      <c r="AY4" t="s">
        <v>1718</v>
      </c>
      <c r="AZ4" t="s">
        <v>5028</v>
      </c>
      <c r="BA4" t="s">
        <v>1718</v>
      </c>
      <c r="BB4" t="s">
        <v>5028</v>
      </c>
      <c r="BC4" t="s">
        <v>1718</v>
      </c>
      <c r="BD4" t="s">
        <v>5028</v>
      </c>
      <c r="BE4" t="s">
        <v>1718</v>
      </c>
      <c r="BF4" s="34" t="s">
        <v>2104</v>
      </c>
      <c r="BG4" s="4">
        <v>74</v>
      </c>
    </row>
    <row r="5" spans="1:59" x14ac:dyDescent="0.25">
      <c r="A5" s="4">
        <v>4</v>
      </c>
      <c r="B5" s="33" t="s">
        <v>1719</v>
      </c>
      <c r="C5" s="4" t="s">
        <v>1723</v>
      </c>
      <c r="D5" s="39" t="s">
        <v>4526</v>
      </c>
      <c r="E5" s="4" t="s">
        <v>141</v>
      </c>
      <c r="F5" s="36" t="s">
        <v>1718</v>
      </c>
      <c r="G5" s="4">
        <v>975609988</v>
      </c>
      <c r="H5" t="str">
        <f>VLOOKUP(D5,DATA_SISTEMA!$A$1:$Q$506,13,FALSE)</f>
        <v>JR. JOSÉ SALINAS N° 269 - CHOTA</v>
      </c>
      <c r="I5" t="str">
        <f>VLOOKUP(D5,DATA_SISTEMA!$A$1:$Q$506,7,FALSE)</f>
        <v>1999-02-10</v>
      </c>
      <c r="J5" s="32" t="s">
        <v>1718</v>
      </c>
      <c r="K5" s="32" t="s">
        <v>1718</v>
      </c>
      <c r="L5" s="32" t="s">
        <v>1718</v>
      </c>
      <c r="M5">
        <v>74</v>
      </c>
      <c r="N5">
        <v>0</v>
      </c>
      <c r="O5" s="32" t="str">
        <f t="shared" si="0"/>
        <v>40020261X</v>
      </c>
      <c r="P5" s="32" t="s">
        <v>1718</v>
      </c>
      <c r="Q5" s="32" t="s">
        <v>1718</v>
      </c>
      <c r="R5" s="32" t="s">
        <v>2110</v>
      </c>
      <c r="S5" s="32" t="s">
        <v>5029</v>
      </c>
      <c r="T5" t="str">
        <f>VLOOKUP(D5,DATA_SISTEMA!$A$1:$Q$506,9,FALSE)</f>
        <v>M</v>
      </c>
      <c r="U5" s="32" t="s">
        <v>2106</v>
      </c>
      <c r="V5" s="32" t="s">
        <v>1718</v>
      </c>
      <c r="W5" s="37" t="s">
        <v>5028</v>
      </c>
      <c r="X5" s="32" t="s">
        <v>4522</v>
      </c>
      <c r="Y5" s="32" t="s">
        <v>1718</v>
      </c>
      <c r="Z5" s="32" t="s">
        <v>1718</v>
      </c>
      <c r="AA5" s="32" t="s">
        <v>5028</v>
      </c>
      <c r="AB5" s="32" t="s">
        <v>1718</v>
      </c>
      <c r="AC5" s="32" t="s">
        <v>1718</v>
      </c>
      <c r="AD5" s="32" t="s">
        <v>1718</v>
      </c>
      <c r="AE5" s="32" t="s">
        <v>1718</v>
      </c>
      <c r="AF5" s="32" t="s">
        <v>1718</v>
      </c>
      <c r="AG5" s="32" t="s">
        <v>1718</v>
      </c>
      <c r="AH5" s="32" t="s">
        <v>2107</v>
      </c>
      <c r="AI5" s="4" t="s">
        <v>1304</v>
      </c>
      <c r="AJ5" s="4" t="s">
        <v>864</v>
      </c>
      <c r="AK5" s="4" t="s">
        <v>865</v>
      </c>
      <c r="AL5" s="4">
        <v>73462669</v>
      </c>
      <c r="AM5" t="s">
        <v>1718</v>
      </c>
      <c r="AN5" t="s">
        <v>1718</v>
      </c>
      <c r="AO5" t="s">
        <v>1718</v>
      </c>
      <c r="AP5" t="s">
        <v>1718</v>
      </c>
      <c r="AQ5" t="s">
        <v>1718</v>
      </c>
      <c r="AR5" t="s">
        <v>1718</v>
      </c>
      <c r="AS5" t="s">
        <v>1718</v>
      </c>
      <c r="AT5" t="s">
        <v>1718</v>
      </c>
      <c r="AU5" t="s">
        <v>1718</v>
      </c>
      <c r="AV5" t="str">
        <f>VLOOKUP(D5,DATA_SISTEMA!$A$1:$Q$506,12,FALSE)</f>
        <v>CHOTA</v>
      </c>
      <c r="AW5" t="str">
        <f>VLOOKUP(D5,DATA_SISTEMA!$A$1:$Q$506,11,FALSE)</f>
        <v xml:space="preserve">CHOTA </v>
      </c>
      <c r="AX5" t="str">
        <f>VLOOKUP(D5,DATA_SISTEMA!$A$1:$Q$506,10,FALSE)</f>
        <v>CAJAMARCA</v>
      </c>
      <c r="AY5" t="s">
        <v>1718</v>
      </c>
      <c r="AZ5" t="s">
        <v>5028</v>
      </c>
      <c r="BA5" t="s">
        <v>1718</v>
      </c>
      <c r="BB5" t="s">
        <v>5028</v>
      </c>
      <c r="BC5" t="s">
        <v>1718</v>
      </c>
      <c r="BD5" t="s">
        <v>5028</v>
      </c>
      <c r="BE5" t="s">
        <v>1718</v>
      </c>
      <c r="BF5" s="34" t="s">
        <v>2104</v>
      </c>
      <c r="BG5" s="4">
        <v>74</v>
      </c>
    </row>
    <row r="6" spans="1:59" x14ac:dyDescent="0.25">
      <c r="A6" s="4">
        <v>5</v>
      </c>
      <c r="B6" s="33" t="s">
        <v>1719</v>
      </c>
      <c r="C6" s="4" t="s">
        <v>1724</v>
      </c>
      <c r="D6" s="39" t="s">
        <v>4527</v>
      </c>
      <c r="E6" s="4" t="s">
        <v>143</v>
      </c>
      <c r="F6" s="36" t="s">
        <v>1718</v>
      </c>
      <c r="G6" s="4">
        <v>972026173</v>
      </c>
      <c r="H6" t="str">
        <f>VLOOKUP(D6,DATA_SISTEMA!$A$1:$Q$506,13,FALSE)</f>
        <v>ARENALES 638 DIEGO FERRE</v>
      </c>
      <c r="I6" t="str">
        <f>VLOOKUP(D6,DATA_SISTEMA!$A$1:$Q$506,7,FALSE)</f>
        <v>1996-01-03</v>
      </c>
      <c r="J6" s="32" t="s">
        <v>1718</v>
      </c>
      <c r="K6" s="32" t="s">
        <v>1718</v>
      </c>
      <c r="L6" s="32" t="s">
        <v>1718</v>
      </c>
      <c r="M6">
        <v>74</v>
      </c>
      <c r="N6">
        <v>0</v>
      </c>
      <c r="O6" s="32" t="str">
        <f t="shared" si="0"/>
        <v>50020261X</v>
      </c>
      <c r="P6" s="32" t="s">
        <v>1718</v>
      </c>
      <c r="Q6" s="32" t="s">
        <v>1718</v>
      </c>
      <c r="R6" s="32" t="s">
        <v>2110</v>
      </c>
      <c r="S6" s="32" t="s">
        <v>5029</v>
      </c>
      <c r="T6" t="str">
        <f>VLOOKUP(D6,DATA_SISTEMA!$A$1:$Q$506,9,FALSE)</f>
        <v>M</v>
      </c>
      <c r="U6" s="32" t="s">
        <v>2106</v>
      </c>
      <c r="V6" s="32" t="s">
        <v>1718</v>
      </c>
      <c r="W6" s="37" t="s">
        <v>5028</v>
      </c>
      <c r="X6" s="32" t="s">
        <v>4522</v>
      </c>
      <c r="Y6" s="32" t="s">
        <v>1718</v>
      </c>
      <c r="Z6" s="32" t="s">
        <v>1718</v>
      </c>
      <c r="AA6" s="32" t="s">
        <v>5028</v>
      </c>
      <c r="AB6" s="32" t="s">
        <v>1718</v>
      </c>
      <c r="AC6" s="32" t="s">
        <v>1718</v>
      </c>
      <c r="AD6" s="32" t="s">
        <v>1718</v>
      </c>
      <c r="AE6" s="32" t="s">
        <v>1718</v>
      </c>
      <c r="AF6" s="32" t="s">
        <v>1718</v>
      </c>
      <c r="AG6" s="32" t="s">
        <v>1718</v>
      </c>
      <c r="AH6" s="32" t="s">
        <v>2107</v>
      </c>
      <c r="AI6" s="4" t="s">
        <v>1305</v>
      </c>
      <c r="AJ6" s="4" t="s">
        <v>866</v>
      </c>
      <c r="AK6" s="4" t="s">
        <v>867</v>
      </c>
      <c r="AL6" s="4">
        <v>71396806</v>
      </c>
      <c r="AM6" t="s">
        <v>1718</v>
      </c>
      <c r="AN6" t="s">
        <v>1718</v>
      </c>
      <c r="AO6" t="s">
        <v>1718</v>
      </c>
      <c r="AP6" t="s">
        <v>1718</v>
      </c>
      <c r="AQ6" t="s">
        <v>1718</v>
      </c>
      <c r="AR6" t="s">
        <v>1718</v>
      </c>
      <c r="AS6" t="s">
        <v>1718</v>
      </c>
      <c r="AT6" t="s">
        <v>1718</v>
      </c>
      <c r="AU6" t="s">
        <v>1718</v>
      </c>
      <c r="AV6" t="str">
        <f>VLOOKUP(D6,DATA_SISTEMA!$A$1:$Q$506,12,FALSE)</f>
        <v>CHICLAYO</v>
      </c>
      <c r="AW6" t="str">
        <f>VLOOKUP(D6,DATA_SISTEMA!$A$1:$Q$506,11,FALSE)</f>
        <v>CHICLAYO</v>
      </c>
      <c r="AX6" t="str">
        <f>VLOOKUP(D6,DATA_SISTEMA!$A$1:$Q$506,10,FALSE)</f>
        <v>LAMBAYEQUE</v>
      </c>
      <c r="AY6" t="s">
        <v>1718</v>
      </c>
      <c r="AZ6" t="s">
        <v>5028</v>
      </c>
      <c r="BA6" t="s">
        <v>1718</v>
      </c>
      <c r="BB6" t="s">
        <v>5028</v>
      </c>
      <c r="BC6" t="s">
        <v>1718</v>
      </c>
      <c r="BD6" t="s">
        <v>5028</v>
      </c>
      <c r="BE6" t="s">
        <v>1718</v>
      </c>
      <c r="BF6" s="34" t="s">
        <v>2104</v>
      </c>
      <c r="BG6" s="4">
        <v>73.5</v>
      </c>
    </row>
    <row r="7" spans="1:59" x14ac:dyDescent="0.25">
      <c r="A7" s="4">
        <v>6</v>
      </c>
      <c r="B7" s="33" t="s">
        <v>1719</v>
      </c>
      <c r="C7" s="4" t="s">
        <v>1725</v>
      </c>
      <c r="D7" s="39" t="s">
        <v>4528</v>
      </c>
      <c r="E7" s="4" t="s">
        <v>145</v>
      </c>
      <c r="F7" s="36" t="s">
        <v>1718</v>
      </c>
      <c r="G7" s="4">
        <v>939737207</v>
      </c>
      <c r="H7" t="str">
        <f>VLOOKUP(D7,DATA_SISTEMA!$A$1:$Q$506,13,FALSE)</f>
        <v>CA. WIRACOCHA N° 667-2DO PISO</v>
      </c>
      <c r="I7" t="str">
        <f>VLOOKUP(D7,DATA_SISTEMA!$A$1:$Q$506,7,FALSE)</f>
        <v>1985-06-05</v>
      </c>
      <c r="J7" s="32" t="s">
        <v>1718</v>
      </c>
      <c r="K7" s="32" t="s">
        <v>1718</v>
      </c>
      <c r="L7" s="32" t="s">
        <v>1718</v>
      </c>
      <c r="M7">
        <v>74</v>
      </c>
      <c r="N7">
        <v>0</v>
      </c>
      <c r="O7" s="32" t="str">
        <f t="shared" si="0"/>
        <v>60020261X</v>
      </c>
      <c r="P7" s="32" t="s">
        <v>1718</v>
      </c>
      <c r="Q7" s="32" t="s">
        <v>1718</v>
      </c>
      <c r="R7" s="32" t="s">
        <v>2110</v>
      </c>
      <c r="S7" s="32" t="s">
        <v>5029</v>
      </c>
      <c r="T7" t="str">
        <f>VLOOKUP(D7,DATA_SISTEMA!$A$1:$Q$506,9,FALSE)</f>
        <v>M</v>
      </c>
      <c r="U7" s="32" t="s">
        <v>2106</v>
      </c>
      <c r="V7" s="32" t="s">
        <v>1718</v>
      </c>
      <c r="W7" s="37" t="s">
        <v>5028</v>
      </c>
      <c r="X7" s="32" t="s">
        <v>4522</v>
      </c>
      <c r="Y7" s="32" t="s">
        <v>1718</v>
      </c>
      <c r="Z7" s="32" t="s">
        <v>1718</v>
      </c>
      <c r="AA7" s="32" t="s">
        <v>5028</v>
      </c>
      <c r="AB7" s="32" t="s">
        <v>1718</v>
      </c>
      <c r="AC7" s="32" t="s">
        <v>1718</v>
      </c>
      <c r="AD7" s="32" t="s">
        <v>1718</v>
      </c>
      <c r="AE7" s="32" t="s">
        <v>1718</v>
      </c>
      <c r="AF7" s="32" t="s">
        <v>1718</v>
      </c>
      <c r="AG7" s="32" t="s">
        <v>1718</v>
      </c>
      <c r="AH7" s="32" t="s">
        <v>2107</v>
      </c>
      <c r="AI7" s="4" t="s">
        <v>1306</v>
      </c>
      <c r="AJ7" s="4" t="s">
        <v>868</v>
      </c>
      <c r="AK7" s="4" t="s">
        <v>869</v>
      </c>
      <c r="AL7" s="4">
        <v>43111414</v>
      </c>
      <c r="AM7" t="s">
        <v>1718</v>
      </c>
      <c r="AN7" t="s">
        <v>1718</v>
      </c>
      <c r="AO7" t="s">
        <v>1718</v>
      </c>
      <c r="AP7" t="s">
        <v>1718</v>
      </c>
      <c r="AQ7" t="s">
        <v>1718</v>
      </c>
      <c r="AR7" t="s">
        <v>1718</v>
      </c>
      <c r="AS7" t="s">
        <v>1718</v>
      </c>
      <c r="AT7" t="s">
        <v>1718</v>
      </c>
      <c r="AU7" t="s">
        <v>1718</v>
      </c>
      <c r="AV7" t="str">
        <f>VLOOKUP(D7,DATA_SISTEMA!$A$1:$Q$506,12,FALSE)</f>
        <v>LA VICTORIA</v>
      </c>
      <c r="AW7" t="str">
        <f>VLOOKUP(D7,DATA_SISTEMA!$A$1:$Q$506,11,FALSE)</f>
        <v>CHICLAYO</v>
      </c>
      <c r="AX7" t="str">
        <f>VLOOKUP(D7,DATA_SISTEMA!$A$1:$Q$506,10,FALSE)</f>
        <v>LAMBAYEQUE</v>
      </c>
      <c r="AY7" t="s">
        <v>1718</v>
      </c>
      <c r="AZ7" t="s">
        <v>5028</v>
      </c>
      <c r="BA7" t="s">
        <v>1718</v>
      </c>
      <c r="BB7" t="s">
        <v>5028</v>
      </c>
      <c r="BC7" t="s">
        <v>1718</v>
      </c>
      <c r="BD7" t="s">
        <v>5028</v>
      </c>
      <c r="BE7" t="s">
        <v>1718</v>
      </c>
      <c r="BF7" s="34" t="s">
        <v>2104</v>
      </c>
      <c r="BG7" s="4">
        <v>72.5</v>
      </c>
    </row>
    <row r="8" spans="1:59" x14ac:dyDescent="0.25">
      <c r="A8" s="4">
        <v>7</v>
      </c>
      <c r="B8" s="33" t="s">
        <v>1719</v>
      </c>
      <c r="C8" s="4" t="s">
        <v>1726</v>
      </c>
      <c r="D8" s="39" t="s">
        <v>4529</v>
      </c>
      <c r="E8" s="4" t="s">
        <v>147</v>
      </c>
      <c r="F8" s="36" t="s">
        <v>1718</v>
      </c>
      <c r="G8" s="4">
        <v>990453660</v>
      </c>
      <c r="H8" t="str">
        <f>VLOOKUP(D8,DATA_SISTEMA!$A$1:$Q$506,13,FALSE)</f>
        <v>CALLE LOS PETALOS 299 - URB. CARLOS STEIN</v>
      </c>
      <c r="I8" t="str">
        <f>VLOOKUP(D8,DATA_SISTEMA!$A$1:$Q$506,7,FALSE)</f>
        <v>1995-07-13</v>
      </c>
      <c r="J8" s="32" t="s">
        <v>1718</v>
      </c>
      <c r="K8" s="32" t="s">
        <v>1718</v>
      </c>
      <c r="L8" s="32" t="s">
        <v>1718</v>
      </c>
      <c r="M8">
        <v>74</v>
      </c>
      <c r="N8">
        <v>0</v>
      </c>
      <c r="O8" s="32" t="str">
        <f t="shared" si="0"/>
        <v>70020261X</v>
      </c>
      <c r="P8" s="32" t="s">
        <v>1718</v>
      </c>
      <c r="Q8" s="32" t="s">
        <v>1718</v>
      </c>
      <c r="R8" s="32" t="s">
        <v>2110</v>
      </c>
      <c r="S8" s="32" t="s">
        <v>5029</v>
      </c>
      <c r="T8" t="str">
        <f>VLOOKUP(D8,DATA_SISTEMA!$A$1:$Q$506,9,FALSE)</f>
        <v>M</v>
      </c>
      <c r="U8" s="32" t="s">
        <v>2106</v>
      </c>
      <c r="V8" s="32" t="s">
        <v>1718</v>
      </c>
      <c r="W8" s="37" t="s">
        <v>5028</v>
      </c>
      <c r="X8" s="32" t="s">
        <v>4522</v>
      </c>
      <c r="Y8" s="32" t="s">
        <v>1718</v>
      </c>
      <c r="Z8" s="32" t="s">
        <v>1718</v>
      </c>
      <c r="AA8" s="32" t="s">
        <v>5028</v>
      </c>
      <c r="AB8" s="32" t="s">
        <v>1718</v>
      </c>
      <c r="AC8" s="32" t="s">
        <v>1718</v>
      </c>
      <c r="AD8" s="32" t="s">
        <v>1718</v>
      </c>
      <c r="AE8" s="32" t="s">
        <v>1718</v>
      </c>
      <c r="AF8" s="32" t="s">
        <v>1718</v>
      </c>
      <c r="AG8" s="32" t="s">
        <v>1718</v>
      </c>
      <c r="AH8" s="32" t="s">
        <v>2107</v>
      </c>
      <c r="AI8" s="4" t="s">
        <v>1307</v>
      </c>
      <c r="AJ8" s="4" t="s">
        <v>870</v>
      </c>
      <c r="AK8" s="4" t="s">
        <v>871</v>
      </c>
      <c r="AL8" s="4">
        <v>60258953</v>
      </c>
      <c r="AM8" t="s">
        <v>1718</v>
      </c>
      <c r="AN8" t="s">
        <v>1718</v>
      </c>
      <c r="AO8" t="s">
        <v>1718</v>
      </c>
      <c r="AP8" t="s">
        <v>1718</v>
      </c>
      <c r="AQ8" t="s">
        <v>1718</v>
      </c>
      <c r="AR8" t="s">
        <v>1718</v>
      </c>
      <c r="AS8" t="s">
        <v>1718</v>
      </c>
      <c r="AT8" t="s">
        <v>1718</v>
      </c>
      <c r="AU8" t="s">
        <v>1718</v>
      </c>
      <c r="AV8" t="str">
        <f>VLOOKUP(D8,DATA_SISTEMA!$A$1:$Q$506,12,FALSE)</f>
        <v>JOSE LEONARDO ORTIZ</v>
      </c>
      <c r="AW8" t="str">
        <f>VLOOKUP(D8,DATA_SISTEMA!$A$1:$Q$506,11,FALSE)</f>
        <v>CHICLAYO</v>
      </c>
      <c r="AX8" t="str">
        <f>VLOOKUP(D8,DATA_SISTEMA!$A$1:$Q$506,10,FALSE)</f>
        <v>LAMBAYEQUE</v>
      </c>
      <c r="AY8" t="s">
        <v>1718</v>
      </c>
      <c r="AZ8" t="s">
        <v>5028</v>
      </c>
      <c r="BA8" t="s">
        <v>1718</v>
      </c>
      <c r="BB8" t="s">
        <v>5028</v>
      </c>
      <c r="BC8" t="s">
        <v>1718</v>
      </c>
      <c r="BD8" t="s">
        <v>5028</v>
      </c>
      <c r="BE8" t="s">
        <v>1718</v>
      </c>
      <c r="BF8" s="34" t="s">
        <v>2104</v>
      </c>
      <c r="BG8" s="4">
        <v>72.5</v>
      </c>
    </row>
    <row r="9" spans="1:59" x14ac:dyDescent="0.25">
      <c r="A9" s="4">
        <v>8</v>
      </c>
      <c r="B9" s="33" t="s">
        <v>1719</v>
      </c>
      <c r="C9" s="4" t="s">
        <v>1727</v>
      </c>
      <c r="D9" s="39" t="s">
        <v>4530</v>
      </c>
      <c r="E9" s="4" t="s">
        <v>149</v>
      </c>
      <c r="F9" s="36" t="s">
        <v>1718</v>
      </c>
      <c r="G9" s="4">
        <v>963584802</v>
      </c>
      <c r="H9" t="str">
        <f>VLOOKUP(D9,DATA_SISTEMA!$A$1:$Q$506,13,FALSE)</f>
        <v>TUPAC AMARU #300 - P.J. SANTA ROSA</v>
      </c>
      <c r="I9" t="str">
        <f>VLOOKUP(D9,DATA_SISTEMA!$A$1:$Q$506,7,FALSE)</f>
        <v>1998-04-03</v>
      </c>
      <c r="J9" s="32" t="s">
        <v>1718</v>
      </c>
      <c r="K9" s="32" t="s">
        <v>1718</v>
      </c>
      <c r="L9" s="32" t="s">
        <v>1718</v>
      </c>
      <c r="M9">
        <v>74</v>
      </c>
      <c r="N9">
        <v>0</v>
      </c>
      <c r="O9" s="32" t="str">
        <f t="shared" si="0"/>
        <v>80020261X</v>
      </c>
      <c r="P9" s="32" t="s">
        <v>1718</v>
      </c>
      <c r="Q9" s="32" t="s">
        <v>1718</v>
      </c>
      <c r="R9" s="32" t="s">
        <v>2110</v>
      </c>
      <c r="S9" s="32" t="s">
        <v>5029</v>
      </c>
      <c r="T9" t="str">
        <f>VLOOKUP(D9,DATA_SISTEMA!$A$1:$Q$506,9,FALSE)</f>
        <v>M</v>
      </c>
      <c r="U9" s="32" t="s">
        <v>2106</v>
      </c>
      <c r="V9" s="32" t="s">
        <v>1718</v>
      </c>
      <c r="W9" s="37" t="s">
        <v>5028</v>
      </c>
      <c r="X9" s="32" t="s">
        <v>4522</v>
      </c>
      <c r="Y9" s="32" t="s">
        <v>1718</v>
      </c>
      <c r="Z9" s="32" t="s">
        <v>1718</v>
      </c>
      <c r="AA9" s="32" t="s">
        <v>5028</v>
      </c>
      <c r="AB9" s="32" t="s">
        <v>1718</v>
      </c>
      <c r="AC9" s="32" t="s">
        <v>1718</v>
      </c>
      <c r="AD9" s="32" t="s">
        <v>1718</v>
      </c>
      <c r="AE9" s="32" t="s">
        <v>1718</v>
      </c>
      <c r="AF9" s="32" t="s">
        <v>1718</v>
      </c>
      <c r="AG9" s="32" t="s">
        <v>1718</v>
      </c>
      <c r="AH9" s="32" t="s">
        <v>2107</v>
      </c>
      <c r="AI9" s="4" t="s">
        <v>1308</v>
      </c>
      <c r="AJ9" s="4" t="s">
        <v>872</v>
      </c>
      <c r="AK9" s="4" t="s">
        <v>873</v>
      </c>
      <c r="AL9" s="4">
        <v>73025102</v>
      </c>
      <c r="AM9" t="s">
        <v>1718</v>
      </c>
      <c r="AN9" t="s">
        <v>1718</v>
      </c>
      <c r="AO9" t="s">
        <v>1718</v>
      </c>
      <c r="AP9" t="s">
        <v>1718</v>
      </c>
      <c r="AQ9" t="s">
        <v>1718</v>
      </c>
      <c r="AR9" t="s">
        <v>1718</v>
      </c>
      <c r="AS9" t="s">
        <v>1718</v>
      </c>
      <c r="AT9" t="s">
        <v>1718</v>
      </c>
      <c r="AU9" t="s">
        <v>1718</v>
      </c>
      <c r="AV9" t="str">
        <f>VLOOKUP(D9,DATA_SISTEMA!$A$1:$Q$506,12,FALSE)</f>
        <v>LAMBAYEQUE</v>
      </c>
      <c r="AW9" t="str">
        <f>VLOOKUP(D9,DATA_SISTEMA!$A$1:$Q$506,11,FALSE)</f>
        <v>LAMBAYEQUE</v>
      </c>
      <c r="AX9" t="str">
        <f>VLOOKUP(D9,DATA_SISTEMA!$A$1:$Q$506,10,FALSE)</f>
        <v>LAMBAYEQUE</v>
      </c>
      <c r="AY9" t="s">
        <v>1718</v>
      </c>
      <c r="AZ9" t="s">
        <v>5028</v>
      </c>
      <c r="BA9" t="s">
        <v>1718</v>
      </c>
      <c r="BB9" t="s">
        <v>5028</v>
      </c>
      <c r="BC9" t="s">
        <v>1718</v>
      </c>
      <c r="BD9" t="s">
        <v>5028</v>
      </c>
      <c r="BE9" t="s">
        <v>1718</v>
      </c>
      <c r="BF9" s="34" t="s">
        <v>2104</v>
      </c>
      <c r="BG9" s="4">
        <v>72.5</v>
      </c>
    </row>
    <row r="10" spans="1:59" x14ac:dyDescent="0.25">
      <c r="A10" s="4">
        <v>9</v>
      </c>
      <c r="B10" s="33" t="s">
        <v>1719</v>
      </c>
      <c r="C10" s="4" t="s">
        <v>1728</v>
      </c>
      <c r="D10" s="39" t="s">
        <v>4531</v>
      </c>
      <c r="E10" s="4" t="s">
        <v>151</v>
      </c>
      <c r="F10" s="36" t="s">
        <v>1718</v>
      </c>
      <c r="G10" s="4">
        <v>941361826</v>
      </c>
      <c r="H10" t="str">
        <f>VLOOKUP(D10,DATA_SISTEMA!$A$1:$Q$506,13,FALSE)</f>
        <v>JR ALHUCEMAS 1718 COOP LAS FLORES DE PRIMAVERA</v>
      </c>
      <c r="I10" t="str">
        <f>VLOOKUP(D10,DATA_SISTEMA!$A$1:$Q$506,7,FALSE)</f>
        <v>1996-11-14</v>
      </c>
      <c r="J10" s="32" t="s">
        <v>1718</v>
      </c>
      <c r="K10" s="32" t="s">
        <v>1718</v>
      </c>
      <c r="L10" s="32" t="s">
        <v>1718</v>
      </c>
      <c r="M10">
        <v>74</v>
      </c>
      <c r="N10">
        <v>0</v>
      </c>
      <c r="O10" s="32" t="str">
        <f t="shared" si="0"/>
        <v>90020261X</v>
      </c>
      <c r="P10" s="32" t="s">
        <v>1718</v>
      </c>
      <c r="Q10" s="32" t="s">
        <v>1718</v>
      </c>
      <c r="R10" s="32" t="s">
        <v>2110</v>
      </c>
      <c r="S10" s="32" t="s">
        <v>5029</v>
      </c>
      <c r="T10" t="str">
        <f>VLOOKUP(D10,DATA_SISTEMA!$A$1:$Q$506,9,FALSE)</f>
        <v>M</v>
      </c>
      <c r="U10" s="32" t="s">
        <v>2106</v>
      </c>
      <c r="V10" s="32" t="s">
        <v>1718</v>
      </c>
      <c r="W10" s="37" t="s">
        <v>5028</v>
      </c>
      <c r="X10" s="32" t="s">
        <v>4522</v>
      </c>
      <c r="Y10" s="32" t="s">
        <v>1718</v>
      </c>
      <c r="Z10" s="32" t="s">
        <v>1718</v>
      </c>
      <c r="AA10" s="32" t="s">
        <v>5028</v>
      </c>
      <c r="AB10" s="32" t="s">
        <v>1718</v>
      </c>
      <c r="AC10" s="32" t="s">
        <v>1718</v>
      </c>
      <c r="AD10" s="32" t="s">
        <v>1718</v>
      </c>
      <c r="AE10" s="32" t="s">
        <v>1718</v>
      </c>
      <c r="AF10" s="32" t="s">
        <v>1718</v>
      </c>
      <c r="AG10" s="32" t="s">
        <v>1718</v>
      </c>
      <c r="AH10" s="32" t="s">
        <v>2107</v>
      </c>
      <c r="AI10" s="4" t="s">
        <v>1309</v>
      </c>
      <c r="AJ10" s="4" t="s">
        <v>874</v>
      </c>
      <c r="AK10" s="4" t="s">
        <v>875</v>
      </c>
      <c r="AL10" s="4">
        <v>75720372</v>
      </c>
      <c r="AM10" t="s">
        <v>1718</v>
      </c>
      <c r="AN10" t="s">
        <v>1718</v>
      </c>
      <c r="AO10" t="s">
        <v>1718</v>
      </c>
      <c r="AP10" t="s">
        <v>1718</v>
      </c>
      <c r="AQ10" t="s">
        <v>1718</v>
      </c>
      <c r="AR10" t="s">
        <v>1718</v>
      </c>
      <c r="AS10" t="s">
        <v>1718</v>
      </c>
      <c r="AT10" t="s">
        <v>1718</v>
      </c>
      <c r="AU10" t="s">
        <v>1718</v>
      </c>
      <c r="AV10" t="str">
        <f>VLOOKUP(D10,DATA_SISTEMA!$A$1:$Q$506,12,FALSE)</f>
        <v>SAN JUAN DE LURIGANCHO</v>
      </c>
      <c r="AW10" t="str">
        <f>VLOOKUP(D10,DATA_SISTEMA!$A$1:$Q$506,11,FALSE)</f>
        <v>LIMA</v>
      </c>
      <c r="AX10" t="str">
        <f>VLOOKUP(D10,DATA_SISTEMA!$A$1:$Q$506,10,FALSE)</f>
        <v>LIMA</v>
      </c>
      <c r="AY10" t="s">
        <v>1718</v>
      </c>
      <c r="AZ10" t="s">
        <v>5028</v>
      </c>
      <c r="BA10" t="s">
        <v>1718</v>
      </c>
      <c r="BB10" t="s">
        <v>5028</v>
      </c>
      <c r="BC10" t="s">
        <v>1718</v>
      </c>
      <c r="BD10" t="s">
        <v>5028</v>
      </c>
      <c r="BE10" t="s">
        <v>1718</v>
      </c>
      <c r="BF10" s="34" t="s">
        <v>2104</v>
      </c>
      <c r="BG10" s="4">
        <v>72</v>
      </c>
    </row>
    <row r="11" spans="1:59" x14ac:dyDescent="0.25">
      <c r="A11" s="4">
        <v>10</v>
      </c>
      <c r="B11" s="33" t="s">
        <v>1719</v>
      </c>
      <c r="C11" s="4" t="s">
        <v>1729</v>
      </c>
      <c r="D11" s="39" t="s">
        <v>4532</v>
      </c>
      <c r="E11" s="4" t="s">
        <v>153</v>
      </c>
      <c r="F11" s="36" t="s">
        <v>1718</v>
      </c>
      <c r="G11" s="4">
        <v>918313510</v>
      </c>
      <c r="H11" t="str">
        <f>VLOOKUP(D11,DATA_SISTEMA!$A$1:$Q$506,13,FALSE)</f>
        <v>CENTRO POBLADO EL CHORRO - S/N POMALCA</v>
      </c>
      <c r="I11" t="str">
        <f>VLOOKUP(D11,DATA_SISTEMA!$A$1:$Q$506,7,FALSE)</f>
        <v>1989-12-15</v>
      </c>
      <c r="J11" s="32" t="s">
        <v>1718</v>
      </c>
      <c r="K11" s="32" t="s">
        <v>1718</v>
      </c>
      <c r="L11" s="32" t="s">
        <v>1718</v>
      </c>
      <c r="M11">
        <v>74</v>
      </c>
      <c r="N11">
        <v>0</v>
      </c>
      <c r="O11" s="32" t="str">
        <f t="shared" si="0"/>
        <v>100020261X</v>
      </c>
      <c r="P11" s="32" t="s">
        <v>1718</v>
      </c>
      <c r="Q11" s="32" t="s">
        <v>1718</v>
      </c>
      <c r="R11" s="32" t="s">
        <v>2110</v>
      </c>
      <c r="S11" s="32" t="s">
        <v>5029</v>
      </c>
      <c r="T11" t="str">
        <f>VLOOKUP(D11,DATA_SISTEMA!$A$1:$Q$506,9,FALSE)</f>
        <v>M</v>
      </c>
      <c r="U11" s="32" t="s">
        <v>2106</v>
      </c>
      <c r="V11" s="32" t="s">
        <v>1718</v>
      </c>
      <c r="W11" s="37" t="s">
        <v>5028</v>
      </c>
      <c r="X11" s="32" t="s">
        <v>4522</v>
      </c>
      <c r="Y11" s="32" t="s">
        <v>1718</v>
      </c>
      <c r="Z11" s="32" t="s">
        <v>1718</v>
      </c>
      <c r="AA11" s="32" t="s">
        <v>5028</v>
      </c>
      <c r="AB11" s="32" t="s">
        <v>1718</v>
      </c>
      <c r="AC11" s="32" t="s">
        <v>1718</v>
      </c>
      <c r="AD11" s="32" t="s">
        <v>1718</v>
      </c>
      <c r="AE11" s="32" t="s">
        <v>1718</v>
      </c>
      <c r="AF11" s="32" t="s">
        <v>1718</v>
      </c>
      <c r="AG11" s="32" t="s">
        <v>1718</v>
      </c>
      <c r="AH11" s="32" t="s">
        <v>2107</v>
      </c>
      <c r="AI11" s="4" t="s">
        <v>1310</v>
      </c>
      <c r="AJ11" s="4" t="s">
        <v>876</v>
      </c>
      <c r="AK11" s="4" t="s">
        <v>877</v>
      </c>
      <c r="AL11" s="4">
        <v>46135037</v>
      </c>
      <c r="AM11" t="s">
        <v>1718</v>
      </c>
      <c r="AN11" t="s">
        <v>1718</v>
      </c>
      <c r="AO11" t="s">
        <v>1718</v>
      </c>
      <c r="AP11" t="s">
        <v>1718</v>
      </c>
      <c r="AQ11" t="s">
        <v>1718</v>
      </c>
      <c r="AR11" t="s">
        <v>1718</v>
      </c>
      <c r="AS11" t="s">
        <v>1718</v>
      </c>
      <c r="AT11" t="s">
        <v>1718</v>
      </c>
      <c r="AU11" t="s">
        <v>1718</v>
      </c>
      <c r="AV11" t="str">
        <f>VLOOKUP(D11,DATA_SISTEMA!$A$1:$Q$506,12,FALSE)</f>
        <v>POMALCA</v>
      </c>
      <c r="AW11" t="str">
        <f>VLOOKUP(D11,DATA_SISTEMA!$A$1:$Q$506,11,FALSE)</f>
        <v>CHICLAYO</v>
      </c>
      <c r="AX11" t="str">
        <f>VLOOKUP(D11,DATA_SISTEMA!$A$1:$Q$506,10,FALSE)</f>
        <v>LAMBAYEQUE</v>
      </c>
      <c r="AY11" t="s">
        <v>1718</v>
      </c>
      <c r="AZ11" t="s">
        <v>5028</v>
      </c>
      <c r="BA11" t="s">
        <v>1718</v>
      </c>
      <c r="BB11" t="s">
        <v>5028</v>
      </c>
      <c r="BC11" t="s">
        <v>1718</v>
      </c>
      <c r="BD11" t="s">
        <v>5028</v>
      </c>
      <c r="BE11" t="s">
        <v>1718</v>
      </c>
      <c r="BF11" s="34" t="s">
        <v>2104</v>
      </c>
      <c r="BG11" s="4">
        <v>70</v>
      </c>
    </row>
    <row r="12" spans="1:59" x14ac:dyDescent="0.25">
      <c r="A12" s="4">
        <v>11</v>
      </c>
      <c r="B12" s="33" t="s">
        <v>1719</v>
      </c>
      <c r="C12" s="4" t="s">
        <v>1730</v>
      </c>
      <c r="D12" s="39" t="s">
        <v>4533</v>
      </c>
      <c r="E12" s="4" t="s">
        <v>155</v>
      </c>
      <c r="F12" s="36" t="s">
        <v>1718</v>
      </c>
      <c r="G12" s="4">
        <v>925882492</v>
      </c>
      <c r="H12" t="str">
        <f>VLOOKUP(D12,DATA_SISTEMA!$A$1:$Q$506,13,FALSE)</f>
        <v>PROLONGACION BRITALDO GONZALES MZ H LT 4</v>
      </c>
      <c r="I12" t="str">
        <f>VLOOKUP(D12,DATA_SISTEMA!$A$1:$Q$506,7,FALSE)</f>
        <v>1992-01-03</v>
      </c>
      <c r="J12" s="32" t="s">
        <v>1718</v>
      </c>
      <c r="K12" s="32" t="s">
        <v>1718</v>
      </c>
      <c r="L12" s="32" t="s">
        <v>1718</v>
      </c>
      <c r="M12">
        <v>74</v>
      </c>
      <c r="N12">
        <v>0</v>
      </c>
      <c r="O12" s="32" t="str">
        <f t="shared" si="0"/>
        <v>110020261X</v>
      </c>
      <c r="P12" s="32" t="s">
        <v>1718</v>
      </c>
      <c r="Q12" s="32" t="s">
        <v>1718</v>
      </c>
      <c r="R12" s="32" t="s">
        <v>2110</v>
      </c>
      <c r="S12" s="32" t="s">
        <v>5029</v>
      </c>
      <c r="T12" t="str">
        <f>VLOOKUP(D12,DATA_SISTEMA!$A$1:$Q$506,9,FALSE)</f>
        <v>M</v>
      </c>
      <c r="U12" s="32" t="s">
        <v>2106</v>
      </c>
      <c r="V12" s="32" t="s">
        <v>1718</v>
      </c>
      <c r="W12" s="37" t="s">
        <v>5028</v>
      </c>
      <c r="X12" s="32" t="s">
        <v>4522</v>
      </c>
      <c r="Y12" s="32" t="s">
        <v>1718</v>
      </c>
      <c r="Z12" s="32" t="s">
        <v>1718</v>
      </c>
      <c r="AA12" s="32" t="s">
        <v>5028</v>
      </c>
      <c r="AB12" s="32" t="s">
        <v>1718</v>
      </c>
      <c r="AC12" s="32" t="s">
        <v>1718</v>
      </c>
      <c r="AD12" s="32" t="s">
        <v>1718</v>
      </c>
      <c r="AE12" s="32" t="s">
        <v>1718</v>
      </c>
      <c r="AF12" s="32" t="s">
        <v>1718</v>
      </c>
      <c r="AG12" s="32" t="s">
        <v>1718</v>
      </c>
      <c r="AH12" s="32" t="s">
        <v>2107</v>
      </c>
      <c r="AI12" s="4" t="s">
        <v>1311</v>
      </c>
      <c r="AJ12" s="4" t="s">
        <v>878</v>
      </c>
      <c r="AK12" s="4" t="s">
        <v>878</v>
      </c>
      <c r="AL12" s="4">
        <v>48199611</v>
      </c>
      <c r="AM12" t="s">
        <v>1718</v>
      </c>
      <c r="AN12" t="s">
        <v>1718</v>
      </c>
      <c r="AO12" t="s">
        <v>1718</v>
      </c>
      <c r="AP12" t="s">
        <v>1718</v>
      </c>
      <c r="AQ12" t="s">
        <v>1718</v>
      </c>
      <c r="AR12" t="s">
        <v>1718</v>
      </c>
      <c r="AS12" t="s">
        <v>1718</v>
      </c>
      <c r="AT12" t="s">
        <v>1718</v>
      </c>
      <c r="AU12" t="s">
        <v>1718</v>
      </c>
      <c r="AV12" t="str">
        <f>VLOOKUP(D12,DATA_SISTEMA!$A$1:$Q$506,12,FALSE)</f>
        <v>PUEBLO NUEVO</v>
      </c>
      <c r="AW12" t="str">
        <f>VLOOKUP(D12,DATA_SISTEMA!$A$1:$Q$506,11,FALSE)</f>
        <v>FERREÑAFE</v>
      </c>
      <c r="AX12" t="str">
        <f>VLOOKUP(D12,DATA_SISTEMA!$A$1:$Q$506,10,FALSE)</f>
        <v>LAMBAYEQUE</v>
      </c>
      <c r="AY12" t="s">
        <v>1718</v>
      </c>
      <c r="AZ12" t="s">
        <v>5028</v>
      </c>
      <c r="BA12" t="s">
        <v>1718</v>
      </c>
      <c r="BB12" t="s">
        <v>5028</v>
      </c>
      <c r="BC12" t="s">
        <v>1718</v>
      </c>
      <c r="BD12" t="s">
        <v>5028</v>
      </c>
      <c r="BE12" t="s">
        <v>1718</v>
      </c>
      <c r="BF12" s="34" t="s">
        <v>2104</v>
      </c>
      <c r="BG12" s="4">
        <v>68.5</v>
      </c>
    </row>
    <row r="13" spans="1:59" x14ac:dyDescent="0.25">
      <c r="A13" s="4">
        <v>12</v>
      </c>
      <c r="B13" s="33" t="s">
        <v>1719</v>
      </c>
      <c r="C13" s="4" t="s">
        <v>1731</v>
      </c>
      <c r="D13" s="39" t="s">
        <v>4534</v>
      </c>
      <c r="E13" s="4" t="s">
        <v>157</v>
      </c>
      <c r="F13" s="36" t="s">
        <v>1718</v>
      </c>
      <c r="G13" s="4">
        <v>973854830</v>
      </c>
      <c r="H13" t="str">
        <f>VLOOKUP(D13,DATA_SISTEMA!$A$1:$Q$506,13,FALSE)</f>
        <v>PUEBLO JOVEN SAN JUAN MZ D LT N°3-CHICLAYO</v>
      </c>
      <c r="I13" t="str">
        <f>VLOOKUP(D13,DATA_SISTEMA!$A$1:$Q$506,7,FALSE)</f>
        <v>1997-09-14</v>
      </c>
      <c r="J13" s="32" t="s">
        <v>1718</v>
      </c>
      <c r="K13" s="32" t="s">
        <v>1718</v>
      </c>
      <c r="L13" s="32" t="s">
        <v>1718</v>
      </c>
      <c r="M13">
        <v>74</v>
      </c>
      <c r="N13">
        <v>0</v>
      </c>
      <c r="O13" s="32" t="str">
        <f t="shared" si="0"/>
        <v>120020261X</v>
      </c>
      <c r="P13" s="32" t="s">
        <v>1718</v>
      </c>
      <c r="Q13" s="32" t="s">
        <v>1718</v>
      </c>
      <c r="R13" s="32" t="s">
        <v>2110</v>
      </c>
      <c r="S13" s="32" t="s">
        <v>5029</v>
      </c>
      <c r="T13" t="str">
        <f>VLOOKUP(D13,DATA_SISTEMA!$A$1:$Q$506,9,FALSE)</f>
        <v>M</v>
      </c>
      <c r="U13" s="32" t="s">
        <v>2106</v>
      </c>
      <c r="V13" s="32" t="s">
        <v>1718</v>
      </c>
      <c r="W13" s="37" t="s">
        <v>5028</v>
      </c>
      <c r="X13" s="32" t="s">
        <v>4522</v>
      </c>
      <c r="Y13" s="32" t="s">
        <v>1718</v>
      </c>
      <c r="Z13" s="32" t="s">
        <v>1718</v>
      </c>
      <c r="AA13" s="32" t="s">
        <v>5028</v>
      </c>
      <c r="AB13" s="32" t="s">
        <v>1718</v>
      </c>
      <c r="AC13" s="32" t="s">
        <v>1718</v>
      </c>
      <c r="AD13" s="32" t="s">
        <v>1718</v>
      </c>
      <c r="AE13" s="32" t="s">
        <v>1718</v>
      </c>
      <c r="AF13" s="32" t="s">
        <v>1718</v>
      </c>
      <c r="AG13" s="32" t="s">
        <v>1718</v>
      </c>
      <c r="AH13" s="32" t="s">
        <v>2107</v>
      </c>
      <c r="AI13" s="4" t="s">
        <v>1312</v>
      </c>
      <c r="AJ13" s="4" t="s">
        <v>1298</v>
      </c>
      <c r="AK13" s="4" t="s">
        <v>1298</v>
      </c>
      <c r="AL13" s="4">
        <v>73514125</v>
      </c>
      <c r="AM13" t="s">
        <v>1718</v>
      </c>
      <c r="AN13" t="s">
        <v>1718</v>
      </c>
      <c r="AO13" t="s">
        <v>1718</v>
      </c>
      <c r="AP13" t="s">
        <v>1718</v>
      </c>
      <c r="AQ13" t="s">
        <v>1718</v>
      </c>
      <c r="AR13" t="s">
        <v>1718</v>
      </c>
      <c r="AS13" t="s">
        <v>1718</v>
      </c>
      <c r="AT13" t="s">
        <v>1718</v>
      </c>
      <c r="AU13" t="s">
        <v>1718</v>
      </c>
      <c r="AV13" t="str">
        <f>VLOOKUP(D13,DATA_SISTEMA!$A$1:$Q$506,12,FALSE)</f>
        <v>CAÑARIS</v>
      </c>
      <c r="AW13" t="str">
        <f>VLOOKUP(D13,DATA_SISTEMA!$A$1:$Q$506,11,FALSE)</f>
        <v>FERREÑAFE</v>
      </c>
      <c r="AX13" t="str">
        <f>VLOOKUP(D13,DATA_SISTEMA!$A$1:$Q$506,10,FALSE)</f>
        <v>LAMBAYEQUE</v>
      </c>
      <c r="AY13" t="s">
        <v>1718</v>
      </c>
      <c r="AZ13" t="s">
        <v>5028</v>
      </c>
      <c r="BA13" t="s">
        <v>1718</v>
      </c>
      <c r="BB13" t="s">
        <v>5028</v>
      </c>
      <c r="BC13" t="s">
        <v>1718</v>
      </c>
      <c r="BD13" t="s">
        <v>5028</v>
      </c>
      <c r="BE13" t="s">
        <v>1718</v>
      </c>
      <c r="BF13" s="34" t="s">
        <v>2104</v>
      </c>
      <c r="BG13" s="4">
        <v>67.5</v>
      </c>
    </row>
    <row r="14" spans="1:59" x14ac:dyDescent="0.25">
      <c r="A14" s="4">
        <v>13</v>
      </c>
      <c r="B14" s="33" t="s">
        <v>1719</v>
      </c>
      <c r="C14" s="4" t="s">
        <v>1732</v>
      </c>
      <c r="D14" s="39" t="s">
        <v>4535</v>
      </c>
      <c r="E14" s="4" t="s">
        <v>159</v>
      </c>
      <c r="F14" s="36" t="s">
        <v>1718</v>
      </c>
      <c r="G14" s="4">
        <v>938289726</v>
      </c>
      <c r="H14" t="str">
        <f>VLOOKUP(D14,DATA_SISTEMA!$A$1:$Q$506,13,FALSE)</f>
        <v>CALLE LOS JAZMINES S/N ASENTAMIENTO HUMANO 18 DE FEBRERO 1</v>
      </c>
      <c r="I14" t="str">
        <f>VLOOKUP(D14,DATA_SISTEMA!$A$1:$Q$506,7,FALSE)</f>
        <v>1986-04-19</v>
      </c>
      <c r="J14" s="32" t="s">
        <v>1718</v>
      </c>
      <c r="K14" s="32" t="s">
        <v>1718</v>
      </c>
      <c r="L14" s="32" t="s">
        <v>1718</v>
      </c>
      <c r="M14">
        <v>74</v>
      </c>
      <c r="N14">
        <v>0</v>
      </c>
      <c r="O14" s="32" t="str">
        <f t="shared" si="0"/>
        <v>130020261X</v>
      </c>
      <c r="P14" s="32" t="s">
        <v>1718</v>
      </c>
      <c r="Q14" s="32" t="s">
        <v>1718</v>
      </c>
      <c r="R14" s="32" t="s">
        <v>2110</v>
      </c>
      <c r="S14" s="32" t="s">
        <v>5029</v>
      </c>
      <c r="T14" t="str">
        <f>VLOOKUP(D14,DATA_SISTEMA!$A$1:$Q$506,9,FALSE)</f>
        <v>F</v>
      </c>
      <c r="U14" s="32" t="s">
        <v>2106</v>
      </c>
      <c r="V14" s="32" t="s">
        <v>1718</v>
      </c>
      <c r="W14" s="37" t="s">
        <v>5028</v>
      </c>
      <c r="X14" s="32" t="s">
        <v>4522</v>
      </c>
      <c r="Y14" s="32" t="s">
        <v>1718</v>
      </c>
      <c r="Z14" s="32" t="s">
        <v>1718</v>
      </c>
      <c r="AA14" s="32" t="s">
        <v>5028</v>
      </c>
      <c r="AB14" s="32" t="s">
        <v>1718</v>
      </c>
      <c r="AC14" s="32" t="s">
        <v>1718</v>
      </c>
      <c r="AD14" s="32" t="s">
        <v>1718</v>
      </c>
      <c r="AE14" s="32" t="s">
        <v>1718</v>
      </c>
      <c r="AF14" s="32" t="s">
        <v>1718</v>
      </c>
      <c r="AG14" s="32" t="s">
        <v>1718</v>
      </c>
      <c r="AH14" s="32" t="s">
        <v>2107</v>
      </c>
      <c r="AI14" s="4" t="s">
        <v>1313</v>
      </c>
      <c r="AJ14" s="4" t="s">
        <v>880</v>
      </c>
      <c r="AK14" s="4" t="s">
        <v>881</v>
      </c>
      <c r="AL14" s="4">
        <v>43774455</v>
      </c>
      <c r="AM14" t="s">
        <v>1718</v>
      </c>
      <c r="AN14" t="s">
        <v>1718</v>
      </c>
      <c r="AO14" t="s">
        <v>1718</v>
      </c>
      <c r="AP14" t="s">
        <v>1718</v>
      </c>
      <c r="AQ14" t="s">
        <v>1718</v>
      </c>
      <c r="AR14" t="s">
        <v>1718</v>
      </c>
      <c r="AS14" t="s">
        <v>1718</v>
      </c>
      <c r="AT14" t="s">
        <v>1718</v>
      </c>
      <c r="AU14" t="s">
        <v>1718</v>
      </c>
      <c r="AV14" t="str">
        <f>VLOOKUP(D14,DATA_SISTEMA!$A$1:$Q$506,12,FALSE)</f>
        <v>LAMBAYEQUE</v>
      </c>
      <c r="AW14" t="str">
        <f>VLOOKUP(D14,DATA_SISTEMA!$A$1:$Q$506,11,FALSE)</f>
        <v>LAMBAYEQUE</v>
      </c>
      <c r="AX14" t="str">
        <f>VLOOKUP(D14,DATA_SISTEMA!$A$1:$Q$506,10,FALSE)</f>
        <v>LAMBAYEQUE</v>
      </c>
      <c r="AY14" t="s">
        <v>1718</v>
      </c>
      <c r="AZ14" t="s">
        <v>5028</v>
      </c>
      <c r="BA14" t="s">
        <v>1718</v>
      </c>
      <c r="BB14" t="s">
        <v>5028</v>
      </c>
      <c r="BC14" t="s">
        <v>1718</v>
      </c>
      <c r="BD14" t="s">
        <v>5028</v>
      </c>
      <c r="BE14" t="s">
        <v>1718</v>
      </c>
      <c r="BF14" s="34" t="s">
        <v>2104</v>
      </c>
      <c r="BG14" s="4">
        <v>66.5</v>
      </c>
    </row>
    <row r="15" spans="1:59" x14ac:dyDescent="0.25">
      <c r="A15" s="4">
        <v>14</v>
      </c>
      <c r="B15" s="33" t="s">
        <v>1719</v>
      </c>
      <c r="C15" s="4" t="s">
        <v>1733</v>
      </c>
      <c r="D15" s="39" t="s">
        <v>4536</v>
      </c>
      <c r="E15" s="4" t="s">
        <v>161</v>
      </c>
      <c r="F15" s="36" t="s">
        <v>1718</v>
      </c>
      <c r="G15" s="4">
        <v>971168300</v>
      </c>
      <c r="H15" t="str">
        <f>VLOOKUP(D15,DATA_SISTEMA!$A$1:$Q$506,13,FALSE)</f>
        <v>JIRON TAYABAMBA 291</v>
      </c>
      <c r="I15" t="str">
        <f>VLOOKUP(D15,DATA_SISTEMA!$A$1:$Q$506,7,FALSE)</f>
        <v>1968-06-09</v>
      </c>
      <c r="J15" s="32" t="s">
        <v>1718</v>
      </c>
      <c r="K15" s="32" t="s">
        <v>1718</v>
      </c>
      <c r="L15" s="32" t="s">
        <v>1718</v>
      </c>
      <c r="M15">
        <v>74</v>
      </c>
      <c r="N15">
        <v>0</v>
      </c>
      <c r="O15" s="32" t="str">
        <f t="shared" si="0"/>
        <v>140020261X</v>
      </c>
      <c r="P15" s="32" t="s">
        <v>1718</v>
      </c>
      <c r="Q15" s="32" t="s">
        <v>1718</v>
      </c>
      <c r="R15" s="32" t="s">
        <v>2110</v>
      </c>
      <c r="S15" s="32" t="s">
        <v>5029</v>
      </c>
      <c r="T15" t="str">
        <f>VLOOKUP(D15,DATA_SISTEMA!$A$1:$Q$506,9,FALSE)</f>
        <v>M</v>
      </c>
      <c r="U15" s="32" t="s">
        <v>2106</v>
      </c>
      <c r="V15" s="32" t="s">
        <v>1718</v>
      </c>
      <c r="W15" s="37" t="s">
        <v>5028</v>
      </c>
      <c r="X15" s="32" t="s">
        <v>4522</v>
      </c>
      <c r="Y15" s="32" t="s">
        <v>1718</v>
      </c>
      <c r="Z15" s="32" t="s">
        <v>1718</v>
      </c>
      <c r="AA15" s="32" t="s">
        <v>5028</v>
      </c>
      <c r="AB15" s="32" t="s">
        <v>1718</v>
      </c>
      <c r="AC15" s="32" t="s">
        <v>1718</v>
      </c>
      <c r="AD15" s="32" t="s">
        <v>1718</v>
      </c>
      <c r="AE15" s="32" t="s">
        <v>1718</v>
      </c>
      <c r="AF15" s="32" t="s">
        <v>1718</v>
      </c>
      <c r="AG15" s="32" t="s">
        <v>1718</v>
      </c>
      <c r="AH15" s="32" t="s">
        <v>2107</v>
      </c>
      <c r="AI15" s="4" t="s">
        <v>1314</v>
      </c>
      <c r="AJ15" s="4" t="s">
        <v>882</v>
      </c>
      <c r="AK15" s="4" t="s">
        <v>883</v>
      </c>
      <c r="AL15" s="4">
        <v>29542684</v>
      </c>
      <c r="AM15" t="s">
        <v>1718</v>
      </c>
      <c r="AN15" t="s">
        <v>1718</v>
      </c>
      <c r="AO15" t="s">
        <v>1718</v>
      </c>
      <c r="AP15" t="s">
        <v>1718</v>
      </c>
      <c r="AQ15" t="s">
        <v>1718</v>
      </c>
      <c r="AR15" t="s">
        <v>1718</v>
      </c>
      <c r="AS15" t="s">
        <v>1718</v>
      </c>
      <c r="AT15" t="s">
        <v>1718</v>
      </c>
      <c r="AU15" t="s">
        <v>1718</v>
      </c>
      <c r="AV15" t="str">
        <f>VLOOKUP(D15,DATA_SISTEMA!$A$1:$Q$506,12,FALSE)</f>
        <v>CAJAMARCA</v>
      </c>
      <c r="AW15" t="str">
        <f>VLOOKUP(D15,DATA_SISTEMA!$A$1:$Q$506,11,FALSE)</f>
        <v>CAJAMARCA</v>
      </c>
      <c r="AX15" t="str">
        <f>VLOOKUP(D15,DATA_SISTEMA!$A$1:$Q$506,10,FALSE)</f>
        <v>CAJAMARCA</v>
      </c>
      <c r="AY15" t="s">
        <v>1718</v>
      </c>
      <c r="AZ15" t="s">
        <v>5028</v>
      </c>
      <c r="BA15" t="s">
        <v>1718</v>
      </c>
      <c r="BB15" t="s">
        <v>5028</v>
      </c>
      <c r="BC15" t="s">
        <v>1718</v>
      </c>
      <c r="BD15" t="s">
        <v>5028</v>
      </c>
      <c r="BE15" t="s">
        <v>1718</v>
      </c>
      <c r="BF15" s="34" t="s">
        <v>2104</v>
      </c>
      <c r="BG15" s="4">
        <v>65.5</v>
      </c>
    </row>
    <row r="16" spans="1:59" x14ac:dyDescent="0.25">
      <c r="A16" s="4">
        <v>15</v>
      </c>
      <c r="B16" s="33" t="s">
        <v>1719</v>
      </c>
      <c r="C16" s="4" t="s">
        <v>1734</v>
      </c>
      <c r="D16" s="39" t="s">
        <v>4537</v>
      </c>
      <c r="E16" s="4" t="s">
        <v>163</v>
      </c>
      <c r="F16" s="36" t="s">
        <v>1718</v>
      </c>
      <c r="G16" s="4">
        <v>964522597</v>
      </c>
      <c r="H16" t="str">
        <f>VLOOKUP(D16,DATA_SISTEMA!$A$1:$Q$506,13,FALSE)</f>
        <v>SAN JUAN N°188</v>
      </c>
      <c r="I16" t="str">
        <f>VLOOKUP(D16,DATA_SISTEMA!$A$1:$Q$506,7,FALSE)</f>
        <v>1998-03-03</v>
      </c>
      <c r="J16" s="32" t="s">
        <v>1718</v>
      </c>
      <c r="K16" s="32" t="s">
        <v>1718</v>
      </c>
      <c r="L16" s="32" t="s">
        <v>1718</v>
      </c>
      <c r="M16">
        <v>74</v>
      </c>
      <c r="N16">
        <v>0</v>
      </c>
      <c r="O16" s="32" t="str">
        <f t="shared" si="0"/>
        <v>150020261X</v>
      </c>
      <c r="P16" s="32" t="s">
        <v>1718</v>
      </c>
      <c r="Q16" s="32" t="s">
        <v>1718</v>
      </c>
      <c r="R16" s="32" t="s">
        <v>2110</v>
      </c>
      <c r="S16" s="32" t="s">
        <v>5029</v>
      </c>
      <c r="T16" t="str">
        <f>VLOOKUP(D16,DATA_SISTEMA!$A$1:$Q$506,9,FALSE)</f>
        <v>M</v>
      </c>
      <c r="U16" s="32" t="s">
        <v>2106</v>
      </c>
      <c r="V16" s="32" t="s">
        <v>1718</v>
      </c>
      <c r="W16" s="37" t="s">
        <v>5028</v>
      </c>
      <c r="X16" s="32" t="s">
        <v>4522</v>
      </c>
      <c r="Y16" s="32" t="s">
        <v>1718</v>
      </c>
      <c r="Z16" s="32" t="s">
        <v>1718</v>
      </c>
      <c r="AA16" s="32" t="s">
        <v>5028</v>
      </c>
      <c r="AB16" s="32" t="s">
        <v>1718</v>
      </c>
      <c r="AC16" s="32" t="s">
        <v>1718</v>
      </c>
      <c r="AD16" s="32" t="s">
        <v>1718</v>
      </c>
      <c r="AE16" s="32" t="s">
        <v>1718</v>
      </c>
      <c r="AF16" s="32" t="s">
        <v>1718</v>
      </c>
      <c r="AG16" s="32" t="s">
        <v>1718</v>
      </c>
      <c r="AH16" s="32" t="s">
        <v>2107</v>
      </c>
      <c r="AI16" s="4" t="s">
        <v>1315</v>
      </c>
      <c r="AJ16" s="4" t="s">
        <v>884</v>
      </c>
      <c r="AK16" s="4" t="s">
        <v>859</v>
      </c>
      <c r="AL16" s="4">
        <v>72841146</v>
      </c>
      <c r="AM16" t="s">
        <v>1718</v>
      </c>
      <c r="AN16" t="s">
        <v>1718</v>
      </c>
      <c r="AO16" t="s">
        <v>1718</v>
      </c>
      <c r="AP16" t="s">
        <v>1718</v>
      </c>
      <c r="AQ16" t="s">
        <v>1718</v>
      </c>
      <c r="AR16" t="s">
        <v>1718</v>
      </c>
      <c r="AS16" t="s">
        <v>1718</v>
      </c>
      <c r="AT16" t="s">
        <v>1718</v>
      </c>
      <c r="AU16" t="s">
        <v>1718</v>
      </c>
      <c r="AV16" t="str">
        <f>VLOOKUP(D16,DATA_SISTEMA!$A$1:$Q$506,12,FALSE)</f>
        <v>CUTERVO</v>
      </c>
      <c r="AW16" t="str">
        <f>VLOOKUP(D16,DATA_SISTEMA!$A$1:$Q$506,11,FALSE)</f>
        <v>CUTERVO</v>
      </c>
      <c r="AX16" t="str">
        <f>VLOOKUP(D16,DATA_SISTEMA!$A$1:$Q$506,10,FALSE)</f>
        <v>CAJAMARCA</v>
      </c>
      <c r="AY16" t="s">
        <v>1718</v>
      </c>
      <c r="AZ16" t="s">
        <v>5028</v>
      </c>
      <c r="BA16" t="s">
        <v>1718</v>
      </c>
      <c r="BB16" t="s">
        <v>5028</v>
      </c>
      <c r="BC16" t="s">
        <v>1718</v>
      </c>
      <c r="BD16" t="s">
        <v>5028</v>
      </c>
      <c r="BE16" t="s">
        <v>1718</v>
      </c>
      <c r="BF16" s="34" t="s">
        <v>2104</v>
      </c>
      <c r="BG16" s="4">
        <v>64.5</v>
      </c>
    </row>
    <row r="17" spans="1:59" x14ac:dyDescent="0.25">
      <c r="A17" s="4">
        <v>16</v>
      </c>
      <c r="B17" s="33" t="s">
        <v>1719</v>
      </c>
      <c r="C17" s="4" t="s">
        <v>1735</v>
      </c>
      <c r="D17" s="39" t="s">
        <v>4538</v>
      </c>
      <c r="E17" s="4" t="s">
        <v>165</v>
      </c>
      <c r="F17" s="36" t="s">
        <v>1718</v>
      </c>
      <c r="G17" s="4">
        <v>913428467</v>
      </c>
      <c r="H17" t="str">
        <f>VLOOKUP(D17,DATA_SISTEMA!$A$1:$Q$506,13,FALSE)</f>
        <v>AV. SAN JOSE N°206 C.P. LA COLORADA - MORROPE</v>
      </c>
      <c r="I17" t="str">
        <f>VLOOKUP(D17,DATA_SISTEMA!$A$1:$Q$506,7,FALSE)</f>
        <v>1993-06-19</v>
      </c>
      <c r="J17" s="32" t="s">
        <v>1718</v>
      </c>
      <c r="K17" s="32" t="s">
        <v>1718</v>
      </c>
      <c r="L17" s="32" t="s">
        <v>1718</v>
      </c>
      <c r="M17">
        <v>74</v>
      </c>
      <c r="N17">
        <v>0</v>
      </c>
      <c r="O17" s="32" t="str">
        <f t="shared" si="0"/>
        <v>160020261X</v>
      </c>
      <c r="P17" s="32" t="s">
        <v>1718</v>
      </c>
      <c r="Q17" s="32" t="s">
        <v>1718</v>
      </c>
      <c r="R17" s="32" t="s">
        <v>2110</v>
      </c>
      <c r="S17" s="32" t="s">
        <v>5029</v>
      </c>
      <c r="T17" t="str">
        <f>VLOOKUP(D17,DATA_SISTEMA!$A$1:$Q$506,9,FALSE)</f>
        <v>M</v>
      </c>
      <c r="U17" s="32" t="s">
        <v>2106</v>
      </c>
      <c r="V17" s="32" t="s">
        <v>1718</v>
      </c>
      <c r="W17" s="37" t="s">
        <v>5028</v>
      </c>
      <c r="X17" s="32" t="s">
        <v>4522</v>
      </c>
      <c r="Y17" s="32" t="s">
        <v>1718</v>
      </c>
      <c r="Z17" s="32" t="s">
        <v>1718</v>
      </c>
      <c r="AA17" s="32" t="s">
        <v>5028</v>
      </c>
      <c r="AB17" s="32" t="s">
        <v>1718</v>
      </c>
      <c r="AC17" s="32" t="s">
        <v>1718</v>
      </c>
      <c r="AD17" s="32" t="s">
        <v>1718</v>
      </c>
      <c r="AE17" s="32" t="s">
        <v>1718</v>
      </c>
      <c r="AF17" s="32" t="s">
        <v>1718</v>
      </c>
      <c r="AG17" s="32" t="s">
        <v>1718</v>
      </c>
      <c r="AH17" s="32" t="s">
        <v>2107</v>
      </c>
      <c r="AI17" s="4" t="s">
        <v>1316</v>
      </c>
      <c r="AJ17" s="4" t="s">
        <v>885</v>
      </c>
      <c r="AK17" s="4" t="s">
        <v>886</v>
      </c>
      <c r="AL17" s="4">
        <v>74212099</v>
      </c>
      <c r="AM17" t="s">
        <v>1718</v>
      </c>
      <c r="AN17" t="s">
        <v>1718</v>
      </c>
      <c r="AO17" t="s">
        <v>1718</v>
      </c>
      <c r="AP17" t="s">
        <v>1718</v>
      </c>
      <c r="AQ17" t="s">
        <v>1718</v>
      </c>
      <c r="AR17" t="s">
        <v>1718</v>
      </c>
      <c r="AS17" t="s">
        <v>1718</v>
      </c>
      <c r="AT17" t="s">
        <v>1718</v>
      </c>
      <c r="AU17" t="s">
        <v>1718</v>
      </c>
      <c r="AV17" t="str">
        <f>VLOOKUP(D17,DATA_SISTEMA!$A$1:$Q$506,12,FALSE)</f>
        <v>MORROPE</v>
      </c>
      <c r="AW17" t="str">
        <f>VLOOKUP(D17,DATA_SISTEMA!$A$1:$Q$506,11,FALSE)</f>
        <v>LAMBAYEQUE</v>
      </c>
      <c r="AX17" t="str">
        <f>VLOOKUP(D17,DATA_SISTEMA!$A$1:$Q$506,10,FALSE)</f>
        <v>LAMBAYEQUE</v>
      </c>
      <c r="AY17" t="s">
        <v>1718</v>
      </c>
      <c r="AZ17" t="s">
        <v>5028</v>
      </c>
      <c r="BA17" t="s">
        <v>1718</v>
      </c>
      <c r="BB17" t="s">
        <v>5028</v>
      </c>
      <c r="BC17" t="s">
        <v>1718</v>
      </c>
      <c r="BD17" t="s">
        <v>5028</v>
      </c>
      <c r="BE17" t="s">
        <v>1718</v>
      </c>
      <c r="BF17" s="34" t="s">
        <v>2104</v>
      </c>
      <c r="BG17" s="4">
        <v>64.5</v>
      </c>
    </row>
    <row r="18" spans="1:59" x14ac:dyDescent="0.25">
      <c r="A18" s="4">
        <v>17</v>
      </c>
      <c r="B18" s="33" t="s">
        <v>1719</v>
      </c>
      <c r="C18" s="4" t="s">
        <v>1736</v>
      </c>
      <c r="D18" s="39" t="s">
        <v>4539</v>
      </c>
      <c r="E18" s="4" t="s">
        <v>167</v>
      </c>
      <c r="F18" s="36" t="s">
        <v>1718</v>
      </c>
      <c r="G18" s="4">
        <v>977489076</v>
      </c>
      <c r="H18" t="str">
        <f>VLOOKUP(D18,DATA_SISTEMA!$A$1:$Q$506,13,FALSE)</f>
        <v>ASENT. H. INDOAMERICA MZ. D LT. 14</v>
      </c>
      <c r="I18" t="str">
        <f>VLOOKUP(D18,DATA_SISTEMA!$A$1:$Q$506,7,FALSE)</f>
        <v>2003-10-24</v>
      </c>
      <c r="J18" s="32" t="s">
        <v>1718</v>
      </c>
      <c r="K18" s="32" t="s">
        <v>1718</v>
      </c>
      <c r="L18" s="32" t="s">
        <v>1718</v>
      </c>
      <c r="M18">
        <v>74</v>
      </c>
      <c r="N18">
        <v>0</v>
      </c>
      <c r="O18" s="32" t="str">
        <f t="shared" si="0"/>
        <v>170020261X</v>
      </c>
      <c r="P18" s="32" t="s">
        <v>1718</v>
      </c>
      <c r="Q18" s="32" t="s">
        <v>1718</v>
      </c>
      <c r="R18" s="32" t="s">
        <v>2110</v>
      </c>
      <c r="S18" s="32" t="s">
        <v>5029</v>
      </c>
      <c r="T18" t="str">
        <f>VLOOKUP(D18,DATA_SISTEMA!$A$1:$Q$506,9,FALSE)</f>
        <v>M</v>
      </c>
      <c r="U18" s="32" t="s">
        <v>2106</v>
      </c>
      <c r="V18" s="32" t="s">
        <v>1718</v>
      </c>
      <c r="W18" s="37" t="s">
        <v>5028</v>
      </c>
      <c r="X18" s="32" t="s">
        <v>4522</v>
      </c>
      <c r="Y18" s="32" t="s">
        <v>1718</v>
      </c>
      <c r="Z18" s="32" t="s">
        <v>1718</v>
      </c>
      <c r="AA18" s="32" t="s">
        <v>5028</v>
      </c>
      <c r="AB18" s="32" t="s">
        <v>1718</v>
      </c>
      <c r="AC18" s="32" t="s">
        <v>1718</v>
      </c>
      <c r="AD18" s="32" t="s">
        <v>1718</v>
      </c>
      <c r="AE18" s="32" t="s">
        <v>1718</v>
      </c>
      <c r="AF18" s="32" t="s">
        <v>1718</v>
      </c>
      <c r="AG18" s="32" t="s">
        <v>1718</v>
      </c>
      <c r="AH18" s="32" t="s">
        <v>2107</v>
      </c>
      <c r="AI18" s="4" t="s">
        <v>1317</v>
      </c>
      <c r="AJ18" s="4" t="s">
        <v>887</v>
      </c>
      <c r="AK18" s="4" t="s">
        <v>888</v>
      </c>
      <c r="AL18" s="4">
        <v>72740097</v>
      </c>
      <c r="AM18" t="s">
        <v>1718</v>
      </c>
      <c r="AN18" t="s">
        <v>1718</v>
      </c>
      <c r="AO18" t="s">
        <v>1718</v>
      </c>
      <c r="AP18" t="s">
        <v>1718</v>
      </c>
      <c r="AQ18" t="s">
        <v>1718</v>
      </c>
      <c r="AR18" t="s">
        <v>1718</v>
      </c>
      <c r="AS18" t="s">
        <v>1718</v>
      </c>
      <c r="AT18" t="s">
        <v>1718</v>
      </c>
      <c r="AU18" t="s">
        <v>1718</v>
      </c>
      <c r="AV18" t="str">
        <f>VLOOKUP(D18,DATA_SISTEMA!$A$1:$Q$506,12,FALSE)</f>
        <v>LAMBAYEQUE</v>
      </c>
      <c r="AW18" t="str">
        <f>VLOOKUP(D18,DATA_SISTEMA!$A$1:$Q$506,11,FALSE)</f>
        <v>LAMBAYEQUE</v>
      </c>
      <c r="AX18" t="str">
        <f>VLOOKUP(D18,DATA_SISTEMA!$A$1:$Q$506,10,FALSE)</f>
        <v>LAMBAYEQUE</v>
      </c>
      <c r="AY18" t="s">
        <v>1718</v>
      </c>
      <c r="AZ18" t="s">
        <v>5028</v>
      </c>
      <c r="BA18" t="s">
        <v>1718</v>
      </c>
      <c r="BB18" t="s">
        <v>5028</v>
      </c>
      <c r="BC18" t="s">
        <v>1718</v>
      </c>
      <c r="BD18" t="s">
        <v>5028</v>
      </c>
      <c r="BE18" t="s">
        <v>1718</v>
      </c>
      <c r="BF18" s="34" t="s">
        <v>2104</v>
      </c>
      <c r="BG18" s="4">
        <v>61</v>
      </c>
    </row>
    <row r="19" spans="1:59" x14ac:dyDescent="0.25">
      <c r="A19" s="4">
        <v>18</v>
      </c>
      <c r="B19" s="33" t="s">
        <v>1719</v>
      </c>
      <c r="C19" s="4" t="s">
        <v>1737</v>
      </c>
      <c r="D19" s="39" t="s">
        <v>4540</v>
      </c>
      <c r="E19" s="4" t="s">
        <v>169</v>
      </c>
      <c r="F19" s="36" t="s">
        <v>1718</v>
      </c>
      <c r="G19" s="4">
        <v>979258187</v>
      </c>
      <c r="H19" t="str">
        <f>VLOOKUP(D19,DATA_SISTEMA!$A$1:$Q$506,13,FALSE)</f>
        <v>CALLE TACNA Nº 169 (ANTES MZ "D" LOTE 13, ASOCIACIÓN PROVIVIENDA SANTA ROSA)</v>
      </c>
      <c r="I19" t="str">
        <f>VLOOKUP(D19,DATA_SISTEMA!$A$1:$Q$506,7,FALSE)</f>
        <v>1986-06-16</v>
      </c>
      <c r="J19" s="32" t="s">
        <v>1718</v>
      </c>
      <c r="K19" s="32" t="s">
        <v>1718</v>
      </c>
      <c r="L19" s="32" t="s">
        <v>1718</v>
      </c>
      <c r="M19">
        <v>74</v>
      </c>
      <c r="N19">
        <v>0</v>
      </c>
      <c r="O19" s="32" t="str">
        <f t="shared" si="0"/>
        <v>180020261X</v>
      </c>
      <c r="P19" s="32" t="s">
        <v>1718</v>
      </c>
      <c r="Q19" s="32" t="s">
        <v>1718</v>
      </c>
      <c r="R19" s="32" t="s">
        <v>2110</v>
      </c>
      <c r="S19" s="32" t="s">
        <v>5029</v>
      </c>
      <c r="T19" t="str">
        <f>VLOOKUP(D19,DATA_SISTEMA!$A$1:$Q$506,9,FALSE)</f>
        <v>M</v>
      </c>
      <c r="U19" s="32" t="s">
        <v>2106</v>
      </c>
      <c r="V19" s="32" t="s">
        <v>1718</v>
      </c>
      <c r="W19" s="37" t="s">
        <v>5028</v>
      </c>
      <c r="X19" s="32" t="s">
        <v>4522</v>
      </c>
      <c r="Y19" s="32" t="s">
        <v>1718</v>
      </c>
      <c r="Z19" s="32" t="s">
        <v>1718</v>
      </c>
      <c r="AA19" s="32" t="s">
        <v>5028</v>
      </c>
      <c r="AB19" s="32" t="s">
        <v>1718</v>
      </c>
      <c r="AC19" s="32" t="s">
        <v>1718</v>
      </c>
      <c r="AD19" s="32" t="s">
        <v>1718</v>
      </c>
      <c r="AE19" s="32" t="s">
        <v>1718</v>
      </c>
      <c r="AF19" s="32" t="s">
        <v>1718</v>
      </c>
      <c r="AG19" s="32" t="s">
        <v>1718</v>
      </c>
      <c r="AH19" s="32" t="s">
        <v>2107</v>
      </c>
      <c r="AI19" s="4" t="s">
        <v>1318</v>
      </c>
      <c r="AJ19" s="4" t="s">
        <v>889</v>
      </c>
      <c r="AK19" s="4" t="s">
        <v>890</v>
      </c>
      <c r="AL19" s="4">
        <v>43636883</v>
      </c>
      <c r="AM19" t="s">
        <v>1718</v>
      </c>
      <c r="AN19" t="s">
        <v>1718</v>
      </c>
      <c r="AO19" t="s">
        <v>1718</v>
      </c>
      <c r="AP19" t="s">
        <v>1718</v>
      </c>
      <c r="AQ19" t="s">
        <v>1718</v>
      </c>
      <c r="AR19" t="s">
        <v>1718</v>
      </c>
      <c r="AS19" t="s">
        <v>1718</v>
      </c>
      <c r="AT19" t="s">
        <v>1718</v>
      </c>
      <c r="AU19" t="s">
        <v>1718</v>
      </c>
      <c r="AV19" t="str">
        <f>VLOOKUP(D19,DATA_SISTEMA!$A$1:$Q$506,12,FALSE)</f>
        <v>LAMBAYEQUE</v>
      </c>
      <c r="AW19" t="str">
        <f>VLOOKUP(D19,DATA_SISTEMA!$A$1:$Q$506,11,FALSE)</f>
        <v>LAMBAYEQUE</v>
      </c>
      <c r="AX19" t="str">
        <f>VLOOKUP(D19,DATA_SISTEMA!$A$1:$Q$506,10,FALSE)</f>
        <v>LAMBAYEQUE</v>
      </c>
      <c r="AY19" t="s">
        <v>1718</v>
      </c>
      <c r="AZ19" t="s">
        <v>5028</v>
      </c>
      <c r="BA19" t="s">
        <v>1718</v>
      </c>
      <c r="BB19" t="s">
        <v>5028</v>
      </c>
      <c r="BC19" t="s">
        <v>1718</v>
      </c>
      <c r="BD19" t="s">
        <v>5028</v>
      </c>
      <c r="BE19" t="s">
        <v>1718</v>
      </c>
      <c r="BF19" s="34" t="s">
        <v>2104</v>
      </c>
      <c r="BG19" s="4">
        <v>58</v>
      </c>
    </row>
    <row r="20" spans="1:59" x14ac:dyDescent="0.25">
      <c r="A20" s="4">
        <v>19</v>
      </c>
      <c r="B20" s="33" t="s">
        <v>1719</v>
      </c>
      <c r="C20" s="1" t="s">
        <v>1738</v>
      </c>
      <c r="D20" s="38" t="s">
        <v>4541</v>
      </c>
      <c r="E20" s="1" t="s">
        <v>222</v>
      </c>
      <c r="F20" s="36" t="s">
        <v>1718</v>
      </c>
      <c r="G20" s="1">
        <v>973086900</v>
      </c>
      <c r="H20" t="str">
        <f>VLOOKUP(D20,DATA_SISTEMA!$A$1:$Q$506,13,FALSE)</f>
        <v>CPM. AMPL. FANNY ABANTO CALLE MZ. T1 LT.6</v>
      </c>
      <c r="I20" t="str">
        <f>VLOOKUP(D20,DATA_SISTEMA!$A$1:$Q$506,7,FALSE)</f>
        <v>2001-06-19</v>
      </c>
      <c r="J20" s="32" t="s">
        <v>1718</v>
      </c>
      <c r="K20" s="32" t="s">
        <v>1718</v>
      </c>
      <c r="L20" s="32" t="s">
        <v>1718</v>
      </c>
      <c r="M20">
        <v>269</v>
      </c>
      <c r="N20">
        <v>0</v>
      </c>
      <c r="O20" s="32" t="str">
        <f t="shared" si="0"/>
        <v>190020261X</v>
      </c>
      <c r="P20" s="32" t="s">
        <v>1718</v>
      </c>
      <c r="Q20" s="32" t="s">
        <v>1718</v>
      </c>
      <c r="R20" s="32" t="s">
        <v>2110</v>
      </c>
      <c r="S20" s="32" t="s">
        <v>2105</v>
      </c>
      <c r="T20" t="str">
        <f>VLOOKUP(D20,DATA_SISTEMA!$A$1:$Q$506,9,FALSE)</f>
        <v>M</v>
      </c>
      <c r="U20" s="32" t="s">
        <v>2106</v>
      </c>
      <c r="V20" s="32" t="s">
        <v>1718</v>
      </c>
      <c r="W20" s="37" t="s">
        <v>5028</v>
      </c>
      <c r="X20" s="32" t="s">
        <v>4522</v>
      </c>
      <c r="Y20" s="32" t="s">
        <v>1718</v>
      </c>
      <c r="Z20" s="32" t="s">
        <v>1718</v>
      </c>
      <c r="AA20" s="32" t="s">
        <v>5028</v>
      </c>
      <c r="AB20" s="32" t="s">
        <v>1718</v>
      </c>
      <c r="AC20" s="32" t="s">
        <v>1718</v>
      </c>
      <c r="AD20" s="32" t="s">
        <v>1718</v>
      </c>
      <c r="AE20" s="32" t="s">
        <v>1718</v>
      </c>
      <c r="AF20" s="32" t="s">
        <v>1718</v>
      </c>
      <c r="AG20" s="32" t="s">
        <v>1718</v>
      </c>
      <c r="AH20" s="32" t="s">
        <v>2107</v>
      </c>
      <c r="AI20" s="1" t="s">
        <v>1319</v>
      </c>
      <c r="AJ20" s="1" t="s">
        <v>886</v>
      </c>
      <c r="AK20" s="1" t="s">
        <v>891</v>
      </c>
      <c r="AL20" s="1">
        <v>74720963</v>
      </c>
      <c r="AM20" t="s">
        <v>1718</v>
      </c>
      <c r="AN20" t="s">
        <v>1718</v>
      </c>
      <c r="AO20" t="s">
        <v>1718</v>
      </c>
      <c r="AP20" t="s">
        <v>1718</v>
      </c>
      <c r="AQ20" t="s">
        <v>1718</v>
      </c>
      <c r="AR20" t="s">
        <v>1718</v>
      </c>
      <c r="AS20" t="s">
        <v>1718</v>
      </c>
      <c r="AT20" t="s">
        <v>1718</v>
      </c>
      <c r="AU20" t="s">
        <v>1718</v>
      </c>
      <c r="AV20" t="str">
        <f>VLOOKUP(D20,DATA_SISTEMA!$A$1:$Q$506,12,FALSE)</f>
        <v>CHICLAYO</v>
      </c>
      <c r="AW20" t="str">
        <f>VLOOKUP(D20,DATA_SISTEMA!$A$1:$Q$506,11,FALSE)</f>
        <v>CHICLAYO</v>
      </c>
      <c r="AX20" t="str">
        <f>VLOOKUP(D20,DATA_SISTEMA!$A$1:$Q$506,10,FALSE)</f>
        <v>LAMBAYEQUE</v>
      </c>
      <c r="AY20" t="s">
        <v>1718</v>
      </c>
      <c r="AZ20" t="s">
        <v>5028</v>
      </c>
      <c r="BA20" t="s">
        <v>1718</v>
      </c>
      <c r="BB20" t="s">
        <v>5028</v>
      </c>
      <c r="BC20" t="s">
        <v>1718</v>
      </c>
      <c r="BD20" t="s">
        <v>5028</v>
      </c>
      <c r="BE20" t="s">
        <v>1718</v>
      </c>
      <c r="BF20" s="34" t="s">
        <v>2104</v>
      </c>
      <c r="BG20" s="1">
        <v>79.099999999999994</v>
      </c>
    </row>
    <row r="21" spans="1:59" x14ac:dyDescent="0.25">
      <c r="A21" s="4">
        <v>20</v>
      </c>
      <c r="B21" s="33" t="s">
        <v>1719</v>
      </c>
      <c r="C21" s="1" t="s">
        <v>1739</v>
      </c>
      <c r="D21" s="38" t="s">
        <v>4542</v>
      </c>
      <c r="E21" s="1" t="s">
        <v>225</v>
      </c>
      <c r="F21" s="36" t="s">
        <v>1718</v>
      </c>
      <c r="G21" s="1">
        <v>921092300</v>
      </c>
      <c r="H21" t="str">
        <f>VLOOKUP(D21,DATA_SISTEMA!$A$1:$Q$506,13,FALSE)</f>
        <v>CA. LEONCIO PRADO N°1457</v>
      </c>
      <c r="I21" t="str">
        <f>VLOOKUP(D21,DATA_SISTEMA!$A$1:$Q$506,7,FALSE)</f>
        <v>2000-09-05</v>
      </c>
      <c r="J21" s="32" t="s">
        <v>1718</v>
      </c>
      <c r="K21" s="32" t="s">
        <v>1718</v>
      </c>
      <c r="L21" s="32" t="s">
        <v>1718</v>
      </c>
      <c r="M21">
        <v>269</v>
      </c>
      <c r="N21">
        <v>0</v>
      </c>
      <c r="O21" s="32" t="str">
        <f t="shared" si="0"/>
        <v>200020261X</v>
      </c>
      <c r="P21" s="32" t="s">
        <v>1718</v>
      </c>
      <c r="Q21" s="32" t="s">
        <v>1718</v>
      </c>
      <c r="R21" s="32" t="s">
        <v>2110</v>
      </c>
      <c r="S21" s="32" t="s">
        <v>2105</v>
      </c>
      <c r="T21" t="str">
        <f>VLOOKUP(D21,DATA_SISTEMA!$A$1:$Q$506,9,FALSE)</f>
        <v>M</v>
      </c>
      <c r="U21" s="32" t="s">
        <v>2106</v>
      </c>
      <c r="V21" s="32" t="s">
        <v>1718</v>
      </c>
      <c r="W21" s="37" t="s">
        <v>5028</v>
      </c>
      <c r="X21" s="32" t="s">
        <v>4522</v>
      </c>
      <c r="Y21" s="32" t="s">
        <v>1718</v>
      </c>
      <c r="Z21" s="32" t="s">
        <v>1718</v>
      </c>
      <c r="AA21" s="32" t="s">
        <v>5028</v>
      </c>
      <c r="AB21" s="32" t="s">
        <v>1718</v>
      </c>
      <c r="AC21" s="32" t="s">
        <v>1718</v>
      </c>
      <c r="AD21" s="32" t="s">
        <v>1718</v>
      </c>
      <c r="AE21" s="32" t="s">
        <v>1718</v>
      </c>
      <c r="AF21" s="32" t="s">
        <v>1718</v>
      </c>
      <c r="AG21" s="32" t="s">
        <v>1718</v>
      </c>
      <c r="AH21" s="32" t="s">
        <v>2107</v>
      </c>
      <c r="AI21" s="1" t="s">
        <v>1320</v>
      </c>
      <c r="AJ21" s="1" t="s">
        <v>892</v>
      </c>
      <c r="AK21" s="1" t="s">
        <v>893</v>
      </c>
      <c r="AL21" s="1">
        <v>73977233</v>
      </c>
      <c r="AM21" t="s">
        <v>1718</v>
      </c>
      <c r="AN21" t="s">
        <v>1718</v>
      </c>
      <c r="AO21" t="s">
        <v>1718</v>
      </c>
      <c r="AP21" t="s">
        <v>1718</v>
      </c>
      <c r="AQ21" t="s">
        <v>1718</v>
      </c>
      <c r="AR21" t="s">
        <v>1718</v>
      </c>
      <c r="AS21" t="s">
        <v>1718</v>
      </c>
      <c r="AT21" t="s">
        <v>1718</v>
      </c>
      <c r="AU21" t="s">
        <v>1718</v>
      </c>
      <c r="AV21" t="str">
        <f>VLOOKUP(D21,DATA_SISTEMA!$A$1:$Q$506,12,FALSE)</f>
        <v>CHICLAYO</v>
      </c>
      <c r="AW21" t="str">
        <f>VLOOKUP(D21,DATA_SISTEMA!$A$1:$Q$506,11,FALSE)</f>
        <v>CHICLAYO</v>
      </c>
      <c r="AX21" t="str">
        <f>VLOOKUP(D21,DATA_SISTEMA!$A$1:$Q$506,10,FALSE)</f>
        <v>LAMBAYEQUE</v>
      </c>
      <c r="AY21" t="s">
        <v>1718</v>
      </c>
      <c r="AZ21" t="s">
        <v>5028</v>
      </c>
      <c r="BA21" t="s">
        <v>1718</v>
      </c>
      <c r="BB21" t="s">
        <v>5028</v>
      </c>
      <c r="BC21" t="s">
        <v>1718</v>
      </c>
      <c r="BD21" t="s">
        <v>5028</v>
      </c>
      <c r="BE21" t="s">
        <v>1718</v>
      </c>
      <c r="BF21" s="34" t="s">
        <v>2104</v>
      </c>
      <c r="BG21" s="1">
        <v>77</v>
      </c>
    </row>
    <row r="22" spans="1:59" x14ac:dyDescent="0.25">
      <c r="A22" s="4">
        <v>21</v>
      </c>
      <c r="B22" s="33" t="s">
        <v>1719</v>
      </c>
      <c r="C22" s="1" t="s">
        <v>1740</v>
      </c>
      <c r="D22" s="38" t="s">
        <v>4543</v>
      </c>
      <c r="E22" s="1" t="s">
        <v>227</v>
      </c>
      <c r="F22" s="36" t="s">
        <v>1718</v>
      </c>
      <c r="G22" s="1">
        <v>923075704</v>
      </c>
      <c r="H22" t="str">
        <f>VLOOKUP(D22,DATA_SISTEMA!$A$1:$Q$506,13,FALSE)</f>
        <v>CALLE 29 DE MAYO 244</v>
      </c>
      <c r="I22" t="str">
        <f>VLOOKUP(D22,DATA_SISTEMA!$A$1:$Q$506,7,FALSE)</f>
        <v>1997-05-09</v>
      </c>
      <c r="J22" s="32" t="s">
        <v>1718</v>
      </c>
      <c r="K22" s="32" t="s">
        <v>1718</v>
      </c>
      <c r="L22" s="32" t="s">
        <v>1718</v>
      </c>
      <c r="M22">
        <v>269</v>
      </c>
      <c r="N22">
        <v>0</v>
      </c>
      <c r="O22" s="32" t="str">
        <f t="shared" si="0"/>
        <v>210020261X</v>
      </c>
      <c r="P22" s="32" t="s">
        <v>1718</v>
      </c>
      <c r="Q22" s="32" t="s">
        <v>1718</v>
      </c>
      <c r="R22" s="32" t="s">
        <v>2110</v>
      </c>
      <c r="S22" s="32" t="s">
        <v>2105</v>
      </c>
      <c r="T22" t="str">
        <f>VLOOKUP(D22,DATA_SISTEMA!$A$1:$Q$506,9,FALSE)</f>
        <v>M</v>
      </c>
      <c r="U22" s="32" t="s">
        <v>2106</v>
      </c>
      <c r="V22" s="32" t="s">
        <v>1718</v>
      </c>
      <c r="W22" s="37" t="s">
        <v>5028</v>
      </c>
      <c r="X22" s="32" t="s">
        <v>4522</v>
      </c>
      <c r="Y22" s="32" t="s">
        <v>1718</v>
      </c>
      <c r="Z22" s="32" t="s">
        <v>1718</v>
      </c>
      <c r="AA22" s="32" t="s">
        <v>5028</v>
      </c>
      <c r="AB22" s="32" t="s">
        <v>1718</v>
      </c>
      <c r="AC22" s="32" t="s">
        <v>1718</v>
      </c>
      <c r="AD22" s="32" t="s">
        <v>1718</v>
      </c>
      <c r="AE22" s="32" t="s">
        <v>1718</v>
      </c>
      <c r="AF22" s="32" t="s">
        <v>1718</v>
      </c>
      <c r="AG22" s="32" t="s">
        <v>1718</v>
      </c>
      <c r="AH22" s="32" t="s">
        <v>2107</v>
      </c>
      <c r="AI22" s="1" t="s">
        <v>1321</v>
      </c>
      <c r="AJ22" s="1" t="s">
        <v>887</v>
      </c>
      <c r="AK22" s="1" t="s">
        <v>894</v>
      </c>
      <c r="AL22" s="1">
        <v>72705857</v>
      </c>
      <c r="AM22" t="s">
        <v>1718</v>
      </c>
      <c r="AN22" t="s">
        <v>1718</v>
      </c>
      <c r="AO22" t="s">
        <v>1718</v>
      </c>
      <c r="AP22" t="s">
        <v>1718</v>
      </c>
      <c r="AQ22" t="s">
        <v>1718</v>
      </c>
      <c r="AR22" t="s">
        <v>1718</v>
      </c>
      <c r="AS22" t="s">
        <v>1718</v>
      </c>
      <c r="AT22" t="s">
        <v>1718</v>
      </c>
      <c r="AU22" t="s">
        <v>1718</v>
      </c>
      <c r="AV22" t="str">
        <f>VLOOKUP(D22,DATA_SISTEMA!$A$1:$Q$506,12,FALSE)</f>
        <v>LAMBAYEQUE</v>
      </c>
      <c r="AW22" t="str">
        <f>VLOOKUP(D22,DATA_SISTEMA!$A$1:$Q$506,11,FALSE)</f>
        <v>LAMBAYEQUE</v>
      </c>
      <c r="AX22" t="str">
        <f>VLOOKUP(D22,DATA_SISTEMA!$A$1:$Q$506,10,FALSE)</f>
        <v>LAMBAYEQUE</v>
      </c>
      <c r="AY22" t="s">
        <v>1718</v>
      </c>
      <c r="AZ22" t="s">
        <v>5028</v>
      </c>
      <c r="BA22" t="s">
        <v>1718</v>
      </c>
      <c r="BB22" t="s">
        <v>5028</v>
      </c>
      <c r="BC22" t="s">
        <v>1718</v>
      </c>
      <c r="BD22" t="s">
        <v>5028</v>
      </c>
      <c r="BE22" t="s">
        <v>1718</v>
      </c>
      <c r="BF22" s="34" t="s">
        <v>2104</v>
      </c>
      <c r="BG22" s="1">
        <v>74.400000000000006</v>
      </c>
    </row>
    <row r="23" spans="1:59" x14ac:dyDescent="0.25">
      <c r="A23" s="4">
        <v>22</v>
      </c>
      <c r="B23" s="33" t="s">
        <v>1719</v>
      </c>
      <c r="C23" s="1" t="s">
        <v>1741</v>
      </c>
      <c r="D23" s="38" t="s">
        <v>4544</v>
      </c>
      <c r="E23" s="1" t="s">
        <v>229</v>
      </c>
      <c r="F23" s="36" t="s">
        <v>1718</v>
      </c>
      <c r="G23" s="1">
        <v>927503554</v>
      </c>
      <c r="H23" t="str">
        <f>VLOOKUP(D23,DATA_SISTEMA!$A$1:$Q$506,13,FALSE)</f>
        <v>CASERIO PLAYA DE CASCAJAL</v>
      </c>
      <c r="I23" t="str">
        <f>VLOOKUP(D23,DATA_SISTEMA!$A$1:$Q$506,7,FALSE)</f>
        <v>1995-05-04</v>
      </c>
      <c r="J23" s="32" t="s">
        <v>1718</v>
      </c>
      <c r="K23" s="32" t="s">
        <v>1718</v>
      </c>
      <c r="L23" s="32" t="s">
        <v>1718</v>
      </c>
      <c r="M23">
        <v>269</v>
      </c>
      <c r="N23">
        <v>0</v>
      </c>
      <c r="O23" s="32" t="str">
        <f t="shared" si="0"/>
        <v>220020261X</v>
      </c>
      <c r="P23" s="32" t="s">
        <v>1718</v>
      </c>
      <c r="Q23" s="32" t="s">
        <v>1718</v>
      </c>
      <c r="R23" s="32" t="s">
        <v>2110</v>
      </c>
      <c r="S23" s="32" t="s">
        <v>2105</v>
      </c>
      <c r="T23" t="str">
        <f>VLOOKUP(D23,DATA_SISTEMA!$A$1:$Q$506,9,FALSE)</f>
        <v>F</v>
      </c>
      <c r="U23" s="32" t="s">
        <v>2106</v>
      </c>
      <c r="V23" s="32" t="s">
        <v>1718</v>
      </c>
      <c r="W23" s="37" t="s">
        <v>5028</v>
      </c>
      <c r="X23" s="32" t="s">
        <v>4522</v>
      </c>
      <c r="Y23" s="32" t="s">
        <v>1718</v>
      </c>
      <c r="Z23" s="32" t="s">
        <v>1718</v>
      </c>
      <c r="AA23" s="32" t="s">
        <v>5028</v>
      </c>
      <c r="AB23" s="32" t="s">
        <v>1718</v>
      </c>
      <c r="AC23" s="32" t="s">
        <v>1718</v>
      </c>
      <c r="AD23" s="32" t="s">
        <v>1718</v>
      </c>
      <c r="AE23" s="32" t="s">
        <v>1718</v>
      </c>
      <c r="AF23" s="32" t="s">
        <v>1718</v>
      </c>
      <c r="AG23" s="32" t="s">
        <v>1718</v>
      </c>
      <c r="AH23" s="32" t="s">
        <v>2107</v>
      </c>
      <c r="AI23" s="1" t="s">
        <v>1322</v>
      </c>
      <c r="AJ23" s="1" t="s">
        <v>895</v>
      </c>
      <c r="AK23" s="1" t="s">
        <v>896</v>
      </c>
      <c r="AL23" s="1">
        <v>76557578</v>
      </c>
      <c r="AM23" t="s">
        <v>1718</v>
      </c>
      <c r="AN23" t="s">
        <v>1718</v>
      </c>
      <c r="AO23" t="s">
        <v>1718</v>
      </c>
      <c r="AP23" t="s">
        <v>1718</v>
      </c>
      <c r="AQ23" t="s">
        <v>1718</v>
      </c>
      <c r="AR23" t="s">
        <v>1718</v>
      </c>
      <c r="AS23" t="s">
        <v>1718</v>
      </c>
      <c r="AT23" t="s">
        <v>1718</v>
      </c>
      <c r="AU23" t="s">
        <v>1718</v>
      </c>
      <c r="AV23" t="str">
        <f>VLOOKUP(D23,DATA_SISTEMA!$A$1:$Q$506,12,FALSE)</f>
        <v>OLMOS</v>
      </c>
      <c r="AW23" t="str">
        <f>VLOOKUP(D23,DATA_SISTEMA!$A$1:$Q$506,11,FALSE)</f>
        <v>LAMBAYEQUE</v>
      </c>
      <c r="AX23" t="str">
        <f>VLOOKUP(D23,DATA_SISTEMA!$A$1:$Q$506,10,FALSE)</f>
        <v>LAMBAYEQUE</v>
      </c>
      <c r="AY23" t="s">
        <v>1718</v>
      </c>
      <c r="AZ23" t="s">
        <v>5028</v>
      </c>
      <c r="BA23" t="s">
        <v>1718</v>
      </c>
      <c r="BB23" t="s">
        <v>5028</v>
      </c>
      <c r="BC23" t="s">
        <v>1718</v>
      </c>
      <c r="BD23" t="s">
        <v>5028</v>
      </c>
      <c r="BE23" t="s">
        <v>1718</v>
      </c>
      <c r="BF23" s="34" t="s">
        <v>2104</v>
      </c>
      <c r="BG23" s="1">
        <v>72</v>
      </c>
    </row>
    <row r="24" spans="1:59" x14ac:dyDescent="0.25">
      <c r="A24" s="4">
        <v>23</v>
      </c>
      <c r="B24" s="33" t="s">
        <v>1719</v>
      </c>
      <c r="C24" s="1" t="s">
        <v>1742</v>
      </c>
      <c r="D24" s="38" t="s">
        <v>4545</v>
      </c>
      <c r="E24" s="1" t="s">
        <v>231</v>
      </c>
      <c r="F24" s="36" t="s">
        <v>1718</v>
      </c>
      <c r="G24" s="1">
        <v>979743526</v>
      </c>
      <c r="H24" t="str">
        <f>VLOOKUP(D24,DATA_SISTEMA!$A$1:$Q$506,13,FALSE)</f>
        <v>CALLE ARCO DE VILLA MZ A LT 35 LAMBAYEQUE</v>
      </c>
      <c r="I24" t="str">
        <f>VLOOKUP(D24,DATA_SISTEMA!$A$1:$Q$506,7,FALSE)</f>
        <v>1996-02-16</v>
      </c>
      <c r="J24" s="32" t="s">
        <v>1718</v>
      </c>
      <c r="K24" s="32" t="s">
        <v>1718</v>
      </c>
      <c r="L24" s="32" t="s">
        <v>1718</v>
      </c>
      <c r="M24">
        <v>269</v>
      </c>
      <c r="N24">
        <v>0</v>
      </c>
      <c r="O24" s="32" t="str">
        <f t="shared" si="0"/>
        <v>230020261X</v>
      </c>
      <c r="P24" s="32" t="s">
        <v>1718</v>
      </c>
      <c r="Q24" s="32" t="s">
        <v>1718</v>
      </c>
      <c r="R24" s="32" t="s">
        <v>2110</v>
      </c>
      <c r="S24" s="32" t="s">
        <v>2105</v>
      </c>
      <c r="T24" t="str">
        <f>VLOOKUP(D24,DATA_SISTEMA!$A$1:$Q$506,9,FALSE)</f>
        <v>M</v>
      </c>
      <c r="U24" s="32" t="s">
        <v>2106</v>
      </c>
      <c r="V24" s="32" t="s">
        <v>1718</v>
      </c>
      <c r="W24" s="37" t="s">
        <v>5028</v>
      </c>
      <c r="X24" s="32" t="s">
        <v>4522</v>
      </c>
      <c r="Y24" s="32" t="s">
        <v>1718</v>
      </c>
      <c r="Z24" s="32" t="s">
        <v>1718</v>
      </c>
      <c r="AA24" s="32" t="s">
        <v>5028</v>
      </c>
      <c r="AB24" s="32" t="s">
        <v>1718</v>
      </c>
      <c r="AC24" s="32" t="s">
        <v>1718</v>
      </c>
      <c r="AD24" s="32" t="s">
        <v>1718</v>
      </c>
      <c r="AE24" s="32" t="s">
        <v>1718</v>
      </c>
      <c r="AF24" s="32" t="s">
        <v>1718</v>
      </c>
      <c r="AG24" s="32" t="s">
        <v>1718</v>
      </c>
      <c r="AH24" s="32" t="s">
        <v>2107</v>
      </c>
      <c r="AI24" s="1" t="s">
        <v>1323</v>
      </c>
      <c r="AJ24" s="1" t="s">
        <v>897</v>
      </c>
      <c r="AK24" s="1" t="s">
        <v>898</v>
      </c>
      <c r="AL24" s="1">
        <v>73532196</v>
      </c>
      <c r="AM24" t="s">
        <v>1718</v>
      </c>
      <c r="AN24" t="s">
        <v>1718</v>
      </c>
      <c r="AO24" t="s">
        <v>1718</v>
      </c>
      <c r="AP24" t="s">
        <v>1718</v>
      </c>
      <c r="AQ24" t="s">
        <v>1718</v>
      </c>
      <c r="AR24" t="s">
        <v>1718</v>
      </c>
      <c r="AS24" t="s">
        <v>1718</v>
      </c>
      <c r="AT24" t="s">
        <v>1718</v>
      </c>
      <c r="AU24" t="s">
        <v>1718</v>
      </c>
      <c r="AV24" t="str">
        <f>VLOOKUP(D24,DATA_SISTEMA!$A$1:$Q$506,12,FALSE)</f>
        <v>LAMBAYEQUE</v>
      </c>
      <c r="AW24" t="str">
        <f>VLOOKUP(D24,DATA_SISTEMA!$A$1:$Q$506,11,FALSE)</f>
        <v>LAMBAYEQUE</v>
      </c>
      <c r="AX24" t="str">
        <f>VLOOKUP(D24,DATA_SISTEMA!$A$1:$Q$506,10,FALSE)</f>
        <v>LAMBAYEQUE</v>
      </c>
      <c r="AY24" t="s">
        <v>1718</v>
      </c>
      <c r="AZ24" t="s">
        <v>5028</v>
      </c>
      <c r="BA24" t="s">
        <v>1718</v>
      </c>
      <c r="BB24" t="s">
        <v>5028</v>
      </c>
      <c r="BC24" t="s">
        <v>1718</v>
      </c>
      <c r="BD24" t="s">
        <v>5028</v>
      </c>
      <c r="BE24" t="s">
        <v>1718</v>
      </c>
      <c r="BF24" s="34" t="s">
        <v>2104</v>
      </c>
      <c r="BG24" s="1">
        <v>71</v>
      </c>
    </row>
    <row r="25" spans="1:59" x14ac:dyDescent="0.25">
      <c r="A25" s="4">
        <v>24</v>
      </c>
      <c r="B25" s="33" t="s">
        <v>1719</v>
      </c>
      <c r="C25" s="1" t="s">
        <v>1743</v>
      </c>
      <c r="D25" s="38" t="s">
        <v>4546</v>
      </c>
      <c r="E25" s="1" t="s">
        <v>233</v>
      </c>
      <c r="F25" s="36" t="s">
        <v>1718</v>
      </c>
      <c r="G25" s="1">
        <v>940462464</v>
      </c>
      <c r="H25" t="str">
        <f>VLOOKUP(D25,DATA_SISTEMA!$A$1:$Q$506,13,FALSE)</f>
        <v>AV 9 DE OCTUBRE 1275 PJ 9 DE OCTUBRE</v>
      </c>
      <c r="I25" t="str">
        <f>VLOOKUP(D25,DATA_SISTEMA!$A$1:$Q$506,7,FALSE)</f>
        <v>1987-02-01</v>
      </c>
      <c r="J25" s="32" t="s">
        <v>1718</v>
      </c>
      <c r="K25" s="32" t="s">
        <v>1718</v>
      </c>
      <c r="L25" s="32" t="s">
        <v>1718</v>
      </c>
      <c r="M25">
        <v>269</v>
      </c>
      <c r="N25">
        <v>0</v>
      </c>
      <c r="O25" s="32" t="str">
        <f t="shared" si="0"/>
        <v>240020261X</v>
      </c>
      <c r="P25" s="32" t="s">
        <v>1718</v>
      </c>
      <c r="Q25" s="32" t="s">
        <v>1718</v>
      </c>
      <c r="R25" s="32" t="s">
        <v>2110</v>
      </c>
      <c r="S25" s="32" t="s">
        <v>2105</v>
      </c>
      <c r="T25" t="str">
        <f>VLOOKUP(D25,DATA_SISTEMA!$A$1:$Q$506,9,FALSE)</f>
        <v>M</v>
      </c>
      <c r="U25" s="32" t="s">
        <v>2106</v>
      </c>
      <c r="V25" s="32" t="s">
        <v>1718</v>
      </c>
      <c r="W25" s="37" t="s">
        <v>5028</v>
      </c>
      <c r="X25" s="32" t="s">
        <v>4522</v>
      </c>
      <c r="Y25" s="32" t="s">
        <v>1718</v>
      </c>
      <c r="Z25" s="32" t="s">
        <v>1718</v>
      </c>
      <c r="AA25" s="32" t="s">
        <v>5028</v>
      </c>
      <c r="AB25" s="32" t="s">
        <v>1718</v>
      </c>
      <c r="AC25" s="32" t="s">
        <v>1718</v>
      </c>
      <c r="AD25" s="32" t="s">
        <v>1718</v>
      </c>
      <c r="AE25" s="32" t="s">
        <v>1718</v>
      </c>
      <c r="AF25" s="32" t="s">
        <v>1718</v>
      </c>
      <c r="AG25" s="32" t="s">
        <v>1718</v>
      </c>
      <c r="AH25" s="32" t="s">
        <v>2107</v>
      </c>
      <c r="AI25" s="1" t="s">
        <v>1324</v>
      </c>
      <c r="AJ25" s="1" t="s">
        <v>899</v>
      </c>
      <c r="AK25" s="1" t="s">
        <v>898</v>
      </c>
      <c r="AL25" s="1">
        <v>44346477</v>
      </c>
      <c r="AM25" t="s">
        <v>1718</v>
      </c>
      <c r="AN25" t="s">
        <v>1718</v>
      </c>
      <c r="AO25" t="s">
        <v>1718</v>
      </c>
      <c r="AP25" t="s">
        <v>1718</v>
      </c>
      <c r="AQ25" t="s">
        <v>1718</v>
      </c>
      <c r="AR25" t="s">
        <v>1718</v>
      </c>
      <c r="AS25" t="s">
        <v>1718</v>
      </c>
      <c r="AT25" t="s">
        <v>1718</v>
      </c>
      <c r="AU25" t="s">
        <v>1718</v>
      </c>
      <c r="AV25" t="str">
        <f>VLOOKUP(D25,DATA_SISTEMA!$A$1:$Q$506,12,FALSE)</f>
        <v>CHICLAYO</v>
      </c>
      <c r="AW25" t="str">
        <f>VLOOKUP(D25,DATA_SISTEMA!$A$1:$Q$506,11,FALSE)</f>
        <v>CHICLAYO</v>
      </c>
      <c r="AX25" t="str">
        <f>VLOOKUP(D25,DATA_SISTEMA!$A$1:$Q$506,10,FALSE)</f>
        <v>LAMBAYEQUE</v>
      </c>
      <c r="AY25" t="s">
        <v>1718</v>
      </c>
      <c r="AZ25" t="s">
        <v>5028</v>
      </c>
      <c r="BA25" t="s">
        <v>1718</v>
      </c>
      <c r="BB25" t="s">
        <v>5028</v>
      </c>
      <c r="BC25" t="s">
        <v>1718</v>
      </c>
      <c r="BD25" t="s">
        <v>5028</v>
      </c>
      <c r="BE25" t="s">
        <v>1718</v>
      </c>
      <c r="BF25" s="34" t="s">
        <v>2104</v>
      </c>
      <c r="BG25" s="1">
        <v>69.5</v>
      </c>
    </row>
    <row r="26" spans="1:59" x14ac:dyDescent="0.25">
      <c r="A26" s="4">
        <v>25</v>
      </c>
      <c r="B26" s="33" t="s">
        <v>1719</v>
      </c>
      <c r="C26" s="1" t="s">
        <v>1744</v>
      </c>
      <c r="D26" s="38" t="s">
        <v>4547</v>
      </c>
      <c r="E26" s="1" t="s">
        <v>235</v>
      </c>
      <c r="F26" s="36" t="s">
        <v>1718</v>
      </c>
      <c r="G26" s="1">
        <v>903358427</v>
      </c>
      <c r="H26" t="str">
        <f>VLOOKUP(D26,DATA_SISTEMA!$A$1:$Q$506,13,FALSE)</f>
        <v>CALLE PAUL HARRIS 1275</v>
      </c>
      <c r="I26" t="str">
        <f>VLOOKUP(D26,DATA_SISTEMA!$A$1:$Q$506,7,FALSE)</f>
        <v>1997-11-30</v>
      </c>
      <c r="J26" s="32" t="s">
        <v>1718</v>
      </c>
      <c r="K26" s="32" t="s">
        <v>1718</v>
      </c>
      <c r="L26" s="32" t="s">
        <v>1718</v>
      </c>
      <c r="M26">
        <v>269</v>
      </c>
      <c r="N26">
        <v>0</v>
      </c>
      <c r="O26" s="32" t="str">
        <f t="shared" si="0"/>
        <v>250020261X</v>
      </c>
      <c r="P26" s="32" t="s">
        <v>1718</v>
      </c>
      <c r="Q26" s="32" t="s">
        <v>1718</v>
      </c>
      <c r="R26" s="32" t="s">
        <v>2110</v>
      </c>
      <c r="S26" s="32" t="s">
        <v>2105</v>
      </c>
      <c r="T26" t="str">
        <f>VLOOKUP(D26,DATA_SISTEMA!$A$1:$Q$506,9,FALSE)</f>
        <v>M</v>
      </c>
      <c r="U26" s="32" t="s">
        <v>2106</v>
      </c>
      <c r="V26" s="32" t="s">
        <v>1718</v>
      </c>
      <c r="W26" s="37" t="s">
        <v>5028</v>
      </c>
      <c r="X26" s="32" t="s">
        <v>4522</v>
      </c>
      <c r="Y26" s="32" t="s">
        <v>1718</v>
      </c>
      <c r="Z26" s="32" t="s">
        <v>1718</v>
      </c>
      <c r="AA26" s="32" t="s">
        <v>5028</v>
      </c>
      <c r="AB26" s="32" t="s">
        <v>1718</v>
      </c>
      <c r="AC26" s="32" t="s">
        <v>1718</v>
      </c>
      <c r="AD26" s="32" t="s">
        <v>1718</v>
      </c>
      <c r="AE26" s="32" t="s">
        <v>1718</v>
      </c>
      <c r="AF26" s="32" t="s">
        <v>1718</v>
      </c>
      <c r="AG26" s="32" t="s">
        <v>1718</v>
      </c>
      <c r="AH26" s="32" t="s">
        <v>2107</v>
      </c>
      <c r="AI26" s="1" t="s">
        <v>1325</v>
      </c>
      <c r="AJ26" s="1" t="s">
        <v>879</v>
      </c>
      <c r="AK26" s="1" t="s">
        <v>900</v>
      </c>
      <c r="AL26" s="1">
        <v>70673235</v>
      </c>
      <c r="AM26" t="s">
        <v>1718</v>
      </c>
      <c r="AN26" t="s">
        <v>1718</v>
      </c>
      <c r="AO26" t="s">
        <v>1718</v>
      </c>
      <c r="AP26" t="s">
        <v>1718</v>
      </c>
      <c r="AQ26" t="s">
        <v>1718</v>
      </c>
      <c r="AR26" t="s">
        <v>1718</v>
      </c>
      <c r="AS26" t="s">
        <v>1718</v>
      </c>
      <c r="AT26" t="s">
        <v>1718</v>
      </c>
      <c r="AU26" t="s">
        <v>1718</v>
      </c>
      <c r="AV26" t="str">
        <f>VLOOKUP(D26,DATA_SISTEMA!$A$1:$Q$506,12,FALSE)</f>
        <v>LA VICTORIA</v>
      </c>
      <c r="AW26" t="str">
        <f>VLOOKUP(D26,DATA_SISTEMA!$A$1:$Q$506,11,FALSE)</f>
        <v>CHICLAYO</v>
      </c>
      <c r="AX26" t="str">
        <f>VLOOKUP(D26,DATA_SISTEMA!$A$1:$Q$506,10,FALSE)</f>
        <v>LAMBAYEQUE</v>
      </c>
      <c r="AY26" t="s">
        <v>1718</v>
      </c>
      <c r="AZ26" t="s">
        <v>5028</v>
      </c>
      <c r="BA26" t="s">
        <v>1718</v>
      </c>
      <c r="BB26" t="s">
        <v>5028</v>
      </c>
      <c r="BC26" t="s">
        <v>1718</v>
      </c>
      <c r="BD26" t="s">
        <v>5028</v>
      </c>
      <c r="BE26" t="s">
        <v>1718</v>
      </c>
      <c r="BF26" s="34" t="s">
        <v>2104</v>
      </c>
      <c r="BG26" s="1">
        <v>69.5</v>
      </c>
    </row>
    <row r="27" spans="1:59" x14ac:dyDescent="0.25">
      <c r="A27" s="4">
        <v>26</v>
      </c>
      <c r="B27" s="33" t="s">
        <v>1719</v>
      </c>
      <c r="C27" s="1" t="s">
        <v>1745</v>
      </c>
      <c r="D27" s="38" t="s">
        <v>4548</v>
      </c>
      <c r="E27" s="1" t="s">
        <v>237</v>
      </c>
      <c r="F27" s="36" t="s">
        <v>1718</v>
      </c>
      <c r="G27" s="1">
        <v>952699247</v>
      </c>
      <c r="H27" t="str">
        <f>VLOOKUP(D27,DATA_SISTEMA!$A$1:$Q$506,13,FALSE)</f>
        <v>CALLE SANTA LUCÍA MZ A1 LOTE 1 URB. LA PURÍSIMA</v>
      </c>
      <c r="I27" t="str">
        <f>VLOOKUP(D27,DATA_SISTEMA!$A$1:$Q$506,7,FALSE)</f>
        <v>2000-07-03</v>
      </c>
      <c r="J27" s="32" t="s">
        <v>1718</v>
      </c>
      <c r="K27" s="32" t="s">
        <v>1718</v>
      </c>
      <c r="L27" s="32" t="s">
        <v>1718</v>
      </c>
      <c r="M27">
        <v>269</v>
      </c>
      <c r="N27">
        <v>0</v>
      </c>
      <c r="O27" s="32" t="str">
        <f t="shared" si="0"/>
        <v>260020261X</v>
      </c>
      <c r="P27" s="32" t="s">
        <v>1718</v>
      </c>
      <c r="Q27" s="32" t="s">
        <v>1718</v>
      </c>
      <c r="R27" s="32" t="s">
        <v>2110</v>
      </c>
      <c r="S27" s="32" t="s">
        <v>2105</v>
      </c>
      <c r="T27" t="str">
        <f>VLOOKUP(D27,DATA_SISTEMA!$A$1:$Q$506,9,FALSE)</f>
        <v>F</v>
      </c>
      <c r="U27" s="32" t="s">
        <v>2106</v>
      </c>
      <c r="V27" s="32" t="s">
        <v>1718</v>
      </c>
      <c r="W27" s="37" t="s">
        <v>5028</v>
      </c>
      <c r="X27" s="32" t="s">
        <v>4522</v>
      </c>
      <c r="Y27" s="32" t="s">
        <v>1718</v>
      </c>
      <c r="Z27" s="32" t="s">
        <v>1718</v>
      </c>
      <c r="AA27" s="32" t="s">
        <v>5028</v>
      </c>
      <c r="AB27" s="32" t="s">
        <v>1718</v>
      </c>
      <c r="AC27" s="32" t="s">
        <v>1718</v>
      </c>
      <c r="AD27" s="32" t="s">
        <v>1718</v>
      </c>
      <c r="AE27" s="32" t="s">
        <v>1718</v>
      </c>
      <c r="AF27" s="32" t="s">
        <v>1718</v>
      </c>
      <c r="AG27" s="32" t="s">
        <v>1718</v>
      </c>
      <c r="AH27" s="32" t="s">
        <v>2107</v>
      </c>
      <c r="AI27" s="1" t="s">
        <v>1326</v>
      </c>
      <c r="AJ27" s="1" t="s">
        <v>901</v>
      </c>
      <c r="AK27" s="1" t="s">
        <v>902</v>
      </c>
      <c r="AL27" s="1">
        <v>73704207</v>
      </c>
      <c r="AM27" t="s">
        <v>1718</v>
      </c>
      <c r="AN27" t="s">
        <v>1718</v>
      </c>
      <c r="AO27" t="s">
        <v>1718</v>
      </c>
      <c r="AP27" t="s">
        <v>1718</v>
      </c>
      <c r="AQ27" t="s">
        <v>1718</v>
      </c>
      <c r="AR27" t="s">
        <v>1718</v>
      </c>
      <c r="AS27" t="s">
        <v>1718</v>
      </c>
      <c r="AT27" t="s">
        <v>1718</v>
      </c>
      <c r="AU27" t="s">
        <v>1718</v>
      </c>
      <c r="AV27" t="str">
        <f>VLOOKUP(D27,DATA_SISTEMA!$A$1:$Q$506,12,FALSE)</f>
        <v>CHICLAYO</v>
      </c>
      <c r="AW27" t="str">
        <f>VLOOKUP(D27,DATA_SISTEMA!$A$1:$Q$506,11,FALSE)</f>
        <v>CHICLAYO</v>
      </c>
      <c r="AX27" t="str">
        <f>VLOOKUP(D27,DATA_SISTEMA!$A$1:$Q$506,10,FALSE)</f>
        <v>LAMBAYEQUE</v>
      </c>
      <c r="AY27" t="s">
        <v>1718</v>
      </c>
      <c r="AZ27" t="s">
        <v>5028</v>
      </c>
      <c r="BA27" t="s">
        <v>1718</v>
      </c>
      <c r="BB27" t="s">
        <v>5028</v>
      </c>
      <c r="BC27" t="s">
        <v>1718</v>
      </c>
      <c r="BD27" t="s">
        <v>5028</v>
      </c>
      <c r="BE27" t="s">
        <v>1718</v>
      </c>
      <c r="BF27" s="34" t="s">
        <v>2104</v>
      </c>
      <c r="BG27" s="1">
        <v>69</v>
      </c>
    </row>
    <row r="28" spans="1:59" x14ac:dyDescent="0.25">
      <c r="A28" s="4">
        <v>27</v>
      </c>
      <c r="B28" s="33" t="s">
        <v>1719</v>
      </c>
      <c r="C28" s="1" t="s">
        <v>1746</v>
      </c>
      <c r="D28" s="38" t="s">
        <v>4549</v>
      </c>
      <c r="E28" s="1" t="s">
        <v>239</v>
      </c>
      <c r="F28" s="36" t="s">
        <v>1718</v>
      </c>
      <c r="G28" s="1">
        <v>991672212</v>
      </c>
      <c r="H28" t="str">
        <f>VLOOKUP(D28,DATA_SISTEMA!$A$1:$Q$506,13,FALSE)</f>
        <v>CALLE MAYNAS #218 URB. PATAZCA</v>
      </c>
      <c r="I28" t="str">
        <f>VLOOKUP(D28,DATA_SISTEMA!$A$1:$Q$506,7,FALSE)</f>
        <v>2002-05-07</v>
      </c>
      <c r="J28" s="32" t="s">
        <v>1718</v>
      </c>
      <c r="K28" s="32" t="s">
        <v>1718</v>
      </c>
      <c r="L28" s="32" t="s">
        <v>1718</v>
      </c>
      <c r="M28">
        <v>269</v>
      </c>
      <c r="N28">
        <v>0</v>
      </c>
      <c r="O28" s="32" t="str">
        <f t="shared" si="0"/>
        <v>270020261X</v>
      </c>
      <c r="P28" s="32" t="s">
        <v>1718</v>
      </c>
      <c r="Q28" s="32" t="s">
        <v>1718</v>
      </c>
      <c r="R28" s="32" t="s">
        <v>2110</v>
      </c>
      <c r="S28" s="32" t="s">
        <v>2105</v>
      </c>
      <c r="T28" t="str">
        <f>VLOOKUP(D28,DATA_SISTEMA!$A$1:$Q$506,9,FALSE)</f>
        <v>M</v>
      </c>
      <c r="U28" s="32" t="s">
        <v>2106</v>
      </c>
      <c r="V28" s="32" t="s">
        <v>1718</v>
      </c>
      <c r="W28" s="37" t="s">
        <v>5028</v>
      </c>
      <c r="X28" s="32" t="s">
        <v>4522</v>
      </c>
      <c r="Y28" s="32" t="s">
        <v>1718</v>
      </c>
      <c r="Z28" s="32" t="s">
        <v>1718</v>
      </c>
      <c r="AA28" s="32" t="s">
        <v>5028</v>
      </c>
      <c r="AB28" s="32" t="s">
        <v>1718</v>
      </c>
      <c r="AC28" s="32" t="s">
        <v>1718</v>
      </c>
      <c r="AD28" s="32" t="s">
        <v>1718</v>
      </c>
      <c r="AE28" s="32" t="s">
        <v>1718</v>
      </c>
      <c r="AF28" s="32" t="s">
        <v>1718</v>
      </c>
      <c r="AG28" s="32" t="s">
        <v>1718</v>
      </c>
      <c r="AH28" s="32" t="s">
        <v>2107</v>
      </c>
      <c r="AI28" s="1" t="s">
        <v>1327</v>
      </c>
      <c r="AJ28" s="1" t="s">
        <v>903</v>
      </c>
      <c r="AK28" s="1" t="s">
        <v>904</v>
      </c>
      <c r="AL28" s="1">
        <v>71323716</v>
      </c>
      <c r="AM28" t="s">
        <v>1718</v>
      </c>
      <c r="AN28" t="s">
        <v>1718</v>
      </c>
      <c r="AO28" t="s">
        <v>1718</v>
      </c>
      <c r="AP28" t="s">
        <v>1718</v>
      </c>
      <c r="AQ28" t="s">
        <v>1718</v>
      </c>
      <c r="AR28" t="s">
        <v>1718</v>
      </c>
      <c r="AS28" t="s">
        <v>1718</v>
      </c>
      <c r="AT28" t="s">
        <v>1718</v>
      </c>
      <c r="AU28" t="s">
        <v>1718</v>
      </c>
      <c r="AV28" t="str">
        <f>VLOOKUP(D28,DATA_SISTEMA!$A$1:$Q$506,12,FALSE)</f>
        <v>CHICLAYO</v>
      </c>
      <c r="AW28" t="str">
        <f>VLOOKUP(D28,DATA_SISTEMA!$A$1:$Q$506,11,FALSE)</f>
        <v>CHICLAYO</v>
      </c>
      <c r="AX28" t="str">
        <f>VLOOKUP(D28,DATA_SISTEMA!$A$1:$Q$506,10,FALSE)</f>
        <v>LAMBAYEQUE</v>
      </c>
      <c r="AY28" t="s">
        <v>1718</v>
      </c>
      <c r="AZ28" t="s">
        <v>5028</v>
      </c>
      <c r="BA28" t="s">
        <v>1718</v>
      </c>
      <c r="BB28" t="s">
        <v>5028</v>
      </c>
      <c r="BC28" t="s">
        <v>1718</v>
      </c>
      <c r="BD28" t="s">
        <v>5028</v>
      </c>
      <c r="BE28" t="s">
        <v>1718</v>
      </c>
      <c r="BF28" s="34" t="s">
        <v>2104</v>
      </c>
      <c r="BG28" s="1">
        <v>65.900000000000006</v>
      </c>
    </row>
    <row r="29" spans="1:59" x14ac:dyDescent="0.25">
      <c r="A29" s="4">
        <v>28</v>
      </c>
      <c r="B29" s="33" t="s">
        <v>1719</v>
      </c>
      <c r="C29" s="1" t="s">
        <v>1747</v>
      </c>
      <c r="D29" s="38" t="s">
        <v>4550</v>
      </c>
      <c r="E29" s="1" t="s">
        <v>241</v>
      </c>
      <c r="F29" s="36" t="s">
        <v>1718</v>
      </c>
      <c r="G29" s="1">
        <v>941776414</v>
      </c>
      <c r="H29" t="str">
        <f>VLOOKUP(D29,DATA_SISTEMA!$A$1:$Q$506,13,FALSE)</f>
        <v>HABILITACIÓN URBANA MUNICIPAL MZ. A LT. 7</v>
      </c>
      <c r="I29" t="str">
        <f>VLOOKUP(D29,DATA_SISTEMA!$A$1:$Q$506,7,FALSE)</f>
        <v>1996-09-17</v>
      </c>
      <c r="J29" s="32" t="s">
        <v>1718</v>
      </c>
      <c r="K29" s="32" t="s">
        <v>1718</v>
      </c>
      <c r="L29" s="32" t="s">
        <v>1718</v>
      </c>
      <c r="M29">
        <v>269</v>
      </c>
      <c r="N29">
        <v>0</v>
      </c>
      <c r="O29" s="32" t="str">
        <f t="shared" si="0"/>
        <v>280020261X</v>
      </c>
      <c r="P29" s="32" t="s">
        <v>1718</v>
      </c>
      <c r="Q29" s="32" t="s">
        <v>1718</v>
      </c>
      <c r="R29" s="32" t="s">
        <v>2110</v>
      </c>
      <c r="S29" s="32" t="s">
        <v>2105</v>
      </c>
      <c r="T29" t="str">
        <f>VLOOKUP(D29,DATA_SISTEMA!$A$1:$Q$506,9,FALSE)</f>
        <v>F</v>
      </c>
      <c r="U29" s="32" t="s">
        <v>2106</v>
      </c>
      <c r="V29" s="32" t="s">
        <v>1718</v>
      </c>
      <c r="W29" s="37" t="s">
        <v>5028</v>
      </c>
      <c r="X29" s="32" t="s">
        <v>4522</v>
      </c>
      <c r="Y29" s="32" t="s">
        <v>1718</v>
      </c>
      <c r="Z29" s="32" t="s">
        <v>1718</v>
      </c>
      <c r="AA29" s="32" t="s">
        <v>5028</v>
      </c>
      <c r="AB29" s="32" t="s">
        <v>1718</v>
      </c>
      <c r="AC29" s="32" t="s">
        <v>1718</v>
      </c>
      <c r="AD29" s="32" t="s">
        <v>1718</v>
      </c>
      <c r="AE29" s="32" t="s">
        <v>1718</v>
      </c>
      <c r="AF29" s="32" t="s">
        <v>1718</v>
      </c>
      <c r="AG29" s="32" t="s">
        <v>1718</v>
      </c>
      <c r="AH29" s="32" t="s">
        <v>2107</v>
      </c>
      <c r="AI29" s="1" t="s">
        <v>1328</v>
      </c>
      <c r="AJ29" s="1" t="s">
        <v>906</v>
      </c>
      <c r="AK29" s="1" t="s">
        <v>907</v>
      </c>
      <c r="AL29" s="1">
        <v>72329588</v>
      </c>
      <c r="AM29" t="s">
        <v>1718</v>
      </c>
      <c r="AN29" t="s">
        <v>1718</v>
      </c>
      <c r="AO29" t="s">
        <v>1718</v>
      </c>
      <c r="AP29" t="s">
        <v>1718</v>
      </c>
      <c r="AQ29" t="s">
        <v>1718</v>
      </c>
      <c r="AR29" t="s">
        <v>1718</v>
      </c>
      <c r="AS29" t="s">
        <v>1718</v>
      </c>
      <c r="AT29" t="s">
        <v>1718</v>
      </c>
      <c r="AU29" t="s">
        <v>1718</v>
      </c>
      <c r="AV29" t="str">
        <f>VLOOKUP(D29,DATA_SISTEMA!$A$1:$Q$506,12,FALSE)</f>
        <v>LA VICTORIA</v>
      </c>
      <c r="AW29" t="str">
        <f>VLOOKUP(D29,DATA_SISTEMA!$A$1:$Q$506,11,FALSE)</f>
        <v>CHICLAYO</v>
      </c>
      <c r="AX29" t="str">
        <f>VLOOKUP(D29,DATA_SISTEMA!$A$1:$Q$506,10,FALSE)</f>
        <v>LAMBAYEQUE</v>
      </c>
      <c r="AY29" t="s">
        <v>1718</v>
      </c>
      <c r="AZ29" t="s">
        <v>5028</v>
      </c>
      <c r="BA29" t="s">
        <v>1718</v>
      </c>
      <c r="BB29" t="s">
        <v>5028</v>
      </c>
      <c r="BC29" t="s">
        <v>1718</v>
      </c>
      <c r="BD29" t="s">
        <v>5028</v>
      </c>
      <c r="BE29" t="s">
        <v>1718</v>
      </c>
      <c r="BF29" s="34" t="s">
        <v>2104</v>
      </c>
      <c r="BG29" s="1">
        <v>65.5</v>
      </c>
    </row>
    <row r="30" spans="1:59" x14ac:dyDescent="0.25">
      <c r="A30" s="4">
        <v>29</v>
      </c>
      <c r="B30" s="33" t="s">
        <v>1719</v>
      </c>
      <c r="C30" s="1" t="s">
        <v>1748</v>
      </c>
      <c r="D30" s="38" t="s">
        <v>4551</v>
      </c>
      <c r="E30" s="1" t="s">
        <v>243</v>
      </c>
      <c r="F30" s="36" t="s">
        <v>1718</v>
      </c>
      <c r="G30" s="1">
        <v>955641956</v>
      </c>
      <c r="H30" t="str">
        <f>VLOOKUP(D30,DATA_SISTEMA!$A$1:$Q$506,13,FALSE)</f>
        <v>ALAMEDA REAL ETAPA I. MZ. A LOTE 51</v>
      </c>
      <c r="I30" t="str">
        <f>VLOOKUP(D30,DATA_SISTEMA!$A$1:$Q$506,7,FALSE)</f>
        <v>1981-12-04</v>
      </c>
      <c r="J30" s="32" t="s">
        <v>1718</v>
      </c>
      <c r="K30" s="32" t="s">
        <v>1718</v>
      </c>
      <c r="L30" s="32" t="s">
        <v>1718</v>
      </c>
      <c r="M30">
        <v>269</v>
      </c>
      <c r="N30">
        <v>0</v>
      </c>
      <c r="O30" s="32" t="str">
        <f t="shared" si="0"/>
        <v>290020261X</v>
      </c>
      <c r="P30" s="32" t="s">
        <v>1718</v>
      </c>
      <c r="Q30" s="32" t="s">
        <v>1718</v>
      </c>
      <c r="R30" s="32" t="s">
        <v>2110</v>
      </c>
      <c r="S30" s="32" t="s">
        <v>2105</v>
      </c>
      <c r="T30" t="str">
        <f>VLOOKUP(D30,DATA_SISTEMA!$A$1:$Q$506,9,FALSE)</f>
        <v>F</v>
      </c>
      <c r="U30" s="32" t="s">
        <v>2106</v>
      </c>
      <c r="V30" s="32" t="s">
        <v>1718</v>
      </c>
      <c r="W30" s="37" t="s">
        <v>5028</v>
      </c>
      <c r="X30" s="32" t="s">
        <v>4522</v>
      </c>
      <c r="Y30" s="32" t="s">
        <v>1718</v>
      </c>
      <c r="Z30" s="32" t="s">
        <v>1718</v>
      </c>
      <c r="AA30" s="32" t="s">
        <v>5028</v>
      </c>
      <c r="AB30" s="32" t="s">
        <v>1718</v>
      </c>
      <c r="AC30" s="32" t="s">
        <v>1718</v>
      </c>
      <c r="AD30" s="32" t="s">
        <v>1718</v>
      </c>
      <c r="AE30" s="32" t="s">
        <v>1718</v>
      </c>
      <c r="AF30" s="32" t="s">
        <v>1718</v>
      </c>
      <c r="AG30" s="32" t="s">
        <v>1718</v>
      </c>
      <c r="AH30" s="32" t="s">
        <v>2107</v>
      </c>
      <c r="AI30" s="1" t="s">
        <v>1329</v>
      </c>
      <c r="AJ30" s="1" t="s">
        <v>908</v>
      </c>
      <c r="AK30" s="1" t="s">
        <v>888</v>
      </c>
      <c r="AL30" s="1">
        <v>41154905</v>
      </c>
      <c r="AM30" t="s">
        <v>1718</v>
      </c>
      <c r="AN30" t="s">
        <v>1718</v>
      </c>
      <c r="AO30" t="s">
        <v>1718</v>
      </c>
      <c r="AP30" t="s">
        <v>1718</v>
      </c>
      <c r="AQ30" t="s">
        <v>1718</v>
      </c>
      <c r="AR30" t="s">
        <v>1718</v>
      </c>
      <c r="AS30" t="s">
        <v>1718</v>
      </c>
      <c r="AT30" t="s">
        <v>1718</v>
      </c>
      <c r="AU30" t="s">
        <v>1718</v>
      </c>
      <c r="AV30" t="str">
        <f>VLOOKUP(D30,DATA_SISTEMA!$A$1:$Q$506,12,FALSE)</f>
        <v>LAMBAYEQUE</v>
      </c>
      <c r="AW30" t="str">
        <f>VLOOKUP(D30,DATA_SISTEMA!$A$1:$Q$506,11,FALSE)</f>
        <v>LAMBAYEQUE</v>
      </c>
      <c r="AX30" t="str">
        <f>VLOOKUP(D30,DATA_SISTEMA!$A$1:$Q$506,10,FALSE)</f>
        <v>LAMBAYEQUE</v>
      </c>
      <c r="AY30" t="s">
        <v>1718</v>
      </c>
      <c r="AZ30" t="s">
        <v>5028</v>
      </c>
      <c r="BA30" t="s">
        <v>1718</v>
      </c>
      <c r="BB30" t="s">
        <v>5028</v>
      </c>
      <c r="BC30" t="s">
        <v>1718</v>
      </c>
      <c r="BD30" t="s">
        <v>5028</v>
      </c>
      <c r="BE30" t="s">
        <v>1718</v>
      </c>
      <c r="BF30" s="34" t="s">
        <v>2104</v>
      </c>
      <c r="BG30" s="1">
        <v>65.099999999999994</v>
      </c>
    </row>
    <row r="31" spans="1:59" x14ac:dyDescent="0.25">
      <c r="A31" s="4">
        <v>30</v>
      </c>
      <c r="B31" s="33" t="s">
        <v>1719</v>
      </c>
      <c r="C31" s="1" t="s">
        <v>1749</v>
      </c>
      <c r="D31" s="38" t="s">
        <v>4552</v>
      </c>
      <c r="E31" s="1" t="s">
        <v>245</v>
      </c>
      <c r="F31" s="36" t="s">
        <v>1718</v>
      </c>
      <c r="G31" s="1">
        <v>942238971</v>
      </c>
      <c r="H31" t="str">
        <f>VLOOKUP(D31,DATA_SISTEMA!$A$1:$Q$506,13,FALSE)</f>
        <v>INDEPENDENCIA 725</v>
      </c>
      <c r="I31" t="str">
        <f>VLOOKUP(D31,DATA_SISTEMA!$A$1:$Q$506,7,FALSE)</f>
        <v>1996-03-09</v>
      </c>
      <c r="J31" s="32" t="s">
        <v>1718</v>
      </c>
      <c r="K31" s="32" t="s">
        <v>1718</v>
      </c>
      <c r="L31" s="32" t="s">
        <v>1718</v>
      </c>
      <c r="M31">
        <v>269</v>
      </c>
      <c r="N31">
        <v>0</v>
      </c>
      <c r="O31" s="32" t="str">
        <f t="shared" si="0"/>
        <v>300020261X</v>
      </c>
      <c r="P31" s="32" t="s">
        <v>1718</v>
      </c>
      <c r="Q31" s="32" t="s">
        <v>1718</v>
      </c>
      <c r="R31" s="32" t="s">
        <v>2110</v>
      </c>
      <c r="S31" s="32" t="s">
        <v>2105</v>
      </c>
      <c r="T31" t="str">
        <f>VLOOKUP(D31,DATA_SISTEMA!$A$1:$Q$506,9,FALSE)</f>
        <v>F</v>
      </c>
      <c r="U31" s="32" t="s">
        <v>2106</v>
      </c>
      <c r="V31" s="32" t="s">
        <v>1718</v>
      </c>
      <c r="W31" s="37" t="s">
        <v>5028</v>
      </c>
      <c r="X31" s="32" t="s">
        <v>4522</v>
      </c>
      <c r="Y31" s="32" t="s">
        <v>1718</v>
      </c>
      <c r="Z31" s="32" t="s">
        <v>1718</v>
      </c>
      <c r="AA31" s="32" t="s">
        <v>5028</v>
      </c>
      <c r="AB31" s="32" t="s">
        <v>1718</v>
      </c>
      <c r="AC31" s="32" t="s">
        <v>1718</v>
      </c>
      <c r="AD31" s="32" t="s">
        <v>1718</v>
      </c>
      <c r="AE31" s="32" t="s">
        <v>1718</v>
      </c>
      <c r="AF31" s="32" t="s">
        <v>1718</v>
      </c>
      <c r="AG31" s="32" t="s">
        <v>1718</v>
      </c>
      <c r="AH31" s="32" t="s">
        <v>2107</v>
      </c>
      <c r="AI31" s="1" t="s">
        <v>1330</v>
      </c>
      <c r="AJ31" s="1" t="s">
        <v>909</v>
      </c>
      <c r="AK31" s="1" t="s">
        <v>910</v>
      </c>
      <c r="AL31" s="1">
        <v>73699282</v>
      </c>
      <c r="AM31" t="s">
        <v>1718</v>
      </c>
      <c r="AN31" t="s">
        <v>1718</v>
      </c>
      <c r="AO31" t="s">
        <v>1718</v>
      </c>
      <c r="AP31" t="s">
        <v>1718</v>
      </c>
      <c r="AQ31" t="s">
        <v>1718</v>
      </c>
      <c r="AR31" t="s">
        <v>1718</v>
      </c>
      <c r="AS31" t="s">
        <v>1718</v>
      </c>
      <c r="AT31" t="s">
        <v>1718</v>
      </c>
      <c r="AU31" t="s">
        <v>1718</v>
      </c>
      <c r="AV31" t="str">
        <f>VLOOKUP(D31,DATA_SISTEMA!$A$1:$Q$506,12,FALSE)</f>
        <v>CHICLAYO</v>
      </c>
      <c r="AW31" t="str">
        <f>VLOOKUP(D31,DATA_SISTEMA!$A$1:$Q$506,11,FALSE)</f>
        <v>CHICLAYO</v>
      </c>
      <c r="AX31" t="str">
        <f>VLOOKUP(D31,DATA_SISTEMA!$A$1:$Q$506,10,FALSE)</f>
        <v>LAMBAYEQUE</v>
      </c>
      <c r="AY31" t="s">
        <v>1718</v>
      </c>
      <c r="AZ31" t="s">
        <v>5028</v>
      </c>
      <c r="BA31" t="s">
        <v>1718</v>
      </c>
      <c r="BB31" t="s">
        <v>5028</v>
      </c>
      <c r="BC31" t="s">
        <v>1718</v>
      </c>
      <c r="BD31" t="s">
        <v>5028</v>
      </c>
      <c r="BE31" t="s">
        <v>1718</v>
      </c>
      <c r="BF31" s="34" t="s">
        <v>2104</v>
      </c>
      <c r="BG31" s="1">
        <v>64.7</v>
      </c>
    </row>
    <row r="32" spans="1:59" x14ac:dyDescent="0.25">
      <c r="A32" s="4">
        <v>31</v>
      </c>
      <c r="B32" s="33" t="s">
        <v>1719</v>
      </c>
      <c r="C32" s="1" t="s">
        <v>1750</v>
      </c>
      <c r="D32" s="55">
        <v>71208115</v>
      </c>
      <c r="E32" s="1" t="s">
        <v>247</v>
      </c>
      <c r="F32" s="36" t="s">
        <v>1718</v>
      </c>
      <c r="G32" s="1">
        <v>970963109</v>
      </c>
      <c r="H32" t="str">
        <f>VLOOKUP(D32,DATA_SISTEMA!$A$1:$Q$506,13,FALSE)</f>
        <v>LA MERCED 429</v>
      </c>
      <c r="I32" t="str">
        <f>VLOOKUP(D32,DATA_SISTEMA!$A$1:$Q$506,7,FALSE)</f>
        <v>1995-11-15</v>
      </c>
      <c r="J32" s="32" t="s">
        <v>1718</v>
      </c>
      <c r="K32" s="32" t="s">
        <v>1718</v>
      </c>
      <c r="L32" s="32" t="s">
        <v>1718</v>
      </c>
      <c r="M32">
        <v>269</v>
      </c>
      <c r="N32">
        <v>0</v>
      </c>
      <c r="O32" s="32" t="str">
        <f t="shared" si="0"/>
        <v>310020261X</v>
      </c>
      <c r="P32" s="32" t="s">
        <v>1718</v>
      </c>
      <c r="Q32" s="32" t="s">
        <v>1718</v>
      </c>
      <c r="R32" s="32" t="s">
        <v>2110</v>
      </c>
      <c r="S32" s="32" t="s">
        <v>2105</v>
      </c>
      <c r="T32" t="str">
        <f>VLOOKUP(D32,DATA_SISTEMA!$A$1:$Q$506,9,FALSE)</f>
        <v>F</v>
      </c>
      <c r="U32" s="32" t="s">
        <v>2106</v>
      </c>
      <c r="V32" s="32" t="s">
        <v>1718</v>
      </c>
      <c r="W32" s="37" t="s">
        <v>5028</v>
      </c>
      <c r="X32" s="32" t="s">
        <v>4522</v>
      </c>
      <c r="Y32" s="32" t="s">
        <v>1718</v>
      </c>
      <c r="Z32" s="32" t="s">
        <v>1718</v>
      </c>
      <c r="AA32" s="32" t="s">
        <v>5028</v>
      </c>
      <c r="AB32" s="32" t="s">
        <v>1718</v>
      </c>
      <c r="AC32" s="32" t="s">
        <v>1718</v>
      </c>
      <c r="AD32" s="32" t="s">
        <v>1718</v>
      </c>
      <c r="AE32" s="32" t="s">
        <v>1718</v>
      </c>
      <c r="AF32" s="32" t="s">
        <v>1718</v>
      </c>
      <c r="AG32" s="32" t="s">
        <v>1718</v>
      </c>
      <c r="AH32" s="32" t="s">
        <v>2107</v>
      </c>
      <c r="AI32" s="1" t="s">
        <v>1331</v>
      </c>
      <c r="AJ32" s="1" t="s">
        <v>911</v>
      </c>
      <c r="AK32" s="1" t="s">
        <v>912</v>
      </c>
      <c r="AL32" s="1">
        <v>71208115</v>
      </c>
      <c r="AM32" t="s">
        <v>1718</v>
      </c>
      <c r="AN32" t="s">
        <v>1718</v>
      </c>
      <c r="AO32" t="s">
        <v>1718</v>
      </c>
      <c r="AP32" t="s">
        <v>1718</v>
      </c>
      <c r="AQ32" t="s">
        <v>1718</v>
      </c>
      <c r="AR32" t="s">
        <v>1718</v>
      </c>
      <c r="AS32" t="s">
        <v>1718</v>
      </c>
      <c r="AT32" t="s">
        <v>1718</v>
      </c>
      <c r="AU32" t="s">
        <v>1718</v>
      </c>
      <c r="AV32" t="str">
        <f>VLOOKUP(D32,DATA_SISTEMA!$A$1:$Q$506,12,FALSE)</f>
        <v>CHACHAPOYAS</v>
      </c>
      <c r="AW32" t="str">
        <f>VLOOKUP(D32,DATA_SISTEMA!$A$1:$Q$506,11,FALSE)</f>
        <v xml:space="preserve">CHACHAPOYAS </v>
      </c>
      <c r="AX32" t="str">
        <f>VLOOKUP(D32,DATA_SISTEMA!$A$1:$Q$506,10,FALSE)</f>
        <v>AMAZONAS</v>
      </c>
      <c r="AY32" t="s">
        <v>1718</v>
      </c>
      <c r="AZ32" t="s">
        <v>5028</v>
      </c>
      <c r="BA32" t="s">
        <v>1718</v>
      </c>
      <c r="BB32" t="s">
        <v>5028</v>
      </c>
      <c r="BC32" t="s">
        <v>1718</v>
      </c>
      <c r="BD32" t="s">
        <v>5028</v>
      </c>
      <c r="BE32" t="s">
        <v>1718</v>
      </c>
      <c r="BF32" s="34" t="s">
        <v>2104</v>
      </c>
      <c r="BG32" s="1">
        <v>63.5</v>
      </c>
    </row>
    <row r="33" spans="1:59" x14ac:dyDescent="0.25">
      <c r="A33" s="4">
        <v>32</v>
      </c>
      <c r="B33" s="33" t="s">
        <v>1719</v>
      </c>
      <c r="C33" s="1" t="s">
        <v>1751</v>
      </c>
      <c r="D33" s="38" t="s">
        <v>4553</v>
      </c>
      <c r="E33" s="1" t="s">
        <v>249</v>
      </c>
      <c r="F33" s="36" t="s">
        <v>1718</v>
      </c>
      <c r="G33" s="1">
        <v>954639109</v>
      </c>
      <c r="H33" t="str">
        <f>VLOOKUP(D33,DATA_SISTEMA!$A$1:$Q$506,13,FALSE)</f>
        <v>CALLE LAMBAYEQUE #860 P.J SANTA ROSA</v>
      </c>
      <c r="I33" t="str">
        <f>VLOOKUP(D33,DATA_SISTEMA!$A$1:$Q$506,7,FALSE)</f>
        <v>1988-12-26</v>
      </c>
      <c r="J33" s="32" t="s">
        <v>1718</v>
      </c>
      <c r="K33" s="32" t="s">
        <v>1718</v>
      </c>
      <c r="L33" s="32" t="s">
        <v>1718</v>
      </c>
      <c r="M33">
        <v>269</v>
      </c>
      <c r="N33">
        <v>0</v>
      </c>
      <c r="O33" s="32" t="str">
        <f t="shared" si="0"/>
        <v>320020261X</v>
      </c>
      <c r="P33" s="32" t="s">
        <v>1718</v>
      </c>
      <c r="Q33" s="32" t="s">
        <v>1718</v>
      </c>
      <c r="R33" s="32" t="s">
        <v>2110</v>
      </c>
      <c r="S33" s="32" t="s">
        <v>2105</v>
      </c>
      <c r="T33" t="str">
        <f>VLOOKUP(D33,DATA_SISTEMA!$A$1:$Q$506,9,FALSE)</f>
        <v>M</v>
      </c>
      <c r="U33" s="32" t="s">
        <v>2106</v>
      </c>
      <c r="V33" s="32" t="s">
        <v>1718</v>
      </c>
      <c r="W33" s="37" t="s">
        <v>5028</v>
      </c>
      <c r="X33" s="32" t="s">
        <v>4522</v>
      </c>
      <c r="Y33" s="32" t="s">
        <v>1718</v>
      </c>
      <c r="Z33" s="32" t="s">
        <v>1718</v>
      </c>
      <c r="AA33" s="32" t="s">
        <v>5028</v>
      </c>
      <c r="AB33" s="32" t="s">
        <v>1718</v>
      </c>
      <c r="AC33" s="32" t="s">
        <v>1718</v>
      </c>
      <c r="AD33" s="32" t="s">
        <v>1718</v>
      </c>
      <c r="AE33" s="32" t="s">
        <v>1718</v>
      </c>
      <c r="AF33" s="32" t="s">
        <v>1718</v>
      </c>
      <c r="AG33" s="32" t="s">
        <v>1718</v>
      </c>
      <c r="AH33" s="32" t="s">
        <v>2107</v>
      </c>
      <c r="AI33" s="1" t="s">
        <v>1332</v>
      </c>
      <c r="AJ33" s="1" t="s">
        <v>913</v>
      </c>
      <c r="AK33" s="1" t="s">
        <v>914</v>
      </c>
      <c r="AL33" s="1">
        <v>45586127</v>
      </c>
      <c r="AM33" t="s">
        <v>1718</v>
      </c>
      <c r="AN33" t="s">
        <v>1718</v>
      </c>
      <c r="AO33" t="s">
        <v>1718</v>
      </c>
      <c r="AP33" t="s">
        <v>1718</v>
      </c>
      <c r="AQ33" t="s">
        <v>1718</v>
      </c>
      <c r="AR33" t="s">
        <v>1718</v>
      </c>
      <c r="AS33" t="s">
        <v>1718</v>
      </c>
      <c r="AT33" t="s">
        <v>1718</v>
      </c>
      <c r="AU33" t="s">
        <v>1718</v>
      </c>
      <c r="AV33" t="str">
        <f>VLOOKUP(D33,DATA_SISTEMA!$A$1:$Q$506,12,FALSE)</f>
        <v>LAMBAYEQUE</v>
      </c>
      <c r="AW33" t="str">
        <f>VLOOKUP(D33,DATA_SISTEMA!$A$1:$Q$506,11,FALSE)</f>
        <v>LAMBAYEQUE</v>
      </c>
      <c r="AX33" t="str">
        <f>VLOOKUP(D33,DATA_SISTEMA!$A$1:$Q$506,10,FALSE)</f>
        <v>LAMBAYEQUE</v>
      </c>
      <c r="AY33" t="s">
        <v>1718</v>
      </c>
      <c r="AZ33" t="s">
        <v>5028</v>
      </c>
      <c r="BA33" t="s">
        <v>1718</v>
      </c>
      <c r="BB33" t="s">
        <v>5028</v>
      </c>
      <c r="BC33" t="s">
        <v>1718</v>
      </c>
      <c r="BD33" t="s">
        <v>5028</v>
      </c>
      <c r="BE33" t="s">
        <v>1718</v>
      </c>
      <c r="BF33" s="34" t="s">
        <v>2104</v>
      </c>
      <c r="BG33" s="1">
        <v>63.1</v>
      </c>
    </row>
    <row r="34" spans="1:59" x14ac:dyDescent="0.25">
      <c r="A34" s="4">
        <v>33</v>
      </c>
      <c r="B34" s="33" t="s">
        <v>1719</v>
      </c>
      <c r="C34" s="1" t="s">
        <v>1752</v>
      </c>
      <c r="D34" s="38" t="s">
        <v>4554</v>
      </c>
      <c r="E34" s="1" t="s">
        <v>251</v>
      </c>
      <c r="F34" s="36" t="s">
        <v>1718</v>
      </c>
      <c r="G34" s="1">
        <v>900794195</v>
      </c>
      <c r="H34" t="str">
        <f>VLOOKUP(D34,DATA_SISTEMA!$A$1:$Q$506,13,FALSE)</f>
        <v>CA. ANDRES AVELINO CACEREZ 859. URB. DIEGO FERRE</v>
      </c>
      <c r="I34" t="str">
        <f>VLOOKUP(D34,DATA_SISTEMA!$A$1:$Q$506,7,FALSE)</f>
        <v>1994-04-16</v>
      </c>
      <c r="J34" s="32" t="s">
        <v>1718</v>
      </c>
      <c r="K34" s="32" t="s">
        <v>1718</v>
      </c>
      <c r="L34" s="32" t="s">
        <v>1718</v>
      </c>
      <c r="M34">
        <v>269</v>
      </c>
      <c r="N34">
        <v>0</v>
      </c>
      <c r="O34" s="32" t="str">
        <f t="shared" si="0"/>
        <v>330020261X</v>
      </c>
      <c r="P34" s="32" t="s">
        <v>1718</v>
      </c>
      <c r="Q34" s="32" t="s">
        <v>1718</v>
      </c>
      <c r="R34" s="32" t="s">
        <v>2110</v>
      </c>
      <c r="S34" s="32" t="s">
        <v>2105</v>
      </c>
      <c r="T34" t="str">
        <f>VLOOKUP(D34,DATA_SISTEMA!$A$1:$Q$506,9,FALSE)</f>
        <v>M</v>
      </c>
      <c r="U34" s="32" t="s">
        <v>2106</v>
      </c>
      <c r="V34" s="32" t="s">
        <v>1718</v>
      </c>
      <c r="W34" s="37" t="s">
        <v>5028</v>
      </c>
      <c r="X34" s="32" t="s">
        <v>4522</v>
      </c>
      <c r="Y34" s="32" t="s">
        <v>1718</v>
      </c>
      <c r="Z34" s="32" t="s">
        <v>1718</v>
      </c>
      <c r="AA34" s="32" t="s">
        <v>5028</v>
      </c>
      <c r="AB34" s="32" t="s">
        <v>1718</v>
      </c>
      <c r="AC34" s="32" t="s">
        <v>1718</v>
      </c>
      <c r="AD34" s="32" t="s">
        <v>1718</v>
      </c>
      <c r="AE34" s="32" t="s">
        <v>1718</v>
      </c>
      <c r="AF34" s="32" t="s">
        <v>1718</v>
      </c>
      <c r="AG34" s="32" t="s">
        <v>1718</v>
      </c>
      <c r="AH34" s="32" t="s">
        <v>2107</v>
      </c>
      <c r="AI34" s="1" t="s">
        <v>1333</v>
      </c>
      <c r="AJ34" s="1" t="s">
        <v>915</v>
      </c>
      <c r="AK34" s="1" t="s">
        <v>916</v>
      </c>
      <c r="AL34" s="1">
        <v>72729965</v>
      </c>
      <c r="AM34" t="s">
        <v>1718</v>
      </c>
      <c r="AN34" t="s">
        <v>1718</v>
      </c>
      <c r="AO34" t="s">
        <v>1718</v>
      </c>
      <c r="AP34" t="s">
        <v>1718</v>
      </c>
      <c r="AQ34" t="s">
        <v>1718</v>
      </c>
      <c r="AR34" t="s">
        <v>1718</v>
      </c>
      <c r="AS34" t="s">
        <v>1718</v>
      </c>
      <c r="AT34" t="s">
        <v>1718</v>
      </c>
      <c r="AU34" t="s">
        <v>1718</v>
      </c>
      <c r="AV34" t="str">
        <f>VLOOKUP(D34,DATA_SISTEMA!$A$1:$Q$506,12,FALSE)</f>
        <v>CHICLAYO</v>
      </c>
      <c r="AW34" t="str">
        <f>VLOOKUP(D34,DATA_SISTEMA!$A$1:$Q$506,11,FALSE)</f>
        <v>CHICLAYO</v>
      </c>
      <c r="AX34" t="str">
        <f>VLOOKUP(D34,DATA_SISTEMA!$A$1:$Q$506,10,FALSE)</f>
        <v>LAMBAYEQUE</v>
      </c>
      <c r="AY34" t="s">
        <v>1718</v>
      </c>
      <c r="AZ34" t="s">
        <v>5028</v>
      </c>
      <c r="BA34" t="s">
        <v>1718</v>
      </c>
      <c r="BB34" t="s">
        <v>5028</v>
      </c>
      <c r="BC34" t="s">
        <v>1718</v>
      </c>
      <c r="BD34" t="s">
        <v>5028</v>
      </c>
      <c r="BE34" t="s">
        <v>1718</v>
      </c>
      <c r="BF34" s="34" t="s">
        <v>2104</v>
      </c>
      <c r="BG34" s="1">
        <v>61.9</v>
      </c>
    </row>
    <row r="35" spans="1:59" x14ac:dyDescent="0.25">
      <c r="A35" s="4">
        <v>34</v>
      </c>
      <c r="B35" s="33" t="s">
        <v>1719</v>
      </c>
      <c r="C35" s="1" t="s">
        <v>1753</v>
      </c>
      <c r="D35" s="38" t="s">
        <v>4555</v>
      </c>
      <c r="E35" s="1" t="s">
        <v>253</v>
      </c>
      <c r="F35" s="36" t="s">
        <v>1718</v>
      </c>
      <c r="G35" s="1">
        <v>975822946</v>
      </c>
      <c r="H35" t="str">
        <f>VLOOKUP(D35,DATA_SISTEMA!$A$1:$Q$506,13,FALSE)</f>
        <v>SOL DE LA ALAMEDA REAL IV DE LAMBAYEQUE</v>
      </c>
      <c r="I35" t="str">
        <f>VLOOKUP(D35,DATA_SISTEMA!$A$1:$Q$506,7,FALSE)</f>
        <v>1994-09-24</v>
      </c>
      <c r="J35" s="32" t="s">
        <v>1718</v>
      </c>
      <c r="K35" s="32" t="s">
        <v>1718</v>
      </c>
      <c r="L35" s="32" t="s">
        <v>1718</v>
      </c>
      <c r="M35">
        <v>269</v>
      </c>
      <c r="N35">
        <v>0</v>
      </c>
      <c r="O35" s="32" t="str">
        <f t="shared" si="0"/>
        <v>340020261X</v>
      </c>
      <c r="P35" s="32" t="s">
        <v>1718</v>
      </c>
      <c r="Q35" s="32" t="s">
        <v>1718</v>
      </c>
      <c r="R35" s="32" t="s">
        <v>2110</v>
      </c>
      <c r="S35" s="32" t="s">
        <v>2105</v>
      </c>
      <c r="T35" t="str">
        <f>VLOOKUP(D35,DATA_SISTEMA!$A$1:$Q$506,9,FALSE)</f>
        <v>M</v>
      </c>
      <c r="U35" s="32" t="s">
        <v>2106</v>
      </c>
      <c r="V35" s="32" t="s">
        <v>1718</v>
      </c>
      <c r="W35" s="37" t="s">
        <v>5028</v>
      </c>
      <c r="X35" s="32" t="s">
        <v>4522</v>
      </c>
      <c r="Y35" s="32" t="s">
        <v>1718</v>
      </c>
      <c r="Z35" s="32" t="s">
        <v>1718</v>
      </c>
      <c r="AA35" s="32" t="s">
        <v>5028</v>
      </c>
      <c r="AB35" s="32" t="s">
        <v>1718</v>
      </c>
      <c r="AC35" s="32" t="s">
        <v>1718</v>
      </c>
      <c r="AD35" s="32" t="s">
        <v>1718</v>
      </c>
      <c r="AE35" s="32" t="s">
        <v>1718</v>
      </c>
      <c r="AF35" s="32" t="s">
        <v>1718</v>
      </c>
      <c r="AG35" s="32" t="s">
        <v>1718</v>
      </c>
      <c r="AH35" s="32" t="s">
        <v>2107</v>
      </c>
      <c r="AI35" s="1" t="s">
        <v>1334</v>
      </c>
      <c r="AJ35" s="1" t="s">
        <v>917</v>
      </c>
      <c r="AK35" s="1" t="s">
        <v>918</v>
      </c>
      <c r="AL35" s="1">
        <v>77036935</v>
      </c>
      <c r="AM35" t="s">
        <v>1718</v>
      </c>
      <c r="AN35" t="s">
        <v>1718</v>
      </c>
      <c r="AO35" t="s">
        <v>1718</v>
      </c>
      <c r="AP35" t="s">
        <v>1718</v>
      </c>
      <c r="AQ35" t="s">
        <v>1718</v>
      </c>
      <c r="AR35" t="s">
        <v>1718</v>
      </c>
      <c r="AS35" t="s">
        <v>1718</v>
      </c>
      <c r="AT35" t="s">
        <v>1718</v>
      </c>
      <c r="AU35" t="s">
        <v>1718</v>
      </c>
      <c r="AV35" t="str">
        <f>VLOOKUP(D35,DATA_SISTEMA!$A$1:$Q$506,12,FALSE)</f>
        <v>LAMBAYEQUE</v>
      </c>
      <c r="AW35" t="str">
        <f>VLOOKUP(D35,DATA_SISTEMA!$A$1:$Q$506,11,FALSE)</f>
        <v>LAMBAYEQUE</v>
      </c>
      <c r="AX35" t="str">
        <f>VLOOKUP(D35,DATA_SISTEMA!$A$1:$Q$506,10,FALSE)</f>
        <v>LAMBAYEQUE</v>
      </c>
      <c r="AY35" t="s">
        <v>1718</v>
      </c>
      <c r="AZ35" t="s">
        <v>5028</v>
      </c>
      <c r="BA35" t="s">
        <v>1718</v>
      </c>
      <c r="BB35" t="s">
        <v>5028</v>
      </c>
      <c r="BC35" t="s">
        <v>1718</v>
      </c>
      <c r="BD35" t="s">
        <v>5028</v>
      </c>
      <c r="BE35" t="s">
        <v>1718</v>
      </c>
      <c r="BF35" s="34" t="s">
        <v>2104</v>
      </c>
      <c r="BG35" s="1">
        <v>61.9</v>
      </c>
    </row>
    <row r="36" spans="1:59" x14ac:dyDescent="0.25">
      <c r="A36" s="4">
        <v>35</v>
      </c>
      <c r="B36" s="33" t="s">
        <v>1719</v>
      </c>
      <c r="C36" s="1" t="s">
        <v>1754</v>
      </c>
      <c r="D36" s="38" t="s">
        <v>4556</v>
      </c>
      <c r="E36" s="1" t="s">
        <v>255</v>
      </c>
      <c r="F36" s="36" t="s">
        <v>1718</v>
      </c>
      <c r="G36" s="1">
        <v>916705746</v>
      </c>
      <c r="H36" t="str">
        <f>VLOOKUP(D36,DATA_SISTEMA!$A$1:$Q$506,13,FALSE)</f>
        <v>LAS MAGNOLIAS 440 URB LOS PARQUES</v>
      </c>
      <c r="I36" t="str">
        <f>VLOOKUP(D36,DATA_SISTEMA!$A$1:$Q$506,7,FALSE)</f>
        <v>1992-04-10</v>
      </c>
      <c r="J36" s="32" t="s">
        <v>1718</v>
      </c>
      <c r="K36" s="32" t="s">
        <v>1718</v>
      </c>
      <c r="L36" s="32" t="s">
        <v>1718</v>
      </c>
      <c r="M36">
        <v>269</v>
      </c>
      <c r="N36">
        <v>0</v>
      </c>
      <c r="O36" s="32" t="str">
        <f t="shared" si="0"/>
        <v>350020261X</v>
      </c>
      <c r="P36" s="32" t="s">
        <v>1718</v>
      </c>
      <c r="Q36" s="32" t="s">
        <v>1718</v>
      </c>
      <c r="R36" s="32" t="s">
        <v>2110</v>
      </c>
      <c r="S36" s="32" t="s">
        <v>2105</v>
      </c>
      <c r="T36" t="str">
        <f>VLOOKUP(D36,DATA_SISTEMA!$A$1:$Q$506,9,FALSE)</f>
        <v>F</v>
      </c>
      <c r="U36" s="32" t="s">
        <v>2106</v>
      </c>
      <c r="V36" s="32" t="s">
        <v>1718</v>
      </c>
      <c r="W36" s="37" t="s">
        <v>5028</v>
      </c>
      <c r="X36" s="32" t="s">
        <v>4522</v>
      </c>
      <c r="Y36" s="32" t="s">
        <v>1718</v>
      </c>
      <c r="Z36" s="32" t="s">
        <v>1718</v>
      </c>
      <c r="AA36" s="32" t="s">
        <v>5028</v>
      </c>
      <c r="AB36" s="32" t="s">
        <v>1718</v>
      </c>
      <c r="AC36" s="32" t="s">
        <v>1718</v>
      </c>
      <c r="AD36" s="32" t="s">
        <v>1718</v>
      </c>
      <c r="AE36" s="32" t="s">
        <v>1718</v>
      </c>
      <c r="AF36" s="32" t="s">
        <v>1718</v>
      </c>
      <c r="AG36" s="32" t="s">
        <v>1718</v>
      </c>
      <c r="AH36" s="32" t="s">
        <v>2107</v>
      </c>
      <c r="AI36" s="1" t="s">
        <v>1335</v>
      </c>
      <c r="AJ36" s="1" t="s">
        <v>858</v>
      </c>
      <c r="AK36" s="1" t="s">
        <v>919</v>
      </c>
      <c r="AL36" s="1">
        <v>47186679</v>
      </c>
      <c r="AM36" t="s">
        <v>1718</v>
      </c>
      <c r="AN36" t="s">
        <v>1718</v>
      </c>
      <c r="AO36" t="s">
        <v>1718</v>
      </c>
      <c r="AP36" t="s">
        <v>1718</v>
      </c>
      <c r="AQ36" t="s">
        <v>1718</v>
      </c>
      <c r="AR36" t="s">
        <v>1718</v>
      </c>
      <c r="AS36" t="s">
        <v>1718</v>
      </c>
      <c r="AT36" t="s">
        <v>1718</v>
      </c>
      <c r="AU36" t="s">
        <v>1718</v>
      </c>
      <c r="AV36" t="str">
        <f>VLOOKUP(D36,DATA_SISTEMA!$A$1:$Q$506,12,FALSE)</f>
        <v>CHICLAYO</v>
      </c>
      <c r="AW36" t="str">
        <f>VLOOKUP(D36,DATA_SISTEMA!$A$1:$Q$506,11,FALSE)</f>
        <v>CHICLAYO</v>
      </c>
      <c r="AX36" t="str">
        <f>VLOOKUP(D36,DATA_SISTEMA!$A$1:$Q$506,10,FALSE)</f>
        <v>LAMBAYEQUE</v>
      </c>
      <c r="AY36" t="s">
        <v>1718</v>
      </c>
      <c r="AZ36" t="s">
        <v>5028</v>
      </c>
      <c r="BA36" t="s">
        <v>1718</v>
      </c>
      <c r="BB36" t="s">
        <v>5028</v>
      </c>
      <c r="BC36" t="s">
        <v>1718</v>
      </c>
      <c r="BD36" t="s">
        <v>5028</v>
      </c>
      <c r="BE36" t="s">
        <v>1718</v>
      </c>
      <c r="BF36" s="34" t="s">
        <v>2104</v>
      </c>
      <c r="BG36" s="1">
        <v>60</v>
      </c>
    </row>
    <row r="37" spans="1:59" x14ac:dyDescent="0.25">
      <c r="A37" s="4">
        <v>36</v>
      </c>
      <c r="B37" s="33" t="s">
        <v>1719</v>
      </c>
      <c r="C37" s="1" t="s">
        <v>1755</v>
      </c>
      <c r="D37" s="38" t="s">
        <v>4557</v>
      </c>
      <c r="E37" s="1" t="s">
        <v>257</v>
      </c>
      <c r="F37" s="36" t="s">
        <v>1718</v>
      </c>
      <c r="G37" s="1">
        <v>997645512</v>
      </c>
      <c r="H37" t="str">
        <f>VLOOKUP(D37,DATA_SISTEMA!$A$1:$Q$506,13,FALSE)</f>
        <v>JR. CINCO ESQUINAS 1056</v>
      </c>
      <c r="I37" t="str">
        <f>VLOOKUP(D37,DATA_SISTEMA!$A$1:$Q$506,7,FALSE)</f>
        <v>2004-02-22</v>
      </c>
      <c r="J37" s="32" t="s">
        <v>1718</v>
      </c>
      <c r="K37" s="32" t="s">
        <v>1718</v>
      </c>
      <c r="L37" s="32" t="s">
        <v>1718</v>
      </c>
      <c r="M37">
        <v>269</v>
      </c>
      <c r="N37">
        <v>0</v>
      </c>
      <c r="O37" s="32" t="str">
        <f t="shared" si="0"/>
        <v>360020261X</v>
      </c>
      <c r="P37" s="32" t="s">
        <v>1718</v>
      </c>
      <c r="Q37" s="32" t="s">
        <v>1718</v>
      </c>
      <c r="R37" s="32" t="s">
        <v>2110</v>
      </c>
      <c r="S37" s="32" t="s">
        <v>2105</v>
      </c>
      <c r="T37" t="str">
        <f>VLOOKUP(D37,DATA_SISTEMA!$A$1:$Q$506,9,FALSE)</f>
        <v>M</v>
      </c>
      <c r="U37" s="32" t="s">
        <v>2106</v>
      </c>
      <c r="V37" s="32" t="s">
        <v>1718</v>
      </c>
      <c r="W37" s="37" t="s">
        <v>5028</v>
      </c>
      <c r="X37" s="32" t="s">
        <v>4522</v>
      </c>
      <c r="Y37" s="32" t="s">
        <v>1718</v>
      </c>
      <c r="Z37" s="32" t="s">
        <v>1718</v>
      </c>
      <c r="AA37" s="32" t="s">
        <v>5028</v>
      </c>
      <c r="AB37" s="32" t="s">
        <v>1718</v>
      </c>
      <c r="AC37" s="32" t="s">
        <v>1718</v>
      </c>
      <c r="AD37" s="32" t="s">
        <v>1718</v>
      </c>
      <c r="AE37" s="32" t="s">
        <v>1718</v>
      </c>
      <c r="AF37" s="32" t="s">
        <v>1718</v>
      </c>
      <c r="AG37" s="32" t="s">
        <v>1718</v>
      </c>
      <c r="AH37" s="32" t="s">
        <v>2107</v>
      </c>
      <c r="AI37" s="1" t="s">
        <v>1336</v>
      </c>
      <c r="AJ37" s="1" t="s">
        <v>920</v>
      </c>
      <c r="AK37" s="1" t="s">
        <v>921</v>
      </c>
      <c r="AL37" s="1">
        <v>71089422</v>
      </c>
      <c r="AM37" t="s">
        <v>1718</v>
      </c>
      <c r="AN37" t="s">
        <v>1718</v>
      </c>
      <c r="AO37" t="s">
        <v>1718</v>
      </c>
      <c r="AP37" t="s">
        <v>1718</v>
      </c>
      <c r="AQ37" t="s">
        <v>1718</v>
      </c>
      <c r="AR37" t="s">
        <v>1718</v>
      </c>
      <c r="AS37" t="s">
        <v>1718</v>
      </c>
      <c r="AT37" t="s">
        <v>1718</v>
      </c>
      <c r="AU37" t="s">
        <v>1718</v>
      </c>
      <c r="AV37" t="str">
        <f>VLOOKUP(D37,DATA_SISTEMA!$A$1:$Q$506,12,FALSE)</f>
        <v>CAJAMARCA</v>
      </c>
      <c r="AW37" t="str">
        <f>VLOOKUP(D37,DATA_SISTEMA!$A$1:$Q$506,11,FALSE)</f>
        <v>CAJAMARCA</v>
      </c>
      <c r="AX37" t="str">
        <f>VLOOKUP(D37,DATA_SISTEMA!$A$1:$Q$506,10,FALSE)</f>
        <v>CAJAMARCA</v>
      </c>
      <c r="AY37" t="s">
        <v>1718</v>
      </c>
      <c r="AZ37" t="s">
        <v>5028</v>
      </c>
      <c r="BA37" t="s">
        <v>1718</v>
      </c>
      <c r="BB37" t="s">
        <v>5028</v>
      </c>
      <c r="BC37" t="s">
        <v>1718</v>
      </c>
      <c r="BD37" t="s">
        <v>5028</v>
      </c>
      <c r="BE37" t="s">
        <v>1718</v>
      </c>
      <c r="BF37" s="34" t="s">
        <v>2104</v>
      </c>
      <c r="BG37" s="1">
        <v>59.8</v>
      </c>
    </row>
    <row r="38" spans="1:59" x14ac:dyDescent="0.25">
      <c r="A38" s="4">
        <v>37</v>
      </c>
      <c r="B38" s="33" t="s">
        <v>1719</v>
      </c>
      <c r="C38" s="1" t="s">
        <v>1756</v>
      </c>
      <c r="D38" s="38" t="s">
        <v>4558</v>
      </c>
      <c r="E38" s="1" t="s">
        <v>259</v>
      </c>
      <c r="F38" s="36" t="s">
        <v>1718</v>
      </c>
      <c r="G38" s="1">
        <v>932957667</v>
      </c>
      <c r="H38" t="str">
        <f>VLOOKUP(D38,DATA_SISTEMA!$A$1:$Q$506,13,FALSE)</f>
        <v>CALLE: JUDA MZ:L LOTE:6 URB.MIRAFLORES II - LAMBAYEQUE – CHICLAYO</v>
      </c>
      <c r="I38" t="str">
        <f>VLOOKUP(D38,DATA_SISTEMA!$A$1:$Q$506,7,FALSE)</f>
        <v>1994-09-20</v>
      </c>
      <c r="J38" s="32" t="s">
        <v>1718</v>
      </c>
      <c r="K38" s="32" t="s">
        <v>1718</v>
      </c>
      <c r="L38" s="32" t="s">
        <v>1718</v>
      </c>
      <c r="M38">
        <v>269</v>
      </c>
      <c r="N38">
        <v>0</v>
      </c>
      <c r="O38" s="32" t="str">
        <f t="shared" si="0"/>
        <v>370020261X</v>
      </c>
      <c r="P38" s="32" t="s">
        <v>1718</v>
      </c>
      <c r="Q38" s="32" t="s">
        <v>1718</v>
      </c>
      <c r="R38" s="32" t="s">
        <v>2110</v>
      </c>
      <c r="S38" s="32" t="s">
        <v>2105</v>
      </c>
      <c r="T38" t="str">
        <f>VLOOKUP(D38,DATA_SISTEMA!$A$1:$Q$506,9,FALSE)</f>
        <v>M</v>
      </c>
      <c r="U38" s="32" t="s">
        <v>2106</v>
      </c>
      <c r="V38" s="32" t="s">
        <v>1718</v>
      </c>
      <c r="W38" s="37" t="s">
        <v>5028</v>
      </c>
      <c r="X38" s="32" t="s">
        <v>4522</v>
      </c>
      <c r="Y38" s="32" t="s">
        <v>1718</v>
      </c>
      <c r="Z38" s="32" t="s">
        <v>1718</v>
      </c>
      <c r="AA38" s="32" t="s">
        <v>5028</v>
      </c>
      <c r="AB38" s="32" t="s">
        <v>1718</v>
      </c>
      <c r="AC38" s="32" t="s">
        <v>1718</v>
      </c>
      <c r="AD38" s="32" t="s">
        <v>1718</v>
      </c>
      <c r="AE38" s="32" t="s">
        <v>1718</v>
      </c>
      <c r="AF38" s="32" t="s">
        <v>1718</v>
      </c>
      <c r="AG38" s="32" t="s">
        <v>1718</v>
      </c>
      <c r="AH38" s="32" t="s">
        <v>2107</v>
      </c>
      <c r="AI38" s="1" t="s">
        <v>1337</v>
      </c>
      <c r="AJ38" s="1" t="s">
        <v>868</v>
      </c>
      <c r="AK38" s="1" t="s">
        <v>922</v>
      </c>
      <c r="AL38" s="1">
        <v>71524448</v>
      </c>
      <c r="AM38" t="s">
        <v>1718</v>
      </c>
      <c r="AN38" t="s">
        <v>1718</v>
      </c>
      <c r="AO38" t="s">
        <v>1718</v>
      </c>
      <c r="AP38" t="s">
        <v>1718</v>
      </c>
      <c r="AQ38" t="s">
        <v>1718</v>
      </c>
      <c r="AR38" t="s">
        <v>1718</v>
      </c>
      <c r="AS38" t="s">
        <v>1718</v>
      </c>
      <c r="AT38" t="s">
        <v>1718</v>
      </c>
      <c r="AU38" t="s">
        <v>1718</v>
      </c>
      <c r="AV38" t="str">
        <f>VLOOKUP(D38,DATA_SISTEMA!$A$1:$Q$506,12,FALSE)</f>
        <v>CHICLAYO</v>
      </c>
      <c r="AW38" t="str">
        <f>VLOOKUP(D38,DATA_SISTEMA!$A$1:$Q$506,11,FALSE)</f>
        <v>CHICLAYO</v>
      </c>
      <c r="AX38" t="str">
        <f>VLOOKUP(D38,DATA_SISTEMA!$A$1:$Q$506,10,FALSE)</f>
        <v>LAMBAYEQUE</v>
      </c>
      <c r="AY38" t="s">
        <v>1718</v>
      </c>
      <c r="AZ38" t="s">
        <v>5028</v>
      </c>
      <c r="BA38" t="s">
        <v>1718</v>
      </c>
      <c r="BB38" t="s">
        <v>5028</v>
      </c>
      <c r="BC38" t="s">
        <v>1718</v>
      </c>
      <c r="BD38" t="s">
        <v>5028</v>
      </c>
      <c r="BE38" t="s">
        <v>1718</v>
      </c>
      <c r="BF38" s="34" t="s">
        <v>2104</v>
      </c>
      <c r="BG38" s="1">
        <v>57.2</v>
      </c>
    </row>
    <row r="39" spans="1:59" x14ac:dyDescent="0.25">
      <c r="A39" s="4">
        <v>38</v>
      </c>
      <c r="B39" s="33" t="s">
        <v>1719</v>
      </c>
      <c r="C39" s="1" t="s">
        <v>1757</v>
      </c>
      <c r="D39" s="38" t="s">
        <v>4559</v>
      </c>
      <c r="E39" s="1" t="s">
        <v>261</v>
      </c>
      <c r="F39" s="36" t="s">
        <v>1718</v>
      </c>
      <c r="G39" s="1">
        <v>976169053</v>
      </c>
      <c r="H39" t="str">
        <f>VLOOKUP(D39,DATA_SISTEMA!$A$1:$Q$506,13,FALSE)</f>
        <v>URB. DERRAMA MAGISTERIAL MZ I1 LOTE 8</v>
      </c>
      <c r="I39" t="str">
        <f>VLOOKUP(D39,DATA_SISTEMA!$A$1:$Q$506,7,FALSE)</f>
        <v>1991-03-24</v>
      </c>
      <c r="J39" s="32" t="s">
        <v>1718</v>
      </c>
      <c r="K39" s="32" t="s">
        <v>1718</v>
      </c>
      <c r="L39" s="32" t="s">
        <v>1718</v>
      </c>
      <c r="M39">
        <v>269</v>
      </c>
      <c r="N39">
        <v>0</v>
      </c>
      <c r="O39" s="32" t="str">
        <f t="shared" si="0"/>
        <v>380020261X</v>
      </c>
      <c r="P39" s="32" t="s">
        <v>1718</v>
      </c>
      <c r="Q39" s="32" t="s">
        <v>1718</v>
      </c>
      <c r="R39" s="32" t="s">
        <v>2110</v>
      </c>
      <c r="S39" s="32" t="s">
        <v>2105</v>
      </c>
      <c r="T39" t="str">
        <f>VLOOKUP(D39,DATA_SISTEMA!$A$1:$Q$506,9,FALSE)</f>
        <v>F</v>
      </c>
      <c r="U39" s="32" t="s">
        <v>2106</v>
      </c>
      <c r="V39" s="32" t="s">
        <v>1718</v>
      </c>
      <c r="W39" s="37" t="s">
        <v>5028</v>
      </c>
      <c r="X39" s="32" t="s">
        <v>4522</v>
      </c>
      <c r="Y39" s="32" t="s">
        <v>1718</v>
      </c>
      <c r="Z39" s="32" t="s">
        <v>1718</v>
      </c>
      <c r="AA39" s="32" t="s">
        <v>5028</v>
      </c>
      <c r="AB39" s="32" t="s">
        <v>1718</v>
      </c>
      <c r="AC39" s="32" t="s">
        <v>1718</v>
      </c>
      <c r="AD39" s="32" t="s">
        <v>1718</v>
      </c>
      <c r="AE39" s="32" t="s">
        <v>1718</v>
      </c>
      <c r="AF39" s="32" t="s">
        <v>1718</v>
      </c>
      <c r="AG39" s="32" t="s">
        <v>1718</v>
      </c>
      <c r="AH39" s="32" t="s">
        <v>2107</v>
      </c>
      <c r="AI39" s="1" t="s">
        <v>1338</v>
      </c>
      <c r="AJ39" s="1" t="s">
        <v>923</v>
      </c>
      <c r="AK39" s="1" t="s">
        <v>924</v>
      </c>
      <c r="AL39" s="1">
        <v>46876752</v>
      </c>
      <c r="AM39" t="s">
        <v>1718</v>
      </c>
      <c r="AN39" t="s">
        <v>1718</v>
      </c>
      <c r="AO39" t="s">
        <v>1718</v>
      </c>
      <c r="AP39" t="s">
        <v>1718</v>
      </c>
      <c r="AQ39" t="s">
        <v>1718</v>
      </c>
      <c r="AR39" t="s">
        <v>1718</v>
      </c>
      <c r="AS39" t="s">
        <v>1718</v>
      </c>
      <c r="AT39" t="s">
        <v>1718</v>
      </c>
      <c r="AU39" t="s">
        <v>1718</v>
      </c>
      <c r="AV39" t="str">
        <f>VLOOKUP(D39,DATA_SISTEMA!$A$1:$Q$506,12,FALSE)</f>
        <v>CHICLAYO</v>
      </c>
      <c r="AW39" t="str">
        <f>VLOOKUP(D39,DATA_SISTEMA!$A$1:$Q$506,11,FALSE)</f>
        <v>CHICLAYO</v>
      </c>
      <c r="AX39" t="str">
        <f>VLOOKUP(D39,DATA_SISTEMA!$A$1:$Q$506,10,FALSE)</f>
        <v>LAMBAYEQUE</v>
      </c>
      <c r="AY39" t="s">
        <v>1718</v>
      </c>
      <c r="AZ39" t="s">
        <v>5028</v>
      </c>
      <c r="BA39" t="s">
        <v>1718</v>
      </c>
      <c r="BB39" t="s">
        <v>5028</v>
      </c>
      <c r="BC39" t="s">
        <v>1718</v>
      </c>
      <c r="BD39" t="s">
        <v>5028</v>
      </c>
      <c r="BE39" t="s">
        <v>1718</v>
      </c>
      <c r="BF39" s="34" t="s">
        <v>2104</v>
      </c>
      <c r="BG39" s="1">
        <v>57.2</v>
      </c>
    </row>
    <row r="40" spans="1:59" x14ac:dyDescent="0.25">
      <c r="A40" s="4">
        <v>39</v>
      </c>
      <c r="B40" s="33" t="s">
        <v>1719</v>
      </c>
      <c r="C40" s="1" t="s">
        <v>1758</v>
      </c>
      <c r="D40" s="38" t="s">
        <v>4560</v>
      </c>
      <c r="E40" s="1" t="s">
        <v>263</v>
      </c>
      <c r="F40" s="36" t="s">
        <v>1718</v>
      </c>
      <c r="G40" s="1">
        <v>922815639</v>
      </c>
      <c r="H40" t="str">
        <f>VLOOKUP(D40,DATA_SISTEMA!$A$1:$Q$506,13,FALSE)</f>
        <v>AV. LUIS ABELARDO TAKAHASHI 669</v>
      </c>
      <c r="I40" t="str">
        <f>VLOOKUP(D40,DATA_SISTEMA!$A$1:$Q$506,7,FALSE)</f>
        <v>1996-11-14</v>
      </c>
      <c r="J40" s="32" t="s">
        <v>1718</v>
      </c>
      <c r="K40" s="32" t="s">
        <v>1718</v>
      </c>
      <c r="L40" s="32" t="s">
        <v>1718</v>
      </c>
      <c r="M40">
        <v>269</v>
      </c>
      <c r="N40">
        <v>0</v>
      </c>
      <c r="O40" s="32" t="str">
        <f t="shared" si="0"/>
        <v>390020261X</v>
      </c>
      <c r="P40" s="32" t="s">
        <v>1718</v>
      </c>
      <c r="Q40" s="32" t="s">
        <v>1718</v>
      </c>
      <c r="R40" s="32" t="s">
        <v>2110</v>
      </c>
      <c r="S40" s="32" t="s">
        <v>2105</v>
      </c>
      <c r="T40" t="str">
        <f>VLOOKUP(D40,DATA_SISTEMA!$A$1:$Q$506,9,FALSE)</f>
        <v>F</v>
      </c>
      <c r="U40" s="32" t="s">
        <v>2106</v>
      </c>
      <c r="V40" s="32" t="s">
        <v>1718</v>
      </c>
      <c r="W40" s="37" t="s">
        <v>5028</v>
      </c>
      <c r="X40" s="32" t="s">
        <v>4522</v>
      </c>
      <c r="Y40" s="32" t="s">
        <v>1718</v>
      </c>
      <c r="Z40" s="32" t="s">
        <v>1718</v>
      </c>
      <c r="AA40" s="32" t="s">
        <v>5028</v>
      </c>
      <c r="AB40" s="32" t="s">
        <v>1718</v>
      </c>
      <c r="AC40" s="32" t="s">
        <v>1718</v>
      </c>
      <c r="AD40" s="32" t="s">
        <v>1718</v>
      </c>
      <c r="AE40" s="32" t="s">
        <v>1718</v>
      </c>
      <c r="AF40" s="32" t="s">
        <v>1718</v>
      </c>
      <c r="AG40" s="32" t="s">
        <v>1718</v>
      </c>
      <c r="AH40" s="32" t="s">
        <v>2107</v>
      </c>
      <c r="AI40" s="1" t="s">
        <v>1339</v>
      </c>
      <c r="AJ40" s="1" t="s">
        <v>883</v>
      </c>
      <c r="AK40" s="1" t="s">
        <v>925</v>
      </c>
      <c r="AL40" s="1">
        <v>75875291</v>
      </c>
      <c r="AM40" t="s">
        <v>1718</v>
      </c>
      <c r="AN40" t="s">
        <v>1718</v>
      </c>
      <c r="AO40" t="s">
        <v>1718</v>
      </c>
      <c r="AP40" t="s">
        <v>1718</v>
      </c>
      <c r="AQ40" t="s">
        <v>1718</v>
      </c>
      <c r="AR40" t="s">
        <v>1718</v>
      </c>
      <c r="AS40" t="s">
        <v>1718</v>
      </c>
      <c r="AT40" t="s">
        <v>1718</v>
      </c>
      <c r="AU40" t="s">
        <v>1718</v>
      </c>
      <c r="AV40" t="str">
        <f>VLOOKUP(D40,DATA_SISTEMA!$A$1:$Q$506,12,FALSE)</f>
        <v>FERREÑAFE</v>
      </c>
      <c r="AW40" t="str">
        <f>VLOOKUP(D40,DATA_SISTEMA!$A$1:$Q$506,11,FALSE)</f>
        <v>FERREÑAFE</v>
      </c>
      <c r="AX40" t="str">
        <f>VLOOKUP(D40,DATA_SISTEMA!$A$1:$Q$506,10,FALSE)</f>
        <v>LAMBAYEQUE</v>
      </c>
      <c r="AY40" t="s">
        <v>1718</v>
      </c>
      <c r="AZ40" t="s">
        <v>5028</v>
      </c>
      <c r="BA40" t="s">
        <v>1718</v>
      </c>
      <c r="BB40" t="s">
        <v>5028</v>
      </c>
      <c r="BC40" t="s">
        <v>1718</v>
      </c>
      <c r="BD40" t="s">
        <v>5028</v>
      </c>
      <c r="BE40" t="s">
        <v>1718</v>
      </c>
      <c r="BF40" s="34" t="s">
        <v>2104</v>
      </c>
      <c r="BG40" s="1">
        <v>57.1</v>
      </c>
    </row>
    <row r="41" spans="1:59" x14ac:dyDescent="0.25">
      <c r="A41" s="4">
        <v>40</v>
      </c>
      <c r="B41" s="33" t="s">
        <v>1719</v>
      </c>
      <c r="C41" s="1" t="s">
        <v>1759</v>
      </c>
      <c r="D41" s="38" t="s">
        <v>4561</v>
      </c>
      <c r="E41" s="1" t="s">
        <v>265</v>
      </c>
      <c r="F41" s="36" t="s">
        <v>1718</v>
      </c>
      <c r="G41" s="1">
        <v>995782624</v>
      </c>
      <c r="H41" t="str">
        <f>VLOOKUP(D41,DATA_SISTEMA!$A$1:$Q$506,13,FALSE)</f>
        <v>ELIAS AGUIRRE 947</v>
      </c>
      <c r="I41" t="str">
        <f>VLOOKUP(D41,DATA_SISTEMA!$A$1:$Q$506,7,FALSE)</f>
        <v>1991-08-18</v>
      </c>
      <c r="J41" s="32" t="s">
        <v>1718</v>
      </c>
      <c r="K41" s="32" t="s">
        <v>1718</v>
      </c>
      <c r="L41" s="32" t="s">
        <v>1718</v>
      </c>
      <c r="M41">
        <v>269</v>
      </c>
      <c r="N41">
        <v>0</v>
      </c>
      <c r="O41" s="32" t="str">
        <f t="shared" si="0"/>
        <v>400020261X</v>
      </c>
      <c r="P41" s="32" t="s">
        <v>1718</v>
      </c>
      <c r="Q41" s="32" t="s">
        <v>1718</v>
      </c>
      <c r="R41" s="32" t="s">
        <v>2110</v>
      </c>
      <c r="S41" s="32" t="s">
        <v>2105</v>
      </c>
      <c r="T41" t="str">
        <f>VLOOKUP(D41,DATA_SISTEMA!$A$1:$Q$506,9,FALSE)</f>
        <v>M</v>
      </c>
      <c r="U41" s="32" t="s">
        <v>2106</v>
      </c>
      <c r="V41" s="32" t="s">
        <v>1718</v>
      </c>
      <c r="W41" s="37" t="s">
        <v>5028</v>
      </c>
      <c r="X41" s="32" t="s">
        <v>4522</v>
      </c>
      <c r="Y41" s="32" t="s">
        <v>1718</v>
      </c>
      <c r="Z41" s="32" t="s">
        <v>1718</v>
      </c>
      <c r="AA41" s="32" t="s">
        <v>5028</v>
      </c>
      <c r="AB41" s="32" t="s">
        <v>1718</v>
      </c>
      <c r="AC41" s="32" t="s">
        <v>1718</v>
      </c>
      <c r="AD41" s="32" t="s">
        <v>1718</v>
      </c>
      <c r="AE41" s="32" t="s">
        <v>1718</v>
      </c>
      <c r="AF41" s="32" t="s">
        <v>1718</v>
      </c>
      <c r="AG41" s="32" t="s">
        <v>1718</v>
      </c>
      <c r="AH41" s="32" t="s">
        <v>2107</v>
      </c>
      <c r="AI41" s="1" t="s">
        <v>1340</v>
      </c>
      <c r="AJ41" s="1" t="s">
        <v>926</v>
      </c>
      <c r="AK41" s="1" t="s">
        <v>927</v>
      </c>
      <c r="AL41" s="1">
        <v>47409507</v>
      </c>
      <c r="AM41" t="s">
        <v>1718</v>
      </c>
      <c r="AN41" t="s">
        <v>1718</v>
      </c>
      <c r="AO41" t="s">
        <v>1718</v>
      </c>
      <c r="AP41" t="s">
        <v>1718</v>
      </c>
      <c r="AQ41" t="s">
        <v>1718</v>
      </c>
      <c r="AR41" t="s">
        <v>1718</v>
      </c>
      <c r="AS41" t="s">
        <v>1718</v>
      </c>
      <c r="AT41" t="s">
        <v>1718</v>
      </c>
      <c r="AU41" t="s">
        <v>1718</v>
      </c>
      <c r="AV41" t="str">
        <f>VLOOKUP(D41,DATA_SISTEMA!$A$1:$Q$506,12,FALSE)</f>
        <v>CHICLAYO</v>
      </c>
      <c r="AW41" t="str">
        <f>VLOOKUP(D41,DATA_SISTEMA!$A$1:$Q$506,11,FALSE)</f>
        <v>CHICLAYO</v>
      </c>
      <c r="AX41" t="str">
        <f>VLOOKUP(D41,DATA_SISTEMA!$A$1:$Q$506,10,FALSE)</f>
        <v>LAMBAYEQUE</v>
      </c>
      <c r="AY41" t="s">
        <v>1718</v>
      </c>
      <c r="AZ41" t="s">
        <v>5028</v>
      </c>
      <c r="BA41" t="s">
        <v>1718</v>
      </c>
      <c r="BB41" t="s">
        <v>5028</v>
      </c>
      <c r="BC41" t="s">
        <v>1718</v>
      </c>
      <c r="BD41" t="s">
        <v>5028</v>
      </c>
      <c r="BE41" t="s">
        <v>1718</v>
      </c>
      <c r="BF41" s="34" t="s">
        <v>2104</v>
      </c>
      <c r="BG41" s="1">
        <v>47.5</v>
      </c>
    </row>
    <row r="42" spans="1:59" x14ac:dyDescent="0.25">
      <c r="A42" s="4">
        <v>41</v>
      </c>
      <c r="B42" s="33" t="s">
        <v>1719</v>
      </c>
      <c r="C42" s="24" t="s">
        <v>1760</v>
      </c>
      <c r="D42" s="40" t="s">
        <v>4562</v>
      </c>
      <c r="E42" s="24" t="s">
        <v>618</v>
      </c>
      <c r="F42" s="36" t="s">
        <v>1718</v>
      </c>
      <c r="G42" s="24">
        <v>996103952</v>
      </c>
      <c r="H42" t="str">
        <f>VLOOKUP(D42,DATA_SISTEMA!$A$1:$Q$506,13,FALSE)</f>
        <v>SIMÓN BOLIVAR MZ5 LT3 – CHICLAYO, CHICLAYO, LAMBAYEQUE</v>
      </c>
      <c r="I42" t="str">
        <f>VLOOKUP(D42,DATA_SISTEMA!$A$1:$Q$506,7,FALSE)</f>
        <v>2001-07-21</v>
      </c>
      <c r="J42" s="32" t="s">
        <v>1718</v>
      </c>
      <c r="K42" s="32" t="s">
        <v>1718</v>
      </c>
      <c r="L42" s="32" t="s">
        <v>1718</v>
      </c>
      <c r="M42">
        <v>26</v>
      </c>
      <c r="N42">
        <v>0</v>
      </c>
      <c r="O42" s="32" t="str">
        <f t="shared" si="0"/>
        <v>410020261X</v>
      </c>
      <c r="P42" s="32" t="s">
        <v>1718</v>
      </c>
      <c r="Q42" s="32" t="s">
        <v>1718</v>
      </c>
      <c r="R42" s="32" t="s">
        <v>2110</v>
      </c>
      <c r="S42" s="32" t="s">
        <v>5030</v>
      </c>
      <c r="T42" t="str">
        <f>VLOOKUP(D42,DATA_SISTEMA!$A$1:$Q$506,9,FALSE)</f>
        <v>M</v>
      </c>
      <c r="U42" s="32" t="s">
        <v>2106</v>
      </c>
      <c r="V42" s="32" t="s">
        <v>1718</v>
      </c>
      <c r="W42" s="37" t="s">
        <v>5028</v>
      </c>
      <c r="X42" s="32" t="s">
        <v>4522</v>
      </c>
      <c r="Y42" s="32" t="s">
        <v>1718</v>
      </c>
      <c r="Z42" s="32" t="s">
        <v>1718</v>
      </c>
      <c r="AA42" s="32" t="s">
        <v>5028</v>
      </c>
      <c r="AB42" s="32" t="s">
        <v>1718</v>
      </c>
      <c r="AC42" s="32" t="s">
        <v>1718</v>
      </c>
      <c r="AD42" s="32" t="s">
        <v>1718</v>
      </c>
      <c r="AE42" s="32" t="s">
        <v>1718</v>
      </c>
      <c r="AF42" s="32" t="s">
        <v>1718</v>
      </c>
      <c r="AG42" s="32" t="s">
        <v>1718</v>
      </c>
      <c r="AH42" s="32" t="s">
        <v>2107</v>
      </c>
      <c r="AI42" s="24" t="s">
        <v>1341</v>
      </c>
      <c r="AJ42" s="24" t="s">
        <v>928</v>
      </c>
      <c r="AK42" s="24" t="s">
        <v>877</v>
      </c>
      <c r="AL42" s="24">
        <v>76458509</v>
      </c>
      <c r="AM42" t="s">
        <v>1718</v>
      </c>
      <c r="AN42" t="s">
        <v>1718</v>
      </c>
      <c r="AO42" t="s">
        <v>1718</v>
      </c>
      <c r="AP42" t="s">
        <v>1718</v>
      </c>
      <c r="AQ42" t="s">
        <v>1718</v>
      </c>
      <c r="AR42" t="s">
        <v>1718</v>
      </c>
      <c r="AS42" t="s">
        <v>1718</v>
      </c>
      <c r="AT42" t="s">
        <v>1718</v>
      </c>
      <c r="AU42" t="s">
        <v>1718</v>
      </c>
      <c r="AV42" t="str">
        <f>VLOOKUP(D42,DATA_SISTEMA!$A$1:$Q$506,12,FALSE)</f>
        <v>CHICLAYO</v>
      </c>
      <c r="AW42" t="str">
        <f>VLOOKUP(D42,DATA_SISTEMA!$A$1:$Q$506,11,FALSE)</f>
        <v>CHICLAYO</v>
      </c>
      <c r="AX42" t="str">
        <f>VLOOKUP(D42,DATA_SISTEMA!$A$1:$Q$506,10,FALSE)</f>
        <v>LAMBAYEQUE</v>
      </c>
      <c r="AY42" t="s">
        <v>1718</v>
      </c>
      <c r="AZ42" t="s">
        <v>5028</v>
      </c>
      <c r="BA42" t="s">
        <v>1718</v>
      </c>
      <c r="BB42" t="s">
        <v>5028</v>
      </c>
      <c r="BC42" t="s">
        <v>1718</v>
      </c>
      <c r="BD42" t="s">
        <v>5028</v>
      </c>
      <c r="BE42" t="s">
        <v>1718</v>
      </c>
      <c r="BF42" s="34" t="s">
        <v>2104</v>
      </c>
      <c r="BG42" s="24">
        <v>84.5</v>
      </c>
    </row>
    <row r="43" spans="1:59" x14ac:dyDescent="0.25">
      <c r="A43" s="4">
        <v>42</v>
      </c>
      <c r="B43" s="33" t="s">
        <v>1719</v>
      </c>
      <c r="C43" s="24" t="s">
        <v>1761</v>
      </c>
      <c r="D43" s="40" t="s">
        <v>4563</v>
      </c>
      <c r="E43" s="24" t="s">
        <v>621</v>
      </c>
      <c r="F43" s="36" t="s">
        <v>1718</v>
      </c>
      <c r="G43" s="24">
        <v>977956362</v>
      </c>
      <c r="H43" t="str">
        <f>VLOOKUP(D43,DATA_SISTEMA!$A$1:$Q$506,13,FALSE)</f>
        <v>CALLE MANTARO 250, PJ SAN NICOLAS</v>
      </c>
      <c r="I43" t="str">
        <f>VLOOKUP(D43,DATA_SISTEMA!$A$1:$Q$506,7,FALSE)</f>
        <v>1989-03-08</v>
      </c>
      <c r="J43" s="32" t="s">
        <v>1718</v>
      </c>
      <c r="K43" s="32" t="s">
        <v>1718</v>
      </c>
      <c r="L43" s="32" t="s">
        <v>1718</v>
      </c>
      <c r="M43">
        <v>26</v>
      </c>
      <c r="N43">
        <v>0</v>
      </c>
      <c r="O43" s="32" t="str">
        <f t="shared" si="0"/>
        <v>420020261X</v>
      </c>
      <c r="P43" s="32" t="s">
        <v>1718</v>
      </c>
      <c r="Q43" s="32" t="s">
        <v>1718</v>
      </c>
      <c r="R43" s="32" t="s">
        <v>2110</v>
      </c>
      <c r="S43" s="32" t="s">
        <v>5030</v>
      </c>
      <c r="T43" t="str">
        <f>VLOOKUP(D43,DATA_SISTEMA!$A$1:$Q$506,9,FALSE)</f>
        <v>M</v>
      </c>
      <c r="U43" s="32" t="s">
        <v>2106</v>
      </c>
      <c r="V43" s="32" t="s">
        <v>1718</v>
      </c>
      <c r="W43" s="37" t="s">
        <v>5028</v>
      </c>
      <c r="X43" s="32" t="s">
        <v>4522</v>
      </c>
      <c r="Y43" s="32" t="s">
        <v>1718</v>
      </c>
      <c r="Z43" s="32" t="s">
        <v>1718</v>
      </c>
      <c r="AA43" s="32" t="s">
        <v>5028</v>
      </c>
      <c r="AB43" s="32" t="s">
        <v>1718</v>
      </c>
      <c r="AC43" s="32" t="s">
        <v>1718</v>
      </c>
      <c r="AD43" s="32" t="s">
        <v>1718</v>
      </c>
      <c r="AE43" s="32" t="s">
        <v>1718</v>
      </c>
      <c r="AF43" s="32" t="s">
        <v>1718</v>
      </c>
      <c r="AG43" s="32" t="s">
        <v>1718</v>
      </c>
      <c r="AH43" s="32" t="s">
        <v>2107</v>
      </c>
      <c r="AI43" s="24" t="s">
        <v>1342</v>
      </c>
      <c r="AJ43" s="24" t="s">
        <v>929</v>
      </c>
      <c r="AK43" s="24" t="s">
        <v>930</v>
      </c>
      <c r="AL43" s="24">
        <v>46445208</v>
      </c>
      <c r="AM43" t="s">
        <v>1718</v>
      </c>
      <c r="AN43" t="s">
        <v>1718</v>
      </c>
      <c r="AO43" t="s">
        <v>1718</v>
      </c>
      <c r="AP43" t="s">
        <v>1718</v>
      </c>
      <c r="AQ43" t="s">
        <v>1718</v>
      </c>
      <c r="AR43" t="s">
        <v>1718</v>
      </c>
      <c r="AS43" t="s">
        <v>1718</v>
      </c>
      <c r="AT43" t="s">
        <v>1718</v>
      </c>
      <c r="AU43" t="s">
        <v>1718</v>
      </c>
      <c r="AV43" t="str">
        <f>VLOOKUP(D43,DATA_SISTEMA!$A$1:$Q$506,12,FALSE)</f>
        <v>CHICLAYO</v>
      </c>
      <c r="AW43" t="str">
        <f>VLOOKUP(D43,DATA_SISTEMA!$A$1:$Q$506,11,FALSE)</f>
        <v>CHICLAYO</v>
      </c>
      <c r="AX43" t="str">
        <f>VLOOKUP(D43,DATA_SISTEMA!$A$1:$Q$506,10,FALSE)</f>
        <v>LAMBAYEQUE</v>
      </c>
      <c r="AY43" t="s">
        <v>1718</v>
      </c>
      <c r="AZ43" t="s">
        <v>5028</v>
      </c>
      <c r="BA43" t="s">
        <v>1718</v>
      </c>
      <c r="BB43" t="s">
        <v>5028</v>
      </c>
      <c r="BC43" t="s">
        <v>1718</v>
      </c>
      <c r="BD43" t="s">
        <v>5028</v>
      </c>
      <c r="BE43" t="s">
        <v>1718</v>
      </c>
      <c r="BF43" s="34" t="s">
        <v>2104</v>
      </c>
      <c r="BG43" s="24">
        <v>80.5</v>
      </c>
    </row>
    <row r="44" spans="1:59" x14ac:dyDescent="0.25">
      <c r="A44" s="4">
        <v>43</v>
      </c>
      <c r="B44" s="33" t="s">
        <v>1719</v>
      </c>
      <c r="C44" s="24" t="s">
        <v>1762</v>
      </c>
      <c r="D44" s="40" t="s">
        <v>4564</v>
      </c>
      <c r="E44" s="24" t="s">
        <v>623</v>
      </c>
      <c r="F44" s="36" t="s">
        <v>1718</v>
      </c>
      <c r="G44" s="24">
        <v>906607662</v>
      </c>
      <c r="H44" t="str">
        <f>VLOOKUP(D44,DATA_SISTEMA!$A$1:$Q$506,13,FALSE)</f>
        <v>JIRON SANTA ROSA 310</v>
      </c>
      <c r="I44" t="str">
        <f>VLOOKUP(D44,DATA_SISTEMA!$A$1:$Q$506,7,FALSE)</f>
        <v>1995-10-25</v>
      </c>
      <c r="J44" s="32" t="s">
        <v>1718</v>
      </c>
      <c r="K44" s="32" t="s">
        <v>1718</v>
      </c>
      <c r="L44" s="32" t="s">
        <v>1718</v>
      </c>
      <c r="M44">
        <v>26</v>
      </c>
      <c r="N44">
        <v>0</v>
      </c>
      <c r="O44" s="32" t="str">
        <f t="shared" si="0"/>
        <v>430020261X</v>
      </c>
      <c r="P44" s="32" t="s">
        <v>1718</v>
      </c>
      <c r="Q44" s="32" t="s">
        <v>1718</v>
      </c>
      <c r="R44" s="32" t="s">
        <v>2110</v>
      </c>
      <c r="S44" s="32" t="s">
        <v>5030</v>
      </c>
      <c r="T44" t="str">
        <f>VLOOKUP(D44,DATA_SISTEMA!$A$1:$Q$506,9,FALSE)</f>
        <v>M</v>
      </c>
      <c r="U44" s="32" t="s">
        <v>2106</v>
      </c>
      <c r="V44" s="32" t="s">
        <v>1718</v>
      </c>
      <c r="W44" s="37" t="s">
        <v>5028</v>
      </c>
      <c r="X44" s="32" t="s">
        <v>4522</v>
      </c>
      <c r="Y44" s="32" t="s">
        <v>1718</v>
      </c>
      <c r="Z44" s="32" t="s">
        <v>1718</v>
      </c>
      <c r="AA44" s="32" t="s">
        <v>5028</v>
      </c>
      <c r="AB44" s="32" t="s">
        <v>1718</v>
      </c>
      <c r="AC44" s="32" t="s">
        <v>1718</v>
      </c>
      <c r="AD44" s="32" t="s">
        <v>1718</v>
      </c>
      <c r="AE44" s="32" t="s">
        <v>1718</v>
      </c>
      <c r="AF44" s="32" t="s">
        <v>1718</v>
      </c>
      <c r="AG44" s="32" t="s">
        <v>1718</v>
      </c>
      <c r="AH44" s="32" t="s">
        <v>2107</v>
      </c>
      <c r="AI44" s="24" t="s">
        <v>1343</v>
      </c>
      <c r="AJ44" s="24" t="s">
        <v>931</v>
      </c>
      <c r="AK44" s="24" t="s">
        <v>932</v>
      </c>
      <c r="AL44" s="24">
        <v>70382269</v>
      </c>
      <c r="AM44" t="s">
        <v>1718</v>
      </c>
      <c r="AN44" t="s">
        <v>1718</v>
      </c>
      <c r="AO44" t="s">
        <v>1718</v>
      </c>
      <c r="AP44" t="s">
        <v>1718</v>
      </c>
      <c r="AQ44" t="s">
        <v>1718</v>
      </c>
      <c r="AR44" t="s">
        <v>1718</v>
      </c>
      <c r="AS44" t="s">
        <v>1718</v>
      </c>
      <c r="AT44" t="s">
        <v>1718</v>
      </c>
      <c r="AU44" t="s">
        <v>1718</v>
      </c>
      <c r="AV44" t="str">
        <f>VLOOKUP(D44,DATA_SISTEMA!$A$1:$Q$506,12,FALSE)</f>
        <v>SANTA CRUZ</v>
      </c>
      <c r="AW44" t="str">
        <f>VLOOKUP(D44,DATA_SISTEMA!$A$1:$Q$506,11,FALSE)</f>
        <v>SANTA CRUZ</v>
      </c>
      <c r="AX44" t="str">
        <f>VLOOKUP(D44,DATA_SISTEMA!$A$1:$Q$506,10,FALSE)</f>
        <v>CAJAMARCA</v>
      </c>
      <c r="AY44" t="s">
        <v>1718</v>
      </c>
      <c r="AZ44" t="s">
        <v>5028</v>
      </c>
      <c r="BA44" t="s">
        <v>1718</v>
      </c>
      <c r="BB44" t="s">
        <v>5028</v>
      </c>
      <c r="BC44" t="s">
        <v>1718</v>
      </c>
      <c r="BD44" t="s">
        <v>5028</v>
      </c>
      <c r="BE44" t="s">
        <v>1718</v>
      </c>
      <c r="BF44" s="34" t="s">
        <v>2104</v>
      </c>
      <c r="BG44" s="24">
        <v>77.5</v>
      </c>
    </row>
    <row r="45" spans="1:59" x14ac:dyDescent="0.25">
      <c r="A45" s="4">
        <v>44</v>
      </c>
      <c r="B45" s="33" t="s">
        <v>1719</v>
      </c>
      <c r="C45" s="24" t="s">
        <v>1763</v>
      </c>
      <c r="D45" s="40" t="s">
        <v>4565</v>
      </c>
      <c r="E45" s="24" t="s">
        <v>625</v>
      </c>
      <c r="F45" s="36" t="s">
        <v>1718</v>
      </c>
      <c r="G45" s="24">
        <v>981710342</v>
      </c>
      <c r="H45" t="str">
        <f>VLOOKUP(D45,DATA_SISTEMA!$A$1:$Q$506,13,FALSE)</f>
        <v>JR. EDILBERTO CARUAJULCA S/N</v>
      </c>
      <c r="I45" t="str">
        <f>VLOOKUP(D45,DATA_SISTEMA!$A$1:$Q$506,7,FALSE)</f>
        <v>1992-04-28</v>
      </c>
      <c r="J45" s="32" t="s">
        <v>1718</v>
      </c>
      <c r="K45" s="32" t="s">
        <v>1718</v>
      </c>
      <c r="L45" s="32" t="s">
        <v>1718</v>
      </c>
      <c r="M45">
        <v>26</v>
      </c>
      <c r="N45">
        <v>0</v>
      </c>
      <c r="O45" s="32" t="str">
        <f t="shared" si="0"/>
        <v>440020261X</v>
      </c>
      <c r="P45" s="32" t="s">
        <v>1718</v>
      </c>
      <c r="Q45" s="32" t="s">
        <v>1718</v>
      </c>
      <c r="R45" s="32" t="s">
        <v>2110</v>
      </c>
      <c r="S45" s="32" t="s">
        <v>5030</v>
      </c>
      <c r="T45" t="str">
        <f>VLOOKUP(D45,DATA_SISTEMA!$A$1:$Q$506,9,FALSE)</f>
        <v>M</v>
      </c>
      <c r="U45" s="32" t="s">
        <v>2106</v>
      </c>
      <c r="V45" s="32" t="s">
        <v>1718</v>
      </c>
      <c r="W45" s="37" t="s">
        <v>5028</v>
      </c>
      <c r="X45" s="32" t="s">
        <v>4522</v>
      </c>
      <c r="Y45" s="32" t="s">
        <v>1718</v>
      </c>
      <c r="Z45" s="32" t="s">
        <v>1718</v>
      </c>
      <c r="AA45" s="32" t="s">
        <v>5028</v>
      </c>
      <c r="AB45" s="32" t="s">
        <v>1718</v>
      </c>
      <c r="AC45" s="32" t="s">
        <v>1718</v>
      </c>
      <c r="AD45" s="32" t="s">
        <v>1718</v>
      </c>
      <c r="AE45" s="32" t="s">
        <v>1718</v>
      </c>
      <c r="AF45" s="32" t="s">
        <v>1718</v>
      </c>
      <c r="AG45" s="32" t="s">
        <v>1718</v>
      </c>
      <c r="AH45" s="32" t="s">
        <v>2107</v>
      </c>
      <c r="AI45" s="24" t="s">
        <v>1344</v>
      </c>
      <c r="AJ45" s="24" t="s">
        <v>933</v>
      </c>
      <c r="AK45" s="24" t="s">
        <v>934</v>
      </c>
      <c r="AL45" s="24">
        <v>47193453</v>
      </c>
      <c r="AM45" t="s">
        <v>1718</v>
      </c>
      <c r="AN45" t="s">
        <v>1718</v>
      </c>
      <c r="AO45" t="s">
        <v>1718</v>
      </c>
      <c r="AP45" t="s">
        <v>1718</v>
      </c>
      <c r="AQ45" t="s">
        <v>1718</v>
      </c>
      <c r="AR45" t="s">
        <v>1718</v>
      </c>
      <c r="AS45" t="s">
        <v>1718</v>
      </c>
      <c r="AT45" t="s">
        <v>1718</v>
      </c>
      <c r="AU45" t="s">
        <v>1718</v>
      </c>
      <c r="AV45" t="str">
        <f>VLOOKUP(D45,DATA_SISTEMA!$A$1:$Q$506,12,FALSE)</f>
        <v>PACCHA</v>
      </c>
      <c r="AW45" t="str">
        <f>VLOOKUP(D45,DATA_SISTEMA!$A$1:$Q$506,11,FALSE)</f>
        <v xml:space="preserve">CHOTA </v>
      </c>
      <c r="AX45" t="str">
        <f>VLOOKUP(D45,DATA_SISTEMA!$A$1:$Q$506,10,FALSE)</f>
        <v>CAJAMARCA</v>
      </c>
      <c r="AY45" t="s">
        <v>1718</v>
      </c>
      <c r="AZ45" t="s">
        <v>5028</v>
      </c>
      <c r="BA45" t="s">
        <v>1718</v>
      </c>
      <c r="BB45" t="s">
        <v>5028</v>
      </c>
      <c r="BC45" t="s">
        <v>1718</v>
      </c>
      <c r="BD45" t="s">
        <v>5028</v>
      </c>
      <c r="BE45" t="s">
        <v>1718</v>
      </c>
      <c r="BF45" s="34" t="s">
        <v>2104</v>
      </c>
      <c r="BG45" s="24">
        <v>77.5</v>
      </c>
    </row>
    <row r="46" spans="1:59" x14ac:dyDescent="0.25">
      <c r="A46" s="4">
        <v>45</v>
      </c>
      <c r="B46" s="33" t="s">
        <v>1719</v>
      </c>
      <c r="C46" s="24" t="s">
        <v>1764</v>
      </c>
      <c r="D46" s="40" t="s">
        <v>4566</v>
      </c>
      <c r="E46" s="24" t="s">
        <v>627</v>
      </c>
      <c r="F46" s="36" t="s">
        <v>1718</v>
      </c>
      <c r="G46" s="24">
        <v>950251896</v>
      </c>
      <c r="H46" t="str">
        <f>VLOOKUP(D46,DATA_SISTEMA!$A$1:$Q$506,13,FALSE)</f>
        <v>AV. JAÉN S/N</v>
      </c>
      <c r="I46" t="str">
        <f>VLOOKUP(D46,DATA_SISTEMA!$A$1:$Q$506,7,FALSE)</f>
        <v>2000-07-20</v>
      </c>
      <c r="J46" s="32" t="s">
        <v>1718</v>
      </c>
      <c r="K46" s="32" t="s">
        <v>1718</v>
      </c>
      <c r="L46" s="32" t="s">
        <v>1718</v>
      </c>
      <c r="M46">
        <v>26</v>
      </c>
      <c r="N46">
        <v>0</v>
      </c>
      <c r="O46" s="32" t="str">
        <f t="shared" si="0"/>
        <v>450020261X</v>
      </c>
      <c r="P46" s="32" t="s">
        <v>1718</v>
      </c>
      <c r="Q46" s="32" t="s">
        <v>1718</v>
      </c>
      <c r="R46" s="32" t="s">
        <v>2110</v>
      </c>
      <c r="S46" s="32" t="s">
        <v>5030</v>
      </c>
      <c r="T46" t="str">
        <f>VLOOKUP(D46,DATA_SISTEMA!$A$1:$Q$506,9,FALSE)</f>
        <v>M</v>
      </c>
      <c r="U46" s="32" t="s">
        <v>2106</v>
      </c>
      <c r="V46" s="32" t="s">
        <v>1718</v>
      </c>
      <c r="W46" s="37" t="s">
        <v>5028</v>
      </c>
      <c r="X46" s="32" t="s">
        <v>4522</v>
      </c>
      <c r="Y46" s="32" t="s">
        <v>1718</v>
      </c>
      <c r="Z46" s="32" t="s">
        <v>1718</v>
      </c>
      <c r="AA46" s="32" t="s">
        <v>5028</v>
      </c>
      <c r="AB46" s="32" t="s">
        <v>1718</v>
      </c>
      <c r="AC46" s="32" t="s">
        <v>1718</v>
      </c>
      <c r="AD46" s="32" t="s">
        <v>1718</v>
      </c>
      <c r="AE46" s="32" t="s">
        <v>1718</v>
      </c>
      <c r="AF46" s="32" t="s">
        <v>1718</v>
      </c>
      <c r="AG46" s="32" t="s">
        <v>1718</v>
      </c>
      <c r="AH46" s="32" t="s">
        <v>2107</v>
      </c>
      <c r="AI46" s="24" t="s">
        <v>1345</v>
      </c>
      <c r="AJ46" s="24" t="s">
        <v>935</v>
      </c>
      <c r="AK46" s="24" t="s">
        <v>936</v>
      </c>
      <c r="AL46" s="24">
        <v>71577882</v>
      </c>
      <c r="AM46" t="s">
        <v>1718</v>
      </c>
      <c r="AN46" t="s">
        <v>1718</v>
      </c>
      <c r="AO46" t="s">
        <v>1718</v>
      </c>
      <c r="AP46" t="s">
        <v>1718</v>
      </c>
      <c r="AQ46" t="s">
        <v>1718</v>
      </c>
      <c r="AR46" t="s">
        <v>1718</v>
      </c>
      <c r="AS46" t="s">
        <v>1718</v>
      </c>
      <c r="AT46" t="s">
        <v>1718</v>
      </c>
      <c r="AU46" t="s">
        <v>1718</v>
      </c>
      <c r="AV46" t="str">
        <f>VLOOKUP(D46,DATA_SISTEMA!$A$1:$Q$506,12,FALSE)</f>
        <v>SALLIQUE</v>
      </c>
      <c r="AW46" t="str">
        <f>VLOOKUP(D46,DATA_SISTEMA!$A$1:$Q$506,11,FALSE)</f>
        <v>JAEN</v>
      </c>
      <c r="AX46" t="str">
        <f>VLOOKUP(D46,DATA_SISTEMA!$A$1:$Q$506,10,FALSE)</f>
        <v>CAJAMARCA</v>
      </c>
      <c r="AY46" t="s">
        <v>1718</v>
      </c>
      <c r="AZ46" t="s">
        <v>5028</v>
      </c>
      <c r="BA46" t="s">
        <v>1718</v>
      </c>
      <c r="BB46" t="s">
        <v>5028</v>
      </c>
      <c r="BC46" t="s">
        <v>1718</v>
      </c>
      <c r="BD46" t="s">
        <v>5028</v>
      </c>
      <c r="BE46" t="s">
        <v>1718</v>
      </c>
      <c r="BF46" s="34" t="s">
        <v>2104</v>
      </c>
      <c r="BG46" s="24">
        <v>77.5</v>
      </c>
    </row>
    <row r="47" spans="1:59" x14ac:dyDescent="0.25">
      <c r="A47" s="4">
        <v>46</v>
      </c>
      <c r="B47" s="33" t="s">
        <v>1719</v>
      </c>
      <c r="C47" s="24" t="s">
        <v>1765</v>
      </c>
      <c r="D47" s="40" t="s">
        <v>4567</v>
      </c>
      <c r="E47" s="24" t="s">
        <v>629</v>
      </c>
      <c r="F47" s="36" t="s">
        <v>1718</v>
      </c>
      <c r="G47" s="24">
        <v>930226970</v>
      </c>
      <c r="H47" t="str">
        <f>VLOOKUP(D47,DATA_SISTEMA!$A$1:$Q$506,13,FALSE)</f>
        <v>LAS CUCARDAS 270 - LOPEZ ALBUJAR</v>
      </c>
      <c r="I47" t="str">
        <f>VLOOKUP(D47,DATA_SISTEMA!$A$1:$Q$506,7,FALSE)</f>
        <v>1996-04-02</v>
      </c>
      <c r="J47" s="32" t="s">
        <v>1718</v>
      </c>
      <c r="K47" s="32" t="s">
        <v>1718</v>
      </c>
      <c r="L47" s="32" t="s">
        <v>1718</v>
      </c>
      <c r="M47">
        <v>26</v>
      </c>
      <c r="N47">
        <v>0</v>
      </c>
      <c r="O47" s="32" t="str">
        <f t="shared" si="0"/>
        <v>460020261X</v>
      </c>
      <c r="P47" s="32" t="s">
        <v>1718</v>
      </c>
      <c r="Q47" s="32" t="s">
        <v>1718</v>
      </c>
      <c r="R47" s="32" t="s">
        <v>2110</v>
      </c>
      <c r="S47" s="32" t="s">
        <v>5030</v>
      </c>
      <c r="T47" t="str">
        <f>VLOOKUP(D47,DATA_SISTEMA!$A$1:$Q$506,9,FALSE)</f>
        <v>M</v>
      </c>
      <c r="U47" s="32" t="s">
        <v>2106</v>
      </c>
      <c r="V47" s="32" t="s">
        <v>1718</v>
      </c>
      <c r="W47" s="37" t="s">
        <v>5028</v>
      </c>
      <c r="X47" s="32" t="s">
        <v>4522</v>
      </c>
      <c r="Y47" s="32" t="s">
        <v>1718</v>
      </c>
      <c r="Z47" s="32" t="s">
        <v>1718</v>
      </c>
      <c r="AA47" s="32" t="s">
        <v>5028</v>
      </c>
      <c r="AB47" s="32" t="s">
        <v>1718</v>
      </c>
      <c r="AC47" s="32" t="s">
        <v>1718</v>
      </c>
      <c r="AD47" s="32" t="s">
        <v>1718</v>
      </c>
      <c r="AE47" s="32" t="s">
        <v>1718</v>
      </c>
      <c r="AF47" s="32" t="s">
        <v>1718</v>
      </c>
      <c r="AG47" s="32" t="s">
        <v>1718</v>
      </c>
      <c r="AH47" s="32" t="s">
        <v>2107</v>
      </c>
      <c r="AI47" s="24" t="s">
        <v>1346</v>
      </c>
      <c r="AJ47" s="24" t="s">
        <v>937</v>
      </c>
      <c r="AK47" s="24" t="s">
        <v>938</v>
      </c>
      <c r="AL47" s="24">
        <v>78007600</v>
      </c>
      <c r="AM47" t="s">
        <v>1718</v>
      </c>
      <c r="AN47" t="s">
        <v>1718</v>
      </c>
      <c r="AO47" t="s">
        <v>1718</v>
      </c>
      <c r="AP47" t="s">
        <v>1718</v>
      </c>
      <c r="AQ47" t="s">
        <v>1718</v>
      </c>
      <c r="AR47" t="s">
        <v>1718</v>
      </c>
      <c r="AS47" t="s">
        <v>1718</v>
      </c>
      <c r="AT47" t="s">
        <v>1718</v>
      </c>
      <c r="AU47" t="s">
        <v>1718</v>
      </c>
      <c r="AV47" t="str">
        <f>VLOOKUP(D47,DATA_SISTEMA!$A$1:$Q$506,12,FALSE)</f>
        <v>CHICLAYO</v>
      </c>
      <c r="AW47" t="str">
        <f>VLOOKUP(D47,DATA_SISTEMA!$A$1:$Q$506,11,FALSE)</f>
        <v>CHICLAYO</v>
      </c>
      <c r="AX47" t="str">
        <f>VLOOKUP(D47,DATA_SISTEMA!$A$1:$Q$506,10,FALSE)</f>
        <v>LAMBAYEQUE</v>
      </c>
      <c r="AY47" t="s">
        <v>1718</v>
      </c>
      <c r="AZ47" t="s">
        <v>5028</v>
      </c>
      <c r="BA47" t="s">
        <v>1718</v>
      </c>
      <c r="BB47" t="s">
        <v>5028</v>
      </c>
      <c r="BC47" t="s">
        <v>1718</v>
      </c>
      <c r="BD47" t="s">
        <v>5028</v>
      </c>
      <c r="BE47" t="s">
        <v>1718</v>
      </c>
      <c r="BF47" s="34" t="s">
        <v>2104</v>
      </c>
      <c r="BG47" s="24">
        <v>77.5</v>
      </c>
    </row>
    <row r="48" spans="1:59" x14ac:dyDescent="0.25">
      <c r="A48" s="4">
        <v>47</v>
      </c>
      <c r="B48" s="33" t="s">
        <v>1719</v>
      </c>
      <c r="C48" s="24" t="s">
        <v>1766</v>
      </c>
      <c r="D48" s="40" t="s">
        <v>4568</v>
      </c>
      <c r="E48" s="24" t="s">
        <v>631</v>
      </c>
      <c r="F48" s="36" t="s">
        <v>1718</v>
      </c>
      <c r="G48" s="24">
        <v>985342872</v>
      </c>
      <c r="H48" t="str">
        <f>VLOOKUP(D48,DATA_SISTEMA!$A$1:$Q$506,13,FALSE)</f>
        <v>AA.HH "MARÍA CRUZ" MZ1 LT 41.</v>
      </c>
      <c r="I48" t="str">
        <f>VLOOKUP(D48,DATA_SISTEMA!$A$1:$Q$506,7,FALSE)</f>
        <v>2001-02-26</v>
      </c>
      <c r="J48" s="32" t="s">
        <v>1718</v>
      </c>
      <c r="K48" s="32" t="s">
        <v>1718</v>
      </c>
      <c r="L48" s="32" t="s">
        <v>1718</v>
      </c>
      <c r="M48">
        <v>26</v>
      </c>
      <c r="N48">
        <v>0</v>
      </c>
      <c r="O48" s="32" t="str">
        <f t="shared" si="0"/>
        <v>470020261X</v>
      </c>
      <c r="P48" s="32" t="s">
        <v>1718</v>
      </c>
      <c r="Q48" s="32" t="s">
        <v>1718</v>
      </c>
      <c r="R48" s="32" t="s">
        <v>2110</v>
      </c>
      <c r="S48" s="32" t="s">
        <v>5030</v>
      </c>
      <c r="T48" t="str">
        <f>VLOOKUP(D48,DATA_SISTEMA!$A$1:$Q$506,9,FALSE)</f>
        <v>M</v>
      </c>
      <c r="U48" s="32" t="s">
        <v>2106</v>
      </c>
      <c r="V48" s="32" t="s">
        <v>1718</v>
      </c>
      <c r="W48" s="37" t="s">
        <v>5028</v>
      </c>
      <c r="X48" s="32" t="s">
        <v>4522</v>
      </c>
      <c r="Y48" s="32" t="s">
        <v>1718</v>
      </c>
      <c r="Z48" s="32" t="s">
        <v>1718</v>
      </c>
      <c r="AA48" s="32" t="s">
        <v>5028</v>
      </c>
      <c r="AB48" s="32" t="s">
        <v>1718</v>
      </c>
      <c r="AC48" s="32" t="s">
        <v>1718</v>
      </c>
      <c r="AD48" s="32" t="s">
        <v>1718</v>
      </c>
      <c r="AE48" s="32" t="s">
        <v>1718</v>
      </c>
      <c r="AF48" s="32" t="s">
        <v>1718</v>
      </c>
      <c r="AG48" s="32" t="s">
        <v>1718</v>
      </c>
      <c r="AH48" s="32" t="s">
        <v>2107</v>
      </c>
      <c r="AI48" s="24" t="s">
        <v>1347</v>
      </c>
      <c r="AJ48" s="24" t="s">
        <v>860</v>
      </c>
      <c r="AK48" s="24" t="s">
        <v>939</v>
      </c>
      <c r="AL48" s="24">
        <v>71997323</v>
      </c>
      <c r="AM48" t="s">
        <v>1718</v>
      </c>
      <c r="AN48" t="s">
        <v>1718</v>
      </c>
      <c r="AO48" t="s">
        <v>1718</v>
      </c>
      <c r="AP48" t="s">
        <v>1718</v>
      </c>
      <c r="AQ48" t="s">
        <v>1718</v>
      </c>
      <c r="AR48" t="s">
        <v>1718</v>
      </c>
      <c r="AS48" t="s">
        <v>1718</v>
      </c>
      <c r="AT48" t="s">
        <v>1718</v>
      </c>
      <c r="AU48" t="s">
        <v>1718</v>
      </c>
      <c r="AV48" t="str">
        <f>VLOOKUP(D48,DATA_SISTEMA!$A$1:$Q$506,12,FALSE)</f>
        <v>JOSE LEONARDO ORTIZ</v>
      </c>
      <c r="AW48" t="str">
        <f>VLOOKUP(D48,DATA_SISTEMA!$A$1:$Q$506,11,FALSE)</f>
        <v>CHICLAYO</v>
      </c>
      <c r="AX48" t="str">
        <f>VLOOKUP(D48,DATA_SISTEMA!$A$1:$Q$506,10,FALSE)</f>
        <v>LAMBAYEQUE</v>
      </c>
      <c r="AY48" t="s">
        <v>1718</v>
      </c>
      <c r="AZ48" t="s">
        <v>5028</v>
      </c>
      <c r="BA48" t="s">
        <v>1718</v>
      </c>
      <c r="BB48" t="s">
        <v>5028</v>
      </c>
      <c r="BC48" t="s">
        <v>1718</v>
      </c>
      <c r="BD48" t="s">
        <v>5028</v>
      </c>
      <c r="BE48" t="s">
        <v>1718</v>
      </c>
      <c r="BF48" s="34" t="s">
        <v>2104</v>
      </c>
      <c r="BG48" s="24">
        <v>77</v>
      </c>
    </row>
    <row r="49" spans="1:59" x14ac:dyDescent="0.25">
      <c r="A49" s="4">
        <v>48</v>
      </c>
      <c r="B49" s="33" t="s">
        <v>1719</v>
      </c>
      <c r="C49" s="24" t="s">
        <v>1767</v>
      </c>
      <c r="D49" s="40" t="s">
        <v>4569</v>
      </c>
      <c r="E49" s="24" t="s">
        <v>633</v>
      </c>
      <c r="F49" s="36" t="s">
        <v>1718</v>
      </c>
      <c r="G49" s="24">
        <v>957156436</v>
      </c>
      <c r="H49" t="str">
        <f>VLOOKUP(D49,DATA_SISTEMA!$A$1:$Q$506,13,FALSE)</f>
        <v>URB. SANTA LILA CALLE 05 MZ A LT. 23</v>
      </c>
      <c r="I49" t="str">
        <f>VLOOKUP(D49,DATA_SISTEMA!$A$1:$Q$506,7,FALSE)</f>
        <v>1993-06-16</v>
      </c>
      <c r="J49" s="32" t="s">
        <v>1718</v>
      </c>
      <c r="K49" s="32" t="s">
        <v>1718</v>
      </c>
      <c r="L49" s="32" t="s">
        <v>1718</v>
      </c>
      <c r="M49">
        <v>26</v>
      </c>
      <c r="N49">
        <v>0</v>
      </c>
      <c r="O49" s="32" t="str">
        <f t="shared" si="0"/>
        <v>480020261X</v>
      </c>
      <c r="P49" s="32" t="s">
        <v>1718</v>
      </c>
      <c r="Q49" s="32" t="s">
        <v>1718</v>
      </c>
      <c r="R49" s="32" t="s">
        <v>2110</v>
      </c>
      <c r="S49" s="32" t="s">
        <v>5030</v>
      </c>
      <c r="T49" t="str">
        <f>VLOOKUP(D49,DATA_SISTEMA!$A$1:$Q$506,9,FALSE)</f>
        <v>M</v>
      </c>
      <c r="U49" s="32" t="s">
        <v>2106</v>
      </c>
      <c r="V49" s="32" t="s">
        <v>1718</v>
      </c>
      <c r="W49" s="37" t="s">
        <v>5028</v>
      </c>
      <c r="X49" s="32" t="s">
        <v>4522</v>
      </c>
      <c r="Y49" s="32" t="s">
        <v>1718</v>
      </c>
      <c r="Z49" s="32" t="s">
        <v>1718</v>
      </c>
      <c r="AA49" s="32" t="s">
        <v>5028</v>
      </c>
      <c r="AB49" s="32" t="s">
        <v>1718</v>
      </c>
      <c r="AC49" s="32" t="s">
        <v>1718</v>
      </c>
      <c r="AD49" s="32" t="s">
        <v>1718</v>
      </c>
      <c r="AE49" s="32" t="s">
        <v>1718</v>
      </c>
      <c r="AF49" s="32" t="s">
        <v>1718</v>
      </c>
      <c r="AG49" s="32" t="s">
        <v>1718</v>
      </c>
      <c r="AH49" s="32" t="s">
        <v>2107</v>
      </c>
      <c r="AI49" s="24" t="s">
        <v>1348</v>
      </c>
      <c r="AJ49" s="24" t="s">
        <v>940</v>
      </c>
      <c r="AK49" s="24" t="s">
        <v>941</v>
      </c>
      <c r="AL49" s="24">
        <v>47786848</v>
      </c>
      <c r="AM49" t="s">
        <v>1718</v>
      </c>
      <c r="AN49" t="s">
        <v>1718</v>
      </c>
      <c r="AO49" t="s">
        <v>1718</v>
      </c>
      <c r="AP49" t="s">
        <v>1718</v>
      </c>
      <c r="AQ49" t="s">
        <v>1718</v>
      </c>
      <c r="AR49" t="s">
        <v>1718</v>
      </c>
      <c r="AS49" t="s">
        <v>1718</v>
      </c>
      <c r="AT49" t="s">
        <v>1718</v>
      </c>
      <c r="AU49" t="s">
        <v>1718</v>
      </c>
      <c r="AV49" t="str">
        <f>VLOOKUP(D49,DATA_SISTEMA!$A$1:$Q$506,12,FALSE)</f>
        <v>CHICLAYO</v>
      </c>
      <c r="AW49" t="str">
        <f>VLOOKUP(D49,DATA_SISTEMA!$A$1:$Q$506,11,FALSE)</f>
        <v>CHICLAYO</v>
      </c>
      <c r="AX49" t="str">
        <f>VLOOKUP(D49,DATA_SISTEMA!$A$1:$Q$506,10,FALSE)</f>
        <v>LAMBAYEQUE</v>
      </c>
      <c r="AY49" t="s">
        <v>1718</v>
      </c>
      <c r="AZ49" t="s">
        <v>5028</v>
      </c>
      <c r="BA49" t="s">
        <v>1718</v>
      </c>
      <c r="BB49" t="s">
        <v>5028</v>
      </c>
      <c r="BC49" t="s">
        <v>1718</v>
      </c>
      <c r="BD49" t="s">
        <v>5028</v>
      </c>
      <c r="BE49" t="s">
        <v>1718</v>
      </c>
      <c r="BF49" s="34" t="s">
        <v>2104</v>
      </c>
      <c r="BG49" s="24">
        <v>77</v>
      </c>
    </row>
    <row r="50" spans="1:59" x14ac:dyDescent="0.25">
      <c r="A50" s="4">
        <v>49</v>
      </c>
      <c r="B50" s="33" t="s">
        <v>1719</v>
      </c>
      <c r="C50" s="24" t="s">
        <v>1768</v>
      </c>
      <c r="D50" s="40" t="s">
        <v>4570</v>
      </c>
      <c r="E50" s="24" t="s">
        <v>635</v>
      </c>
      <c r="F50" s="36" t="s">
        <v>1718</v>
      </c>
      <c r="G50" s="24">
        <v>970315835</v>
      </c>
      <c r="H50" t="str">
        <f>VLOOKUP(D50,DATA_SISTEMA!$A$1:$Q$506,13,FALSE)</f>
        <v>URB. SOL DE LAMBAYEQUE - MZ F5 - LT 01</v>
      </c>
      <c r="I50" t="str">
        <f>VLOOKUP(D50,DATA_SISTEMA!$A$1:$Q$506,7,FALSE)</f>
        <v>1994-04-14</v>
      </c>
      <c r="J50" s="32" t="s">
        <v>1718</v>
      </c>
      <c r="K50" s="32" t="s">
        <v>1718</v>
      </c>
      <c r="L50" s="32" t="s">
        <v>1718</v>
      </c>
      <c r="M50">
        <v>26</v>
      </c>
      <c r="N50">
        <v>0</v>
      </c>
      <c r="O50" s="32" t="str">
        <f t="shared" si="0"/>
        <v>490020261X</v>
      </c>
      <c r="P50" s="32" t="s">
        <v>1718</v>
      </c>
      <c r="Q50" s="32" t="s">
        <v>1718</v>
      </c>
      <c r="R50" s="32" t="s">
        <v>2110</v>
      </c>
      <c r="S50" s="32" t="s">
        <v>5030</v>
      </c>
      <c r="T50" t="str">
        <f>VLOOKUP(D50,DATA_SISTEMA!$A$1:$Q$506,9,FALSE)</f>
        <v>M</v>
      </c>
      <c r="U50" s="32" t="s">
        <v>2106</v>
      </c>
      <c r="V50" s="32" t="s">
        <v>1718</v>
      </c>
      <c r="W50" s="37" t="s">
        <v>5028</v>
      </c>
      <c r="X50" s="32" t="s">
        <v>4522</v>
      </c>
      <c r="Y50" s="32" t="s">
        <v>1718</v>
      </c>
      <c r="Z50" s="32" t="s">
        <v>1718</v>
      </c>
      <c r="AA50" s="32" t="s">
        <v>5028</v>
      </c>
      <c r="AB50" s="32" t="s">
        <v>1718</v>
      </c>
      <c r="AC50" s="32" t="s">
        <v>1718</v>
      </c>
      <c r="AD50" s="32" t="s">
        <v>1718</v>
      </c>
      <c r="AE50" s="32" t="s">
        <v>1718</v>
      </c>
      <c r="AF50" s="32" t="s">
        <v>1718</v>
      </c>
      <c r="AG50" s="32" t="s">
        <v>1718</v>
      </c>
      <c r="AH50" s="32" t="s">
        <v>2107</v>
      </c>
      <c r="AI50" s="24" t="s">
        <v>1349</v>
      </c>
      <c r="AJ50" s="24" t="s">
        <v>942</v>
      </c>
      <c r="AK50" s="24" t="s">
        <v>943</v>
      </c>
      <c r="AL50" s="24">
        <v>72936235</v>
      </c>
      <c r="AM50" t="s">
        <v>1718</v>
      </c>
      <c r="AN50" t="s">
        <v>1718</v>
      </c>
      <c r="AO50" t="s">
        <v>1718</v>
      </c>
      <c r="AP50" t="s">
        <v>1718</v>
      </c>
      <c r="AQ50" t="s">
        <v>1718</v>
      </c>
      <c r="AR50" t="s">
        <v>1718</v>
      </c>
      <c r="AS50" t="s">
        <v>1718</v>
      </c>
      <c r="AT50" t="s">
        <v>1718</v>
      </c>
      <c r="AU50" t="s">
        <v>1718</v>
      </c>
      <c r="AV50" t="str">
        <f>VLOOKUP(D50,DATA_SISTEMA!$A$1:$Q$506,12,FALSE)</f>
        <v>LAMBAYEQUE</v>
      </c>
      <c r="AW50" t="str">
        <f>VLOOKUP(D50,DATA_SISTEMA!$A$1:$Q$506,11,FALSE)</f>
        <v>LAMBAYEQUE</v>
      </c>
      <c r="AX50" t="str">
        <f>VLOOKUP(D50,DATA_SISTEMA!$A$1:$Q$506,10,FALSE)</f>
        <v>LAMBAYEQUE</v>
      </c>
      <c r="AY50" t="s">
        <v>1718</v>
      </c>
      <c r="AZ50" t="s">
        <v>5028</v>
      </c>
      <c r="BA50" t="s">
        <v>1718</v>
      </c>
      <c r="BB50" t="s">
        <v>5028</v>
      </c>
      <c r="BC50" t="s">
        <v>1718</v>
      </c>
      <c r="BD50" t="s">
        <v>5028</v>
      </c>
      <c r="BE50" t="s">
        <v>1718</v>
      </c>
      <c r="BF50" s="34" t="s">
        <v>2104</v>
      </c>
      <c r="BG50" s="24">
        <v>76.5</v>
      </c>
    </row>
    <row r="51" spans="1:59" x14ac:dyDescent="0.25">
      <c r="A51" s="4">
        <v>50</v>
      </c>
      <c r="B51" s="33" t="s">
        <v>1719</v>
      </c>
      <c r="C51" s="24" t="s">
        <v>1769</v>
      </c>
      <c r="D51" s="40" t="s">
        <v>4571</v>
      </c>
      <c r="E51" s="24" t="s">
        <v>637</v>
      </c>
      <c r="F51" s="36" t="s">
        <v>1718</v>
      </c>
      <c r="G51" s="24">
        <v>945782644</v>
      </c>
      <c r="H51" t="str">
        <f>VLOOKUP(D51,DATA_SISTEMA!$A$1:$Q$506,13,FALSE)</f>
        <v>JR. CAJAMARCA S/N C. POBLADO NARANJILLO</v>
      </c>
      <c r="I51" t="str">
        <f>VLOOKUP(D51,DATA_SISTEMA!$A$1:$Q$506,7,FALSE)</f>
        <v>1996-06-02</v>
      </c>
      <c r="J51" s="32" t="s">
        <v>1718</v>
      </c>
      <c r="K51" s="32" t="s">
        <v>1718</v>
      </c>
      <c r="L51" s="32" t="s">
        <v>1718</v>
      </c>
      <c r="M51">
        <v>26</v>
      </c>
      <c r="N51">
        <v>0</v>
      </c>
      <c r="O51" s="32" t="str">
        <f t="shared" si="0"/>
        <v>500020261X</v>
      </c>
      <c r="P51" s="32" t="s">
        <v>1718</v>
      </c>
      <c r="Q51" s="32" t="s">
        <v>1718</v>
      </c>
      <c r="R51" s="32" t="s">
        <v>2110</v>
      </c>
      <c r="S51" s="32" t="s">
        <v>5030</v>
      </c>
      <c r="T51" t="str">
        <f>VLOOKUP(D51,DATA_SISTEMA!$A$1:$Q$506,9,FALSE)</f>
        <v>M</v>
      </c>
      <c r="U51" s="32" t="s">
        <v>2106</v>
      </c>
      <c r="V51" s="32" t="s">
        <v>1718</v>
      </c>
      <c r="W51" s="37" t="s">
        <v>5028</v>
      </c>
      <c r="X51" s="32" t="s">
        <v>4522</v>
      </c>
      <c r="Y51" s="32" t="s">
        <v>1718</v>
      </c>
      <c r="Z51" s="32" t="s">
        <v>1718</v>
      </c>
      <c r="AA51" s="32" t="s">
        <v>5028</v>
      </c>
      <c r="AB51" s="32" t="s">
        <v>1718</v>
      </c>
      <c r="AC51" s="32" t="s">
        <v>1718</v>
      </c>
      <c r="AD51" s="32" t="s">
        <v>1718</v>
      </c>
      <c r="AE51" s="32" t="s">
        <v>1718</v>
      </c>
      <c r="AF51" s="32" t="s">
        <v>1718</v>
      </c>
      <c r="AG51" s="32" t="s">
        <v>1718</v>
      </c>
      <c r="AH51" s="32" t="s">
        <v>2107</v>
      </c>
      <c r="AI51" s="24" t="s">
        <v>1350</v>
      </c>
      <c r="AJ51" s="24" t="s">
        <v>862</v>
      </c>
      <c r="AK51" s="24" t="s">
        <v>901</v>
      </c>
      <c r="AL51" s="24">
        <v>73778331</v>
      </c>
      <c r="AM51" t="s">
        <v>1718</v>
      </c>
      <c r="AN51" t="s">
        <v>1718</v>
      </c>
      <c r="AO51" t="s">
        <v>1718</v>
      </c>
      <c r="AP51" t="s">
        <v>1718</v>
      </c>
      <c r="AQ51" t="s">
        <v>1718</v>
      </c>
      <c r="AR51" t="s">
        <v>1718</v>
      </c>
      <c r="AS51" t="s">
        <v>1718</v>
      </c>
      <c r="AT51" t="s">
        <v>1718</v>
      </c>
      <c r="AU51" t="s">
        <v>1718</v>
      </c>
      <c r="AV51" t="str">
        <f>VLOOKUP(D51,DATA_SISTEMA!$A$1:$Q$506,12,FALSE)</f>
        <v>NUEVA CAJAMARCA</v>
      </c>
      <c r="AW51" t="str">
        <f>VLOOKUP(D51,DATA_SISTEMA!$A$1:$Q$506,11,FALSE)</f>
        <v>RIOJA</v>
      </c>
      <c r="AX51" t="str">
        <f>VLOOKUP(D51,DATA_SISTEMA!$A$1:$Q$506,10,FALSE)</f>
        <v>SAN MARTIN</v>
      </c>
      <c r="AY51" t="s">
        <v>1718</v>
      </c>
      <c r="AZ51" t="s">
        <v>5028</v>
      </c>
      <c r="BA51" t="s">
        <v>1718</v>
      </c>
      <c r="BB51" t="s">
        <v>5028</v>
      </c>
      <c r="BC51" t="s">
        <v>1718</v>
      </c>
      <c r="BD51" t="s">
        <v>5028</v>
      </c>
      <c r="BE51" t="s">
        <v>1718</v>
      </c>
      <c r="BF51" s="34" t="s">
        <v>2104</v>
      </c>
      <c r="BG51" s="24">
        <v>76</v>
      </c>
    </row>
    <row r="52" spans="1:59" x14ac:dyDescent="0.25">
      <c r="A52" s="4">
        <v>51</v>
      </c>
      <c r="B52" s="33" t="s">
        <v>1719</v>
      </c>
      <c r="C52" s="24" t="s">
        <v>1770</v>
      </c>
      <c r="D52" s="40" t="s">
        <v>4572</v>
      </c>
      <c r="E52" s="24" t="s">
        <v>639</v>
      </c>
      <c r="F52" s="36" t="s">
        <v>1718</v>
      </c>
      <c r="G52" s="24">
        <v>939888555</v>
      </c>
      <c r="H52" t="str">
        <f>VLOOKUP(D52,DATA_SISTEMA!$A$1:$Q$506,13,FALSE)</f>
        <v>CL VICTOR RAUL 191 BARRIO SAN AGUSTIN</v>
      </c>
      <c r="I52" t="str">
        <f>VLOOKUP(D52,DATA_SISTEMA!$A$1:$Q$506,7,FALSE)</f>
        <v>1998-12-30</v>
      </c>
      <c r="J52" s="32" t="s">
        <v>1718</v>
      </c>
      <c r="K52" s="32" t="s">
        <v>1718</v>
      </c>
      <c r="L52" s="32" t="s">
        <v>1718</v>
      </c>
      <c r="M52">
        <v>26</v>
      </c>
      <c r="N52">
        <v>0</v>
      </c>
      <c r="O52" s="32" t="str">
        <f t="shared" si="0"/>
        <v>510020261X</v>
      </c>
      <c r="P52" s="32" t="s">
        <v>1718</v>
      </c>
      <c r="Q52" s="32" t="s">
        <v>1718</v>
      </c>
      <c r="R52" s="32" t="s">
        <v>2110</v>
      </c>
      <c r="S52" s="32" t="s">
        <v>5030</v>
      </c>
      <c r="T52" t="str">
        <f>VLOOKUP(D52,DATA_SISTEMA!$A$1:$Q$506,9,FALSE)</f>
        <v>M</v>
      </c>
      <c r="U52" s="32" t="s">
        <v>2106</v>
      </c>
      <c r="V52" s="32" t="s">
        <v>1718</v>
      </c>
      <c r="W52" s="37" t="s">
        <v>5028</v>
      </c>
      <c r="X52" s="32" t="s">
        <v>4522</v>
      </c>
      <c r="Y52" s="32" t="s">
        <v>1718</v>
      </c>
      <c r="Z52" s="32" t="s">
        <v>1718</v>
      </c>
      <c r="AA52" s="32" t="s">
        <v>5028</v>
      </c>
      <c r="AB52" s="32" t="s">
        <v>1718</v>
      </c>
      <c r="AC52" s="32" t="s">
        <v>1718</v>
      </c>
      <c r="AD52" s="32" t="s">
        <v>1718</v>
      </c>
      <c r="AE52" s="32" t="s">
        <v>1718</v>
      </c>
      <c r="AF52" s="32" t="s">
        <v>1718</v>
      </c>
      <c r="AG52" s="32" t="s">
        <v>1718</v>
      </c>
      <c r="AH52" s="32" t="s">
        <v>2107</v>
      </c>
      <c r="AI52" s="24" t="s">
        <v>1351</v>
      </c>
      <c r="AJ52" s="24" t="s">
        <v>944</v>
      </c>
      <c r="AK52" s="24" t="s">
        <v>945</v>
      </c>
      <c r="AL52" s="24">
        <v>75652596</v>
      </c>
      <c r="AM52" t="s">
        <v>1718</v>
      </c>
      <c r="AN52" t="s">
        <v>1718</v>
      </c>
      <c r="AO52" t="s">
        <v>1718</v>
      </c>
      <c r="AP52" t="s">
        <v>1718</v>
      </c>
      <c r="AQ52" t="s">
        <v>1718</v>
      </c>
      <c r="AR52" t="s">
        <v>1718</v>
      </c>
      <c r="AS52" t="s">
        <v>1718</v>
      </c>
      <c r="AT52" t="s">
        <v>1718</v>
      </c>
      <c r="AU52" t="s">
        <v>1718</v>
      </c>
      <c r="AV52" t="str">
        <f>VLOOKUP(D52,DATA_SISTEMA!$A$1:$Q$506,12,FALSE)</f>
        <v>GUADALUPE</v>
      </c>
      <c r="AW52" t="str">
        <f>VLOOKUP(D52,DATA_SISTEMA!$A$1:$Q$506,11,FALSE)</f>
        <v>PACASMAYO</v>
      </c>
      <c r="AX52" t="str">
        <f>VLOOKUP(D52,DATA_SISTEMA!$A$1:$Q$506,10,FALSE)</f>
        <v>LA LIBERTAD</v>
      </c>
      <c r="AY52" t="s">
        <v>1718</v>
      </c>
      <c r="AZ52" t="s">
        <v>5028</v>
      </c>
      <c r="BA52" t="s">
        <v>1718</v>
      </c>
      <c r="BB52" t="s">
        <v>5028</v>
      </c>
      <c r="BC52" t="s">
        <v>1718</v>
      </c>
      <c r="BD52" t="s">
        <v>5028</v>
      </c>
      <c r="BE52" t="s">
        <v>1718</v>
      </c>
      <c r="BF52" s="34" t="s">
        <v>2104</v>
      </c>
      <c r="BG52" s="24">
        <v>75.5</v>
      </c>
    </row>
    <row r="53" spans="1:59" x14ac:dyDescent="0.25">
      <c r="A53" s="4">
        <v>52</v>
      </c>
      <c r="B53" s="33" t="s">
        <v>1719</v>
      </c>
      <c r="C53" s="24" t="s">
        <v>1771</v>
      </c>
      <c r="D53" s="40" t="s">
        <v>4573</v>
      </c>
      <c r="E53" s="24" t="s">
        <v>641</v>
      </c>
      <c r="F53" s="36" t="s">
        <v>1718</v>
      </c>
      <c r="G53" s="24">
        <v>945214015</v>
      </c>
      <c r="H53" t="str">
        <f>VLOOKUP(D53,DATA_SISTEMA!$A$1:$Q$506,13,FALSE)</f>
        <v>JR 18 DE ABRIL 354</v>
      </c>
      <c r="I53" t="str">
        <f>VLOOKUP(D53,DATA_SISTEMA!$A$1:$Q$506,7,FALSE)</f>
        <v>1997-07-16</v>
      </c>
      <c r="J53" s="32" t="s">
        <v>1718</v>
      </c>
      <c r="K53" s="32" t="s">
        <v>1718</v>
      </c>
      <c r="L53" s="32" t="s">
        <v>1718</v>
      </c>
      <c r="M53">
        <v>26</v>
      </c>
      <c r="N53">
        <v>0</v>
      </c>
      <c r="O53" s="32" t="str">
        <f t="shared" si="0"/>
        <v>520020261X</v>
      </c>
      <c r="P53" s="32" t="s">
        <v>1718</v>
      </c>
      <c r="Q53" s="32" t="s">
        <v>1718</v>
      </c>
      <c r="R53" s="32" t="s">
        <v>2110</v>
      </c>
      <c r="S53" s="32" t="s">
        <v>5030</v>
      </c>
      <c r="T53" t="str">
        <f>VLOOKUP(D53,DATA_SISTEMA!$A$1:$Q$506,9,FALSE)</f>
        <v>M</v>
      </c>
      <c r="U53" s="32" t="s">
        <v>2106</v>
      </c>
      <c r="V53" s="32" t="s">
        <v>1718</v>
      </c>
      <c r="W53" s="37" t="s">
        <v>5028</v>
      </c>
      <c r="X53" s="32" t="s">
        <v>4522</v>
      </c>
      <c r="Y53" s="32" t="s">
        <v>1718</v>
      </c>
      <c r="Z53" s="32" t="s">
        <v>1718</v>
      </c>
      <c r="AA53" s="32" t="s">
        <v>5028</v>
      </c>
      <c r="AB53" s="32" t="s">
        <v>1718</v>
      </c>
      <c r="AC53" s="32" t="s">
        <v>1718</v>
      </c>
      <c r="AD53" s="32" t="s">
        <v>1718</v>
      </c>
      <c r="AE53" s="32" t="s">
        <v>1718</v>
      </c>
      <c r="AF53" s="32" t="s">
        <v>1718</v>
      </c>
      <c r="AG53" s="32" t="s">
        <v>1718</v>
      </c>
      <c r="AH53" s="32" t="s">
        <v>2107</v>
      </c>
      <c r="AI53" s="24" t="s">
        <v>1352</v>
      </c>
      <c r="AJ53" s="24" t="s">
        <v>946</v>
      </c>
      <c r="AK53" s="24" t="s">
        <v>947</v>
      </c>
      <c r="AL53" s="24">
        <v>72329597</v>
      </c>
      <c r="AM53" t="s">
        <v>1718</v>
      </c>
      <c r="AN53" t="s">
        <v>1718</v>
      </c>
      <c r="AO53" t="s">
        <v>1718</v>
      </c>
      <c r="AP53" t="s">
        <v>1718</v>
      </c>
      <c r="AQ53" t="s">
        <v>1718</v>
      </c>
      <c r="AR53" t="s">
        <v>1718</v>
      </c>
      <c r="AS53" t="s">
        <v>1718</v>
      </c>
      <c r="AT53" t="s">
        <v>1718</v>
      </c>
      <c r="AU53" t="s">
        <v>1718</v>
      </c>
      <c r="AV53" t="str">
        <f>VLOOKUP(D53,DATA_SISTEMA!$A$1:$Q$506,12,FALSE)</f>
        <v>LLAMA</v>
      </c>
      <c r="AW53" t="str">
        <f>VLOOKUP(D53,DATA_SISTEMA!$A$1:$Q$506,11,FALSE)</f>
        <v xml:space="preserve">CHOTA </v>
      </c>
      <c r="AX53" t="str">
        <f>VLOOKUP(D53,DATA_SISTEMA!$A$1:$Q$506,10,FALSE)</f>
        <v>CAJAMARCA</v>
      </c>
      <c r="AY53" t="s">
        <v>1718</v>
      </c>
      <c r="AZ53" t="s">
        <v>5028</v>
      </c>
      <c r="BA53" t="s">
        <v>1718</v>
      </c>
      <c r="BB53" t="s">
        <v>5028</v>
      </c>
      <c r="BC53" t="s">
        <v>1718</v>
      </c>
      <c r="BD53" t="s">
        <v>5028</v>
      </c>
      <c r="BE53" t="s">
        <v>1718</v>
      </c>
      <c r="BF53" s="34" t="s">
        <v>2104</v>
      </c>
      <c r="BG53" s="24">
        <v>75</v>
      </c>
    </row>
    <row r="54" spans="1:59" x14ac:dyDescent="0.25">
      <c r="A54" s="4">
        <v>53</v>
      </c>
      <c r="B54" s="33" t="s">
        <v>1719</v>
      </c>
      <c r="C54" s="24" t="s">
        <v>1772</v>
      </c>
      <c r="D54" s="40" t="s">
        <v>4574</v>
      </c>
      <c r="E54" s="24" t="s">
        <v>643</v>
      </c>
      <c r="F54" s="36" t="s">
        <v>1718</v>
      </c>
      <c r="G54" s="24">
        <v>970401965</v>
      </c>
      <c r="H54" t="str">
        <f>VLOOKUP(D54,DATA_SISTEMA!$A$1:$Q$506,13,FALSE)</f>
        <v>CALLE LAS CUCARDAS 241 - CESAR VALLEJO</v>
      </c>
      <c r="I54" t="str">
        <f>VLOOKUP(D54,DATA_SISTEMA!$A$1:$Q$506,7,FALSE)</f>
        <v>1996-05-27</v>
      </c>
      <c r="J54" s="32" t="s">
        <v>1718</v>
      </c>
      <c r="K54" s="32" t="s">
        <v>1718</v>
      </c>
      <c r="L54" s="32" t="s">
        <v>1718</v>
      </c>
      <c r="M54">
        <v>26</v>
      </c>
      <c r="N54">
        <v>0</v>
      </c>
      <c r="O54" s="32" t="str">
        <f t="shared" si="0"/>
        <v>530020261X</v>
      </c>
      <c r="P54" s="32" t="s">
        <v>1718</v>
      </c>
      <c r="Q54" s="32" t="s">
        <v>1718</v>
      </c>
      <c r="R54" s="32" t="s">
        <v>2110</v>
      </c>
      <c r="S54" s="32" t="s">
        <v>5030</v>
      </c>
      <c r="T54" t="str">
        <f>VLOOKUP(D54,DATA_SISTEMA!$A$1:$Q$506,9,FALSE)</f>
        <v>M</v>
      </c>
      <c r="U54" s="32" t="s">
        <v>2106</v>
      </c>
      <c r="V54" s="32" t="s">
        <v>1718</v>
      </c>
      <c r="W54" s="37" t="s">
        <v>5028</v>
      </c>
      <c r="X54" s="32" t="s">
        <v>4522</v>
      </c>
      <c r="Y54" s="32" t="s">
        <v>1718</v>
      </c>
      <c r="Z54" s="32" t="s">
        <v>1718</v>
      </c>
      <c r="AA54" s="32" t="s">
        <v>5028</v>
      </c>
      <c r="AB54" s="32" t="s">
        <v>1718</v>
      </c>
      <c r="AC54" s="32" t="s">
        <v>1718</v>
      </c>
      <c r="AD54" s="32" t="s">
        <v>1718</v>
      </c>
      <c r="AE54" s="32" t="s">
        <v>1718</v>
      </c>
      <c r="AF54" s="32" t="s">
        <v>1718</v>
      </c>
      <c r="AG54" s="32" t="s">
        <v>1718</v>
      </c>
      <c r="AH54" s="32" t="s">
        <v>2107</v>
      </c>
      <c r="AI54" s="24" t="s">
        <v>1353</v>
      </c>
      <c r="AJ54" s="24" t="s">
        <v>859</v>
      </c>
      <c r="AK54" s="24" t="s">
        <v>901</v>
      </c>
      <c r="AL54" s="24">
        <v>77380711</v>
      </c>
      <c r="AM54" t="s">
        <v>1718</v>
      </c>
      <c r="AN54" t="s">
        <v>1718</v>
      </c>
      <c r="AO54" t="s">
        <v>1718</v>
      </c>
      <c r="AP54" t="s">
        <v>1718</v>
      </c>
      <c r="AQ54" t="s">
        <v>1718</v>
      </c>
      <c r="AR54" t="s">
        <v>1718</v>
      </c>
      <c r="AS54" t="s">
        <v>1718</v>
      </c>
      <c r="AT54" t="s">
        <v>1718</v>
      </c>
      <c r="AU54" t="s">
        <v>1718</v>
      </c>
      <c r="AV54" t="str">
        <f>VLOOKUP(D54,DATA_SISTEMA!$A$1:$Q$506,12,FALSE)</f>
        <v>CHICLAYO</v>
      </c>
      <c r="AW54" t="str">
        <f>VLOOKUP(D54,DATA_SISTEMA!$A$1:$Q$506,11,FALSE)</f>
        <v>CHICLAYO</v>
      </c>
      <c r="AX54" t="str">
        <f>VLOOKUP(D54,DATA_SISTEMA!$A$1:$Q$506,10,FALSE)</f>
        <v>LAMBAYEQUE</v>
      </c>
      <c r="AY54" t="s">
        <v>1718</v>
      </c>
      <c r="AZ54" t="s">
        <v>5028</v>
      </c>
      <c r="BA54" t="s">
        <v>1718</v>
      </c>
      <c r="BB54" t="s">
        <v>5028</v>
      </c>
      <c r="BC54" t="s">
        <v>1718</v>
      </c>
      <c r="BD54" t="s">
        <v>5028</v>
      </c>
      <c r="BE54" t="s">
        <v>1718</v>
      </c>
      <c r="BF54" s="34" t="s">
        <v>2104</v>
      </c>
      <c r="BG54" s="24">
        <v>75</v>
      </c>
    </row>
    <row r="55" spans="1:59" x14ac:dyDescent="0.25">
      <c r="A55" s="4">
        <v>54</v>
      </c>
      <c r="B55" s="33" t="s">
        <v>1719</v>
      </c>
      <c r="C55" s="24" t="s">
        <v>1773</v>
      </c>
      <c r="D55" s="40" t="s">
        <v>4575</v>
      </c>
      <c r="E55" s="24" t="s">
        <v>645</v>
      </c>
      <c r="F55" s="36" t="s">
        <v>1718</v>
      </c>
      <c r="G55" s="24">
        <v>966977049</v>
      </c>
      <c r="H55" t="str">
        <f>VLOOKUP(D55,DATA_SISTEMA!$A$1:$Q$506,13,FALSE)</f>
        <v>LEANDRO PASTOR N°142</v>
      </c>
      <c r="I55" t="str">
        <f>VLOOKUP(D55,DATA_SISTEMA!$A$1:$Q$506,7,FALSE)</f>
        <v>1989-05-16</v>
      </c>
      <c r="J55" s="32" t="s">
        <v>1718</v>
      </c>
      <c r="K55" s="32" t="s">
        <v>1718</v>
      </c>
      <c r="L55" s="32" t="s">
        <v>1718</v>
      </c>
      <c r="M55">
        <v>26</v>
      </c>
      <c r="N55">
        <v>0</v>
      </c>
      <c r="O55" s="32" t="str">
        <f t="shared" si="0"/>
        <v>540020261X</v>
      </c>
      <c r="P55" s="32" t="s">
        <v>1718</v>
      </c>
      <c r="Q55" s="32" t="s">
        <v>1718</v>
      </c>
      <c r="R55" s="32" t="s">
        <v>2110</v>
      </c>
      <c r="S55" s="32" t="s">
        <v>5030</v>
      </c>
      <c r="T55" t="str">
        <f>VLOOKUP(D55,DATA_SISTEMA!$A$1:$Q$506,9,FALSE)</f>
        <v>M</v>
      </c>
      <c r="U55" s="32" t="s">
        <v>2106</v>
      </c>
      <c r="V55" s="32" t="s">
        <v>1718</v>
      </c>
      <c r="W55" s="37" t="s">
        <v>5028</v>
      </c>
      <c r="X55" s="32" t="s">
        <v>4522</v>
      </c>
      <c r="Y55" s="32" t="s">
        <v>1718</v>
      </c>
      <c r="Z55" s="32" t="s">
        <v>1718</v>
      </c>
      <c r="AA55" s="32" t="s">
        <v>5028</v>
      </c>
      <c r="AB55" s="32" t="s">
        <v>1718</v>
      </c>
      <c r="AC55" s="32" t="s">
        <v>1718</v>
      </c>
      <c r="AD55" s="32" t="s">
        <v>1718</v>
      </c>
      <c r="AE55" s="32" t="s">
        <v>1718</v>
      </c>
      <c r="AF55" s="32" t="s">
        <v>1718</v>
      </c>
      <c r="AG55" s="32" t="s">
        <v>1718</v>
      </c>
      <c r="AH55" s="32" t="s">
        <v>2107</v>
      </c>
      <c r="AI55" s="24" t="s">
        <v>1354</v>
      </c>
      <c r="AJ55" s="24" t="s">
        <v>858</v>
      </c>
      <c r="AK55" s="24" t="s">
        <v>948</v>
      </c>
      <c r="AL55" s="24">
        <v>45711302</v>
      </c>
      <c r="AM55" t="s">
        <v>1718</v>
      </c>
      <c r="AN55" t="s">
        <v>1718</v>
      </c>
      <c r="AO55" t="s">
        <v>1718</v>
      </c>
      <c r="AP55" t="s">
        <v>1718</v>
      </c>
      <c r="AQ55" t="s">
        <v>1718</v>
      </c>
      <c r="AR55" t="s">
        <v>1718</v>
      </c>
      <c r="AS55" t="s">
        <v>1718</v>
      </c>
      <c r="AT55" t="s">
        <v>1718</v>
      </c>
      <c r="AU55" t="s">
        <v>1718</v>
      </c>
      <c r="AV55" t="str">
        <f>VLOOKUP(D55,DATA_SISTEMA!$A$1:$Q$506,12,FALSE)</f>
        <v>LAMBAYEQUE</v>
      </c>
      <c r="AW55" t="str">
        <f>VLOOKUP(D55,DATA_SISTEMA!$A$1:$Q$506,11,FALSE)</f>
        <v>LAMBAYEQUE</v>
      </c>
      <c r="AX55" t="str">
        <f>VLOOKUP(D55,DATA_SISTEMA!$A$1:$Q$506,10,FALSE)</f>
        <v>LAMBAYEQUE</v>
      </c>
      <c r="AY55" t="s">
        <v>1718</v>
      </c>
      <c r="AZ55" t="s">
        <v>5028</v>
      </c>
      <c r="BA55" t="s">
        <v>1718</v>
      </c>
      <c r="BB55" t="s">
        <v>5028</v>
      </c>
      <c r="BC55" t="s">
        <v>1718</v>
      </c>
      <c r="BD55" t="s">
        <v>5028</v>
      </c>
      <c r="BE55" t="s">
        <v>1718</v>
      </c>
      <c r="BF55" s="34" t="s">
        <v>2104</v>
      </c>
      <c r="BG55" s="24">
        <v>74</v>
      </c>
    </row>
    <row r="56" spans="1:59" x14ac:dyDescent="0.25">
      <c r="A56" s="4">
        <v>55</v>
      </c>
      <c r="B56" s="33" t="s">
        <v>1719</v>
      </c>
      <c r="C56" s="24" t="s">
        <v>1774</v>
      </c>
      <c r="D56" s="40" t="s">
        <v>4576</v>
      </c>
      <c r="E56" s="24" t="s">
        <v>647</v>
      </c>
      <c r="F56" s="36" t="s">
        <v>1718</v>
      </c>
      <c r="G56" s="24">
        <v>957816200</v>
      </c>
      <c r="H56" t="str">
        <f>VLOOKUP(D56,DATA_SISTEMA!$A$1:$Q$506,13,FALSE)</f>
        <v>CALLE LAS CARABELAS MZ. A LT. 15</v>
      </c>
      <c r="I56" t="str">
        <f>VLOOKUP(D56,DATA_SISTEMA!$A$1:$Q$506,7,FALSE)</f>
        <v>1997-03-16</v>
      </c>
      <c r="J56" s="32" t="s">
        <v>1718</v>
      </c>
      <c r="K56" s="32" t="s">
        <v>1718</v>
      </c>
      <c r="L56" s="32" t="s">
        <v>1718</v>
      </c>
      <c r="M56">
        <v>26</v>
      </c>
      <c r="N56">
        <v>0</v>
      </c>
      <c r="O56" s="32" t="str">
        <f t="shared" si="0"/>
        <v>550020261X</v>
      </c>
      <c r="P56" s="32" t="s">
        <v>1718</v>
      </c>
      <c r="Q56" s="32" t="s">
        <v>1718</v>
      </c>
      <c r="R56" s="32" t="s">
        <v>2110</v>
      </c>
      <c r="S56" s="32" t="s">
        <v>5030</v>
      </c>
      <c r="T56" t="str">
        <f>VLOOKUP(D56,DATA_SISTEMA!$A$1:$Q$506,9,FALSE)</f>
        <v>M</v>
      </c>
      <c r="U56" s="32" t="s">
        <v>2106</v>
      </c>
      <c r="V56" s="32" t="s">
        <v>1718</v>
      </c>
      <c r="W56" s="37" t="s">
        <v>5028</v>
      </c>
      <c r="X56" s="32" t="s">
        <v>4522</v>
      </c>
      <c r="Y56" s="32" t="s">
        <v>1718</v>
      </c>
      <c r="Z56" s="32" t="s">
        <v>1718</v>
      </c>
      <c r="AA56" s="32" t="s">
        <v>5028</v>
      </c>
      <c r="AB56" s="32" t="s">
        <v>1718</v>
      </c>
      <c r="AC56" s="32" t="s">
        <v>1718</v>
      </c>
      <c r="AD56" s="32" t="s">
        <v>1718</v>
      </c>
      <c r="AE56" s="32" t="s">
        <v>1718</v>
      </c>
      <c r="AF56" s="32" t="s">
        <v>1718</v>
      </c>
      <c r="AG56" s="32" t="s">
        <v>1718</v>
      </c>
      <c r="AH56" s="32" t="s">
        <v>2107</v>
      </c>
      <c r="AI56" s="24" t="s">
        <v>1355</v>
      </c>
      <c r="AJ56" s="24" t="s">
        <v>949</v>
      </c>
      <c r="AK56" s="24" t="s">
        <v>950</v>
      </c>
      <c r="AL56" s="24">
        <v>73018843</v>
      </c>
      <c r="AM56" t="s">
        <v>1718</v>
      </c>
      <c r="AN56" t="s">
        <v>1718</v>
      </c>
      <c r="AO56" t="s">
        <v>1718</v>
      </c>
      <c r="AP56" t="s">
        <v>1718</v>
      </c>
      <c r="AQ56" t="s">
        <v>1718</v>
      </c>
      <c r="AR56" t="s">
        <v>1718</v>
      </c>
      <c r="AS56" t="s">
        <v>1718</v>
      </c>
      <c r="AT56" t="s">
        <v>1718</v>
      </c>
      <c r="AU56" t="s">
        <v>1718</v>
      </c>
      <c r="AV56" t="str">
        <f>VLOOKUP(D56,DATA_SISTEMA!$A$1:$Q$506,12,FALSE)</f>
        <v>LA VICTORIA</v>
      </c>
      <c r="AW56" t="str">
        <f>VLOOKUP(D56,DATA_SISTEMA!$A$1:$Q$506,11,FALSE)</f>
        <v>CHICLAYO</v>
      </c>
      <c r="AX56" t="str">
        <f>VLOOKUP(D56,DATA_SISTEMA!$A$1:$Q$506,10,FALSE)</f>
        <v>LAMBAYEQUE</v>
      </c>
      <c r="AY56" t="s">
        <v>1718</v>
      </c>
      <c r="AZ56" t="s">
        <v>5028</v>
      </c>
      <c r="BA56" t="s">
        <v>1718</v>
      </c>
      <c r="BB56" t="s">
        <v>5028</v>
      </c>
      <c r="BC56" t="s">
        <v>1718</v>
      </c>
      <c r="BD56" t="s">
        <v>5028</v>
      </c>
      <c r="BE56" t="s">
        <v>1718</v>
      </c>
      <c r="BF56" s="34" t="s">
        <v>2104</v>
      </c>
      <c r="BG56" s="24">
        <v>73.5</v>
      </c>
    </row>
    <row r="57" spans="1:59" x14ac:dyDescent="0.25">
      <c r="A57" s="4">
        <v>56</v>
      </c>
      <c r="B57" s="33" t="s">
        <v>1719</v>
      </c>
      <c r="C57" s="24" t="s">
        <v>1775</v>
      </c>
      <c r="D57" s="40" t="s">
        <v>4577</v>
      </c>
      <c r="E57" s="24" t="s">
        <v>649</v>
      </c>
      <c r="F57" s="36" t="s">
        <v>1718</v>
      </c>
      <c r="G57" s="24">
        <v>917741071</v>
      </c>
      <c r="H57" t="str">
        <f>VLOOKUP(D57,DATA_SISTEMA!$A$1:$Q$506,13,FALSE)</f>
        <v>AVENIDA UNION N°590 - SAN JOSE DEL HUITO</v>
      </c>
      <c r="I57" t="str">
        <f>VLOOKUP(D57,DATA_SISTEMA!$A$1:$Q$506,7,FALSE)</f>
        <v>1987-06-03</v>
      </c>
      <c r="J57" s="32" t="s">
        <v>1718</v>
      </c>
      <c r="K57" s="32" t="s">
        <v>1718</v>
      </c>
      <c r="L57" s="32" t="s">
        <v>1718</v>
      </c>
      <c r="M57">
        <v>26</v>
      </c>
      <c r="N57">
        <v>0</v>
      </c>
      <c r="O57" s="32" t="str">
        <f t="shared" si="0"/>
        <v>560020261X</v>
      </c>
      <c r="P57" s="32" t="s">
        <v>1718</v>
      </c>
      <c r="Q57" s="32" t="s">
        <v>1718</v>
      </c>
      <c r="R57" s="32" t="s">
        <v>2110</v>
      </c>
      <c r="S57" s="32" t="s">
        <v>5030</v>
      </c>
      <c r="T57" t="str">
        <f>VLOOKUP(D57,DATA_SISTEMA!$A$1:$Q$506,9,FALSE)</f>
        <v>M</v>
      </c>
      <c r="U57" s="32" t="s">
        <v>2106</v>
      </c>
      <c r="V57" s="32" t="s">
        <v>1718</v>
      </c>
      <c r="W57" s="37" t="s">
        <v>5028</v>
      </c>
      <c r="X57" s="32" t="s">
        <v>4522</v>
      </c>
      <c r="Y57" s="32" t="s">
        <v>1718</v>
      </c>
      <c r="Z57" s="32" t="s">
        <v>1718</v>
      </c>
      <c r="AA57" s="32" t="s">
        <v>5028</v>
      </c>
      <c r="AB57" s="32" t="s">
        <v>1718</v>
      </c>
      <c r="AC57" s="32" t="s">
        <v>1718</v>
      </c>
      <c r="AD57" s="32" t="s">
        <v>1718</v>
      </c>
      <c r="AE57" s="32" t="s">
        <v>1718</v>
      </c>
      <c r="AF57" s="32" t="s">
        <v>1718</v>
      </c>
      <c r="AG57" s="32" t="s">
        <v>1718</v>
      </c>
      <c r="AH57" s="32" t="s">
        <v>2107</v>
      </c>
      <c r="AI57" s="24" t="s">
        <v>1356</v>
      </c>
      <c r="AJ57" s="24" t="s">
        <v>951</v>
      </c>
      <c r="AK57" s="24" t="s">
        <v>870</v>
      </c>
      <c r="AL57" s="24">
        <v>44291488</v>
      </c>
      <c r="AM57" t="s">
        <v>1718</v>
      </c>
      <c r="AN57" t="s">
        <v>1718</v>
      </c>
      <c r="AO57" t="s">
        <v>1718</v>
      </c>
      <c r="AP57" t="s">
        <v>1718</v>
      </c>
      <c r="AQ57" t="s">
        <v>1718</v>
      </c>
      <c r="AR57" t="s">
        <v>1718</v>
      </c>
      <c r="AS57" t="s">
        <v>1718</v>
      </c>
      <c r="AT57" t="s">
        <v>1718</v>
      </c>
      <c r="AU57" t="s">
        <v>1718</v>
      </c>
      <c r="AV57" t="str">
        <f>VLOOKUP(D57,DATA_SISTEMA!$A$1:$Q$506,12,FALSE)</f>
        <v>JAEN</v>
      </c>
      <c r="AW57" t="str">
        <f>VLOOKUP(D57,DATA_SISTEMA!$A$1:$Q$506,11,FALSE)</f>
        <v>JAEN</v>
      </c>
      <c r="AX57" t="str">
        <f>VLOOKUP(D57,DATA_SISTEMA!$A$1:$Q$506,10,FALSE)</f>
        <v>CAJAMARCA</v>
      </c>
      <c r="AY57" t="s">
        <v>1718</v>
      </c>
      <c r="AZ57" t="s">
        <v>5028</v>
      </c>
      <c r="BA57" t="s">
        <v>1718</v>
      </c>
      <c r="BB57" t="s">
        <v>5028</v>
      </c>
      <c r="BC57" t="s">
        <v>1718</v>
      </c>
      <c r="BD57" t="s">
        <v>5028</v>
      </c>
      <c r="BE57" t="s">
        <v>1718</v>
      </c>
      <c r="BF57" s="34" t="s">
        <v>2104</v>
      </c>
      <c r="BG57" s="24">
        <v>72.5</v>
      </c>
    </row>
    <row r="58" spans="1:59" x14ac:dyDescent="0.25">
      <c r="A58" s="4">
        <v>57</v>
      </c>
      <c r="B58" s="33" t="s">
        <v>1719</v>
      </c>
      <c r="C58" s="24" t="s">
        <v>1776</v>
      </c>
      <c r="D58" s="40" t="s">
        <v>4578</v>
      </c>
      <c r="E58" s="24" t="s">
        <v>651</v>
      </c>
      <c r="F58" s="36" t="s">
        <v>1718</v>
      </c>
      <c r="G58" s="24">
        <v>974272916</v>
      </c>
      <c r="H58" t="str">
        <f>VLOOKUP(D58,DATA_SISTEMA!$A$1:$Q$506,13,FALSE)</f>
        <v>BLOCK 14 1422A</v>
      </c>
      <c r="I58" t="str">
        <f>VLOOKUP(D58,DATA_SISTEMA!$A$1:$Q$506,7,FALSE)</f>
        <v>2000-09-06</v>
      </c>
      <c r="J58" s="32" t="s">
        <v>1718</v>
      </c>
      <c r="K58" s="32" t="s">
        <v>1718</v>
      </c>
      <c r="L58" s="32" t="s">
        <v>1718</v>
      </c>
      <c r="M58">
        <v>26</v>
      </c>
      <c r="N58">
        <v>0</v>
      </c>
      <c r="O58" s="32" t="str">
        <f t="shared" si="0"/>
        <v>570020261X</v>
      </c>
      <c r="P58" s="32" t="s">
        <v>1718</v>
      </c>
      <c r="Q58" s="32" t="s">
        <v>1718</v>
      </c>
      <c r="R58" s="32" t="s">
        <v>2110</v>
      </c>
      <c r="S58" s="32" t="s">
        <v>5030</v>
      </c>
      <c r="T58" t="str">
        <f>VLOOKUP(D58,DATA_SISTEMA!$A$1:$Q$506,9,FALSE)</f>
        <v>F</v>
      </c>
      <c r="U58" s="32" t="s">
        <v>2106</v>
      </c>
      <c r="V58" s="32" t="s">
        <v>1718</v>
      </c>
      <c r="W58" s="37" t="s">
        <v>5028</v>
      </c>
      <c r="X58" s="32" t="s">
        <v>4522</v>
      </c>
      <c r="Y58" s="32" t="s">
        <v>1718</v>
      </c>
      <c r="Z58" s="32" t="s">
        <v>1718</v>
      </c>
      <c r="AA58" s="32" t="s">
        <v>5028</v>
      </c>
      <c r="AB58" s="32" t="s">
        <v>1718</v>
      </c>
      <c r="AC58" s="32" t="s">
        <v>1718</v>
      </c>
      <c r="AD58" s="32" t="s">
        <v>1718</v>
      </c>
      <c r="AE58" s="32" t="s">
        <v>1718</v>
      </c>
      <c r="AF58" s="32" t="s">
        <v>1718</v>
      </c>
      <c r="AG58" s="32" t="s">
        <v>1718</v>
      </c>
      <c r="AH58" s="32" t="s">
        <v>2107</v>
      </c>
      <c r="AI58" s="24" t="s">
        <v>1357</v>
      </c>
      <c r="AJ58" s="24" t="s">
        <v>952</v>
      </c>
      <c r="AK58" s="24" t="s">
        <v>953</v>
      </c>
      <c r="AL58" s="24">
        <v>73004270</v>
      </c>
      <c r="AM58" t="s">
        <v>1718</v>
      </c>
      <c r="AN58" t="s">
        <v>1718</v>
      </c>
      <c r="AO58" t="s">
        <v>1718</v>
      </c>
      <c r="AP58" t="s">
        <v>1718</v>
      </c>
      <c r="AQ58" t="s">
        <v>1718</v>
      </c>
      <c r="AR58" t="s">
        <v>1718</v>
      </c>
      <c r="AS58" t="s">
        <v>1718</v>
      </c>
      <c r="AT58" t="s">
        <v>1718</v>
      </c>
      <c r="AU58" t="s">
        <v>1718</v>
      </c>
      <c r="AV58" t="str">
        <f>VLOOKUP(D58,DATA_SISTEMA!$A$1:$Q$506,12,FALSE)</f>
        <v>TUMAN</v>
      </c>
      <c r="AW58" t="str">
        <f>VLOOKUP(D58,DATA_SISTEMA!$A$1:$Q$506,11,FALSE)</f>
        <v>CHICLAYO</v>
      </c>
      <c r="AX58" t="str">
        <f>VLOOKUP(D58,DATA_SISTEMA!$A$1:$Q$506,10,FALSE)</f>
        <v>LAMBAYEQUE</v>
      </c>
      <c r="AY58" t="s">
        <v>1718</v>
      </c>
      <c r="AZ58" t="s">
        <v>5028</v>
      </c>
      <c r="BA58" t="s">
        <v>1718</v>
      </c>
      <c r="BB58" t="s">
        <v>5028</v>
      </c>
      <c r="BC58" t="s">
        <v>1718</v>
      </c>
      <c r="BD58" t="s">
        <v>5028</v>
      </c>
      <c r="BE58" t="s">
        <v>1718</v>
      </c>
      <c r="BF58" s="34" t="s">
        <v>2104</v>
      </c>
      <c r="BG58" s="24">
        <v>72</v>
      </c>
    </row>
    <row r="59" spans="1:59" x14ac:dyDescent="0.25">
      <c r="A59" s="4">
        <v>58</v>
      </c>
      <c r="B59" s="33" t="s">
        <v>1719</v>
      </c>
      <c r="C59" s="24" t="s">
        <v>1777</v>
      </c>
      <c r="D59" s="40" t="s">
        <v>4579</v>
      </c>
      <c r="E59" s="24" t="s">
        <v>653</v>
      </c>
      <c r="F59" s="36" t="s">
        <v>1718</v>
      </c>
      <c r="G59" s="24">
        <v>901800994</v>
      </c>
      <c r="H59" t="str">
        <f>VLOOKUP(D59,DATA_SISTEMA!$A$1:$Q$506,13,FALSE)</f>
        <v>AA.HH AMPLIACION NUEVO PROGRESO, MZ J, LT 27.</v>
      </c>
      <c r="I59" t="str">
        <f>VLOOKUP(D59,DATA_SISTEMA!$A$1:$Q$506,7,FALSE)</f>
        <v>1998-09-09</v>
      </c>
      <c r="J59" s="32" t="s">
        <v>1718</v>
      </c>
      <c r="K59" s="32" t="s">
        <v>1718</v>
      </c>
      <c r="L59" s="32" t="s">
        <v>1718</v>
      </c>
      <c r="M59">
        <v>26</v>
      </c>
      <c r="N59">
        <v>0</v>
      </c>
      <c r="O59" s="32" t="str">
        <f t="shared" si="0"/>
        <v>580020261X</v>
      </c>
      <c r="P59" s="32" t="s">
        <v>1718</v>
      </c>
      <c r="Q59" s="32" t="s">
        <v>1718</v>
      </c>
      <c r="R59" s="32" t="s">
        <v>2110</v>
      </c>
      <c r="S59" s="32" t="s">
        <v>5030</v>
      </c>
      <c r="T59" t="str">
        <f>VLOOKUP(D59,DATA_SISTEMA!$A$1:$Q$506,9,FALSE)</f>
        <v>F</v>
      </c>
      <c r="U59" s="32" t="s">
        <v>2106</v>
      </c>
      <c r="V59" s="32" t="s">
        <v>1718</v>
      </c>
      <c r="W59" s="37" t="s">
        <v>5028</v>
      </c>
      <c r="X59" s="32" t="s">
        <v>4522</v>
      </c>
      <c r="Y59" s="32" t="s">
        <v>1718</v>
      </c>
      <c r="Z59" s="32" t="s">
        <v>1718</v>
      </c>
      <c r="AA59" s="32" t="s">
        <v>5028</v>
      </c>
      <c r="AB59" s="32" t="s">
        <v>1718</v>
      </c>
      <c r="AC59" s="32" t="s">
        <v>1718</v>
      </c>
      <c r="AD59" s="32" t="s">
        <v>1718</v>
      </c>
      <c r="AE59" s="32" t="s">
        <v>1718</v>
      </c>
      <c r="AF59" s="32" t="s">
        <v>1718</v>
      </c>
      <c r="AG59" s="32" t="s">
        <v>1718</v>
      </c>
      <c r="AH59" s="32" t="s">
        <v>2107</v>
      </c>
      <c r="AI59" s="24" t="s">
        <v>1358</v>
      </c>
      <c r="AJ59" s="24" t="s">
        <v>954</v>
      </c>
      <c r="AK59" s="24" t="s">
        <v>891</v>
      </c>
      <c r="AL59" s="24">
        <v>72842158</v>
      </c>
      <c r="AM59" t="s">
        <v>1718</v>
      </c>
      <c r="AN59" t="s">
        <v>1718</v>
      </c>
      <c r="AO59" t="s">
        <v>1718</v>
      </c>
      <c r="AP59" t="s">
        <v>1718</v>
      </c>
      <c r="AQ59" t="s">
        <v>1718</v>
      </c>
      <c r="AR59" t="s">
        <v>1718</v>
      </c>
      <c r="AS59" t="s">
        <v>1718</v>
      </c>
      <c r="AT59" t="s">
        <v>1718</v>
      </c>
      <c r="AU59" t="s">
        <v>1718</v>
      </c>
      <c r="AV59" t="str">
        <f>VLOOKUP(D59,DATA_SISTEMA!$A$1:$Q$506,12,FALSE)</f>
        <v>PIMENTEL</v>
      </c>
      <c r="AW59" t="str">
        <f>VLOOKUP(D59,DATA_SISTEMA!$A$1:$Q$506,11,FALSE)</f>
        <v>CHICLAYO</v>
      </c>
      <c r="AX59" t="str">
        <f>VLOOKUP(D59,DATA_SISTEMA!$A$1:$Q$506,10,FALSE)</f>
        <v>LAMBAYEQUE</v>
      </c>
      <c r="AY59" t="s">
        <v>1718</v>
      </c>
      <c r="AZ59" t="s">
        <v>5028</v>
      </c>
      <c r="BA59" t="s">
        <v>1718</v>
      </c>
      <c r="BB59" t="s">
        <v>5028</v>
      </c>
      <c r="BC59" t="s">
        <v>1718</v>
      </c>
      <c r="BD59" t="s">
        <v>5028</v>
      </c>
      <c r="BE59" t="s">
        <v>1718</v>
      </c>
      <c r="BF59" s="34" t="s">
        <v>2104</v>
      </c>
      <c r="BG59" s="24">
        <v>72</v>
      </c>
    </row>
    <row r="60" spans="1:59" x14ac:dyDescent="0.25">
      <c r="A60" s="4">
        <v>59</v>
      </c>
      <c r="B60" s="33" t="s">
        <v>1719</v>
      </c>
      <c r="C60" s="24" t="s">
        <v>1778</v>
      </c>
      <c r="D60" s="40" t="s">
        <v>4580</v>
      </c>
      <c r="E60" s="24" t="s">
        <v>655</v>
      </c>
      <c r="F60" s="36" t="s">
        <v>1718</v>
      </c>
      <c r="G60" s="24">
        <v>974055052</v>
      </c>
      <c r="H60" t="str">
        <f>VLOOKUP(D60,DATA_SISTEMA!$A$1:$Q$506,13,FALSE)</f>
        <v>URB. LA MOLINA ALTA MZ M LT 20</v>
      </c>
      <c r="I60" t="str">
        <f>VLOOKUP(D60,DATA_SISTEMA!$A$1:$Q$506,7,FALSE)</f>
        <v>1995-05-24</v>
      </c>
      <c r="J60" s="32" t="s">
        <v>1718</v>
      </c>
      <c r="K60" s="32" t="s">
        <v>1718</v>
      </c>
      <c r="L60" s="32" t="s">
        <v>1718</v>
      </c>
      <c r="M60">
        <v>26</v>
      </c>
      <c r="N60">
        <v>0</v>
      </c>
      <c r="O60" s="32" t="str">
        <f t="shared" si="0"/>
        <v>590020261X</v>
      </c>
      <c r="P60" s="32" t="s">
        <v>1718</v>
      </c>
      <c r="Q60" s="32" t="s">
        <v>1718</v>
      </c>
      <c r="R60" s="32" t="s">
        <v>2110</v>
      </c>
      <c r="S60" s="32" t="s">
        <v>5030</v>
      </c>
      <c r="T60" t="str">
        <f>VLOOKUP(D60,DATA_SISTEMA!$A$1:$Q$506,9,FALSE)</f>
        <v>M</v>
      </c>
      <c r="U60" s="32" t="s">
        <v>2106</v>
      </c>
      <c r="V60" s="32" t="s">
        <v>1718</v>
      </c>
      <c r="W60" s="37" t="s">
        <v>5028</v>
      </c>
      <c r="X60" s="32" t="s">
        <v>4522</v>
      </c>
      <c r="Y60" s="32" t="s">
        <v>1718</v>
      </c>
      <c r="Z60" s="32" t="s">
        <v>1718</v>
      </c>
      <c r="AA60" s="32" t="s">
        <v>5028</v>
      </c>
      <c r="AB60" s="32" t="s">
        <v>1718</v>
      </c>
      <c r="AC60" s="32" t="s">
        <v>1718</v>
      </c>
      <c r="AD60" s="32" t="s">
        <v>1718</v>
      </c>
      <c r="AE60" s="32" t="s">
        <v>1718</v>
      </c>
      <c r="AF60" s="32" t="s">
        <v>1718</v>
      </c>
      <c r="AG60" s="32" t="s">
        <v>1718</v>
      </c>
      <c r="AH60" s="32" t="s">
        <v>2107</v>
      </c>
      <c r="AI60" s="24" t="s">
        <v>1359</v>
      </c>
      <c r="AJ60" s="24" t="s">
        <v>921</v>
      </c>
      <c r="AK60" s="24" t="s">
        <v>946</v>
      </c>
      <c r="AL60" s="24">
        <v>77567953</v>
      </c>
      <c r="AM60" t="s">
        <v>1718</v>
      </c>
      <c r="AN60" t="s">
        <v>1718</v>
      </c>
      <c r="AO60" t="s">
        <v>1718</v>
      </c>
      <c r="AP60" t="s">
        <v>1718</v>
      </c>
      <c r="AQ60" t="s">
        <v>1718</v>
      </c>
      <c r="AR60" t="s">
        <v>1718</v>
      </c>
      <c r="AS60" t="s">
        <v>1718</v>
      </c>
      <c r="AT60" t="s">
        <v>1718</v>
      </c>
      <c r="AU60" t="s">
        <v>1718</v>
      </c>
      <c r="AV60" t="str">
        <f>VLOOKUP(D60,DATA_SISTEMA!$A$1:$Q$506,12,FALSE)</f>
        <v>CHICLAYO</v>
      </c>
      <c r="AW60" t="str">
        <f>VLOOKUP(D60,DATA_SISTEMA!$A$1:$Q$506,11,FALSE)</f>
        <v>CHICLAYO</v>
      </c>
      <c r="AX60" t="str">
        <f>VLOOKUP(D60,DATA_SISTEMA!$A$1:$Q$506,10,FALSE)</f>
        <v>LAMBAYEQUE</v>
      </c>
      <c r="AY60" t="s">
        <v>1718</v>
      </c>
      <c r="AZ60" t="s">
        <v>5028</v>
      </c>
      <c r="BA60" t="s">
        <v>1718</v>
      </c>
      <c r="BB60" t="s">
        <v>5028</v>
      </c>
      <c r="BC60" t="s">
        <v>1718</v>
      </c>
      <c r="BD60" t="s">
        <v>5028</v>
      </c>
      <c r="BE60" t="s">
        <v>1718</v>
      </c>
      <c r="BF60" s="34" t="s">
        <v>2104</v>
      </c>
      <c r="BG60" s="24">
        <v>72</v>
      </c>
    </row>
    <row r="61" spans="1:59" x14ac:dyDescent="0.25">
      <c r="A61" s="4">
        <v>60</v>
      </c>
      <c r="B61" s="33" t="s">
        <v>1719</v>
      </c>
      <c r="C61" s="24" t="s">
        <v>1779</v>
      </c>
      <c r="D61" s="40" t="s">
        <v>4581</v>
      </c>
      <c r="E61" s="24" t="s">
        <v>657</v>
      </c>
      <c r="F61" s="36" t="s">
        <v>1718</v>
      </c>
      <c r="G61" s="24">
        <v>966328518</v>
      </c>
      <c r="H61" t="str">
        <f>VLOOKUP(D61,DATA_SISTEMA!$A$1:$Q$506,13,FALSE)</f>
        <v>CARRETERA CHICLAYO POMALCA KM 3.5 FRENTE AL GRIFO SEÑOR DE SIPAN</v>
      </c>
      <c r="I61" t="str">
        <f>VLOOKUP(D61,DATA_SISTEMA!$A$1:$Q$506,7,FALSE)</f>
        <v>1995-02-10</v>
      </c>
      <c r="J61" s="32" t="s">
        <v>1718</v>
      </c>
      <c r="K61" s="32" t="s">
        <v>1718</v>
      </c>
      <c r="L61" s="32" t="s">
        <v>1718</v>
      </c>
      <c r="M61">
        <v>26</v>
      </c>
      <c r="N61">
        <v>0</v>
      </c>
      <c r="O61" s="32" t="str">
        <f t="shared" si="0"/>
        <v>600020261X</v>
      </c>
      <c r="P61" s="32" t="s">
        <v>1718</v>
      </c>
      <c r="Q61" s="32" t="s">
        <v>1718</v>
      </c>
      <c r="R61" s="32" t="s">
        <v>2110</v>
      </c>
      <c r="S61" s="32" t="s">
        <v>5030</v>
      </c>
      <c r="T61" t="str">
        <f>VLOOKUP(D61,DATA_SISTEMA!$A$1:$Q$506,9,FALSE)</f>
        <v>M</v>
      </c>
      <c r="U61" s="32" t="s">
        <v>2106</v>
      </c>
      <c r="V61" s="32" t="s">
        <v>1718</v>
      </c>
      <c r="W61" s="37" t="s">
        <v>5028</v>
      </c>
      <c r="X61" s="32" t="s">
        <v>4522</v>
      </c>
      <c r="Y61" s="32" t="s">
        <v>1718</v>
      </c>
      <c r="Z61" s="32" t="s">
        <v>1718</v>
      </c>
      <c r="AA61" s="32" t="s">
        <v>5028</v>
      </c>
      <c r="AB61" s="32" t="s">
        <v>1718</v>
      </c>
      <c r="AC61" s="32" t="s">
        <v>1718</v>
      </c>
      <c r="AD61" s="32" t="s">
        <v>1718</v>
      </c>
      <c r="AE61" s="32" t="s">
        <v>1718</v>
      </c>
      <c r="AF61" s="32" t="s">
        <v>1718</v>
      </c>
      <c r="AG61" s="32" t="s">
        <v>1718</v>
      </c>
      <c r="AH61" s="32" t="s">
        <v>2107</v>
      </c>
      <c r="AI61" s="24" t="s">
        <v>1360</v>
      </c>
      <c r="AJ61" s="24" t="s">
        <v>955</v>
      </c>
      <c r="AK61" s="24" t="s">
        <v>956</v>
      </c>
      <c r="AL61" s="24">
        <v>76446303</v>
      </c>
      <c r="AM61" t="s">
        <v>1718</v>
      </c>
      <c r="AN61" t="s">
        <v>1718</v>
      </c>
      <c r="AO61" t="s">
        <v>1718</v>
      </c>
      <c r="AP61" t="s">
        <v>1718</v>
      </c>
      <c r="AQ61" t="s">
        <v>1718</v>
      </c>
      <c r="AR61" t="s">
        <v>1718</v>
      </c>
      <c r="AS61" t="s">
        <v>1718</v>
      </c>
      <c r="AT61" t="s">
        <v>1718</v>
      </c>
      <c r="AU61" t="s">
        <v>1718</v>
      </c>
      <c r="AV61" t="str">
        <f>VLOOKUP(D61,DATA_SISTEMA!$A$1:$Q$506,12,FALSE)</f>
        <v>CHICLAYO</v>
      </c>
      <c r="AW61" t="str">
        <f>VLOOKUP(D61,DATA_SISTEMA!$A$1:$Q$506,11,FALSE)</f>
        <v>CHICLAYO</v>
      </c>
      <c r="AX61" t="str">
        <f>VLOOKUP(D61,DATA_SISTEMA!$A$1:$Q$506,10,FALSE)</f>
        <v>LAMBAYEQUE</v>
      </c>
      <c r="AY61" t="s">
        <v>1718</v>
      </c>
      <c r="AZ61" t="s">
        <v>5028</v>
      </c>
      <c r="BA61" t="s">
        <v>1718</v>
      </c>
      <c r="BB61" t="s">
        <v>5028</v>
      </c>
      <c r="BC61" t="s">
        <v>1718</v>
      </c>
      <c r="BD61" t="s">
        <v>5028</v>
      </c>
      <c r="BE61" t="s">
        <v>1718</v>
      </c>
      <c r="BF61" s="34" t="s">
        <v>2104</v>
      </c>
      <c r="BG61" s="24">
        <v>71</v>
      </c>
    </row>
    <row r="62" spans="1:59" x14ac:dyDescent="0.25">
      <c r="A62" s="4">
        <v>61</v>
      </c>
      <c r="B62" s="33" t="s">
        <v>1719</v>
      </c>
      <c r="C62" s="24" t="s">
        <v>1780</v>
      </c>
      <c r="D62" s="40" t="s">
        <v>4582</v>
      </c>
      <c r="E62" s="24" t="s">
        <v>659</v>
      </c>
      <c r="F62" s="36" t="s">
        <v>1718</v>
      </c>
      <c r="G62" s="24">
        <v>965043594</v>
      </c>
      <c r="H62" t="str">
        <f>VLOOKUP(D62,DATA_SISTEMA!$A$1:$Q$506,13,FALSE)</f>
        <v>BLOCK 1669-A TUMÁN CENTRO</v>
      </c>
      <c r="I62" t="str">
        <f>VLOOKUP(D62,DATA_SISTEMA!$A$1:$Q$506,7,FALSE)</f>
        <v>2001-06-19</v>
      </c>
      <c r="J62" s="32" t="s">
        <v>1718</v>
      </c>
      <c r="K62" s="32" t="s">
        <v>1718</v>
      </c>
      <c r="L62" s="32" t="s">
        <v>1718</v>
      </c>
      <c r="M62">
        <v>26</v>
      </c>
      <c r="N62">
        <v>0</v>
      </c>
      <c r="O62" s="32" t="str">
        <f t="shared" si="0"/>
        <v>610020261X</v>
      </c>
      <c r="P62" s="32" t="s">
        <v>1718</v>
      </c>
      <c r="Q62" s="32" t="s">
        <v>1718</v>
      </c>
      <c r="R62" s="32" t="s">
        <v>2110</v>
      </c>
      <c r="S62" s="32" t="s">
        <v>5030</v>
      </c>
      <c r="T62" t="str">
        <f>VLOOKUP(D62,DATA_SISTEMA!$A$1:$Q$506,9,FALSE)</f>
        <v>M</v>
      </c>
      <c r="U62" s="32" t="s">
        <v>2106</v>
      </c>
      <c r="V62" s="32" t="s">
        <v>1718</v>
      </c>
      <c r="W62" s="37" t="s">
        <v>5028</v>
      </c>
      <c r="X62" s="32" t="s">
        <v>4522</v>
      </c>
      <c r="Y62" s="32" t="s">
        <v>1718</v>
      </c>
      <c r="Z62" s="32" t="s">
        <v>1718</v>
      </c>
      <c r="AA62" s="32" t="s">
        <v>5028</v>
      </c>
      <c r="AB62" s="32" t="s">
        <v>1718</v>
      </c>
      <c r="AC62" s="32" t="s">
        <v>1718</v>
      </c>
      <c r="AD62" s="32" t="s">
        <v>1718</v>
      </c>
      <c r="AE62" s="32" t="s">
        <v>1718</v>
      </c>
      <c r="AF62" s="32" t="s">
        <v>1718</v>
      </c>
      <c r="AG62" s="32" t="s">
        <v>1718</v>
      </c>
      <c r="AH62" s="32" t="s">
        <v>2107</v>
      </c>
      <c r="AI62" s="24" t="s">
        <v>1361</v>
      </c>
      <c r="AJ62" s="24" t="s">
        <v>957</v>
      </c>
      <c r="AK62" s="24" t="s">
        <v>882</v>
      </c>
      <c r="AL62" s="24">
        <v>73262743</v>
      </c>
      <c r="AM62" t="s">
        <v>1718</v>
      </c>
      <c r="AN62" t="s">
        <v>1718</v>
      </c>
      <c r="AO62" t="s">
        <v>1718</v>
      </c>
      <c r="AP62" t="s">
        <v>1718</v>
      </c>
      <c r="AQ62" t="s">
        <v>1718</v>
      </c>
      <c r="AR62" t="s">
        <v>1718</v>
      </c>
      <c r="AS62" t="s">
        <v>1718</v>
      </c>
      <c r="AT62" t="s">
        <v>1718</v>
      </c>
      <c r="AU62" t="s">
        <v>1718</v>
      </c>
      <c r="AV62" t="str">
        <f>VLOOKUP(D62,DATA_SISTEMA!$A$1:$Q$506,12,FALSE)</f>
        <v>TUMAN</v>
      </c>
      <c r="AW62" t="str">
        <f>VLOOKUP(D62,DATA_SISTEMA!$A$1:$Q$506,11,FALSE)</f>
        <v>CHICLAYO</v>
      </c>
      <c r="AX62" t="str">
        <f>VLOOKUP(D62,DATA_SISTEMA!$A$1:$Q$506,10,FALSE)</f>
        <v>LAMBAYEQUE</v>
      </c>
      <c r="AY62" t="s">
        <v>1718</v>
      </c>
      <c r="AZ62" t="s">
        <v>5028</v>
      </c>
      <c r="BA62" t="s">
        <v>1718</v>
      </c>
      <c r="BB62" t="s">
        <v>5028</v>
      </c>
      <c r="BC62" t="s">
        <v>1718</v>
      </c>
      <c r="BD62" t="s">
        <v>5028</v>
      </c>
      <c r="BE62" t="s">
        <v>1718</v>
      </c>
      <c r="BF62" s="34" t="s">
        <v>2104</v>
      </c>
      <c r="BG62" s="24">
        <v>71</v>
      </c>
    </row>
    <row r="63" spans="1:59" x14ac:dyDescent="0.25">
      <c r="A63" s="4">
        <v>62</v>
      </c>
      <c r="B63" s="33" t="s">
        <v>1719</v>
      </c>
      <c r="C63" s="24" t="s">
        <v>1781</v>
      </c>
      <c r="D63" s="40" t="s">
        <v>4583</v>
      </c>
      <c r="E63" s="24" t="s">
        <v>661</v>
      </c>
      <c r="F63" s="36" t="s">
        <v>1718</v>
      </c>
      <c r="G63" s="24">
        <v>954885982</v>
      </c>
      <c r="H63" t="str">
        <f>VLOOKUP(D63,DATA_SISTEMA!$A$1:$Q$506,13,FALSE)</f>
        <v>URB LA PLATA-PIMENTEL</v>
      </c>
      <c r="I63" t="str">
        <f>VLOOKUP(D63,DATA_SISTEMA!$A$1:$Q$506,7,FALSE)</f>
        <v>2001-04-19</v>
      </c>
      <c r="J63" s="32" t="s">
        <v>1718</v>
      </c>
      <c r="K63" s="32" t="s">
        <v>1718</v>
      </c>
      <c r="L63" s="32" t="s">
        <v>1718</v>
      </c>
      <c r="M63">
        <v>26</v>
      </c>
      <c r="N63">
        <v>0</v>
      </c>
      <c r="O63" s="32" t="str">
        <f t="shared" si="0"/>
        <v>620020261X</v>
      </c>
      <c r="P63" s="32" t="s">
        <v>1718</v>
      </c>
      <c r="Q63" s="32" t="s">
        <v>1718</v>
      </c>
      <c r="R63" s="32" t="s">
        <v>2110</v>
      </c>
      <c r="S63" s="32" t="s">
        <v>5030</v>
      </c>
      <c r="T63" t="str">
        <f>VLOOKUP(D63,DATA_SISTEMA!$A$1:$Q$506,9,FALSE)</f>
        <v>M</v>
      </c>
      <c r="U63" s="32" t="s">
        <v>2106</v>
      </c>
      <c r="V63" s="32" t="s">
        <v>1718</v>
      </c>
      <c r="W63" s="37" t="s">
        <v>5028</v>
      </c>
      <c r="X63" s="32" t="s">
        <v>4522</v>
      </c>
      <c r="Y63" s="32" t="s">
        <v>1718</v>
      </c>
      <c r="Z63" s="32" t="s">
        <v>1718</v>
      </c>
      <c r="AA63" s="32" t="s">
        <v>5028</v>
      </c>
      <c r="AB63" s="32" t="s">
        <v>1718</v>
      </c>
      <c r="AC63" s="32" t="s">
        <v>1718</v>
      </c>
      <c r="AD63" s="32" t="s">
        <v>1718</v>
      </c>
      <c r="AE63" s="32" t="s">
        <v>1718</v>
      </c>
      <c r="AF63" s="32" t="s">
        <v>1718</v>
      </c>
      <c r="AG63" s="32" t="s">
        <v>1718</v>
      </c>
      <c r="AH63" s="32" t="s">
        <v>2107</v>
      </c>
      <c r="AI63" s="24" t="s">
        <v>1362</v>
      </c>
      <c r="AJ63" s="24" t="s">
        <v>958</v>
      </c>
      <c r="AK63" s="24" t="s">
        <v>959</v>
      </c>
      <c r="AL63" s="24">
        <v>72840362</v>
      </c>
      <c r="AM63" t="s">
        <v>1718</v>
      </c>
      <c r="AN63" t="s">
        <v>1718</v>
      </c>
      <c r="AO63" t="s">
        <v>1718</v>
      </c>
      <c r="AP63" t="s">
        <v>1718</v>
      </c>
      <c r="AQ63" t="s">
        <v>1718</v>
      </c>
      <c r="AR63" t="s">
        <v>1718</v>
      </c>
      <c r="AS63" t="s">
        <v>1718</v>
      </c>
      <c r="AT63" t="s">
        <v>1718</v>
      </c>
      <c r="AU63" t="s">
        <v>1718</v>
      </c>
      <c r="AV63" t="str">
        <f>VLOOKUP(D63,DATA_SISTEMA!$A$1:$Q$506,12,FALSE)</f>
        <v>CHICLAYO</v>
      </c>
      <c r="AW63" t="str">
        <f>VLOOKUP(D63,DATA_SISTEMA!$A$1:$Q$506,11,FALSE)</f>
        <v>CHICLAYO</v>
      </c>
      <c r="AX63" t="str">
        <f>VLOOKUP(D63,DATA_SISTEMA!$A$1:$Q$506,10,FALSE)</f>
        <v>LAMBAYEQUE</v>
      </c>
      <c r="AY63" t="s">
        <v>1718</v>
      </c>
      <c r="AZ63" t="s">
        <v>5028</v>
      </c>
      <c r="BA63" t="s">
        <v>1718</v>
      </c>
      <c r="BB63" t="s">
        <v>5028</v>
      </c>
      <c r="BC63" t="s">
        <v>1718</v>
      </c>
      <c r="BD63" t="s">
        <v>5028</v>
      </c>
      <c r="BE63" t="s">
        <v>1718</v>
      </c>
      <c r="BF63" s="34" t="s">
        <v>2104</v>
      </c>
      <c r="BG63" s="24">
        <v>70.5</v>
      </c>
    </row>
    <row r="64" spans="1:59" x14ac:dyDescent="0.25">
      <c r="A64" s="4">
        <v>63</v>
      </c>
      <c r="B64" s="33" t="s">
        <v>1719</v>
      </c>
      <c r="C64" s="24" t="s">
        <v>1782</v>
      </c>
      <c r="D64" s="40" t="s">
        <v>4584</v>
      </c>
      <c r="E64" s="24" t="s">
        <v>663</v>
      </c>
      <c r="F64" s="36" t="s">
        <v>1718</v>
      </c>
      <c r="G64" s="24">
        <v>996271288</v>
      </c>
      <c r="H64" t="str">
        <f>VLOOKUP(D64,DATA_SISTEMA!$A$1:$Q$506,13,FALSE)</f>
        <v>CALLE JOSE GALVES SN</v>
      </c>
      <c r="I64" t="str">
        <f>VLOOKUP(D64,DATA_SISTEMA!$A$1:$Q$506,7,FALSE)</f>
        <v>2000-07-06</v>
      </c>
      <c r="J64" s="32" t="s">
        <v>1718</v>
      </c>
      <c r="K64" s="32" t="s">
        <v>1718</v>
      </c>
      <c r="L64" s="32" t="s">
        <v>1718</v>
      </c>
      <c r="M64">
        <v>26</v>
      </c>
      <c r="N64">
        <v>0</v>
      </c>
      <c r="O64" s="32" t="str">
        <f t="shared" si="0"/>
        <v>630020261X</v>
      </c>
      <c r="P64" s="32" t="s">
        <v>1718</v>
      </c>
      <c r="Q64" s="32" t="s">
        <v>1718</v>
      </c>
      <c r="R64" s="32" t="s">
        <v>2110</v>
      </c>
      <c r="S64" s="32" t="s">
        <v>5030</v>
      </c>
      <c r="T64" t="str">
        <f>VLOOKUP(D64,DATA_SISTEMA!$A$1:$Q$506,9,FALSE)</f>
        <v>M</v>
      </c>
      <c r="U64" s="32" t="s">
        <v>2106</v>
      </c>
      <c r="V64" s="32" t="s">
        <v>1718</v>
      </c>
      <c r="W64" s="37" t="s">
        <v>5028</v>
      </c>
      <c r="X64" s="32" t="s">
        <v>4522</v>
      </c>
      <c r="Y64" s="32" t="s">
        <v>1718</v>
      </c>
      <c r="Z64" s="32" t="s">
        <v>1718</v>
      </c>
      <c r="AA64" s="32" t="s">
        <v>5028</v>
      </c>
      <c r="AB64" s="32" t="s">
        <v>1718</v>
      </c>
      <c r="AC64" s="32" t="s">
        <v>1718</v>
      </c>
      <c r="AD64" s="32" t="s">
        <v>1718</v>
      </c>
      <c r="AE64" s="32" t="s">
        <v>1718</v>
      </c>
      <c r="AF64" s="32" t="s">
        <v>1718</v>
      </c>
      <c r="AG64" s="32" t="s">
        <v>1718</v>
      </c>
      <c r="AH64" s="32" t="s">
        <v>2107</v>
      </c>
      <c r="AI64" s="24" t="s">
        <v>1363</v>
      </c>
      <c r="AJ64" s="24" t="s">
        <v>960</v>
      </c>
      <c r="AK64" s="24" t="s">
        <v>858</v>
      </c>
      <c r="AL64" s="24">
        <v>73881546</v>
      </c>
      <c r="AM64" t="s">
        <v>1718</v>
      </c>
      <c r="AN64" t="s">
        <v>1718</v>
      </c>
      <c r="AO64" t="s">
        <v>1718</v>
      </c>
      <c r="AP64" t="s">
        <v>1718</v>
      </c>
      <c r="AQ64" t="s">
        <v>1718</v>
      </c>
      <c r="AR64" t="s">
        <v>1718</v>
      </c>
      <c r="AS64" t="s">
        <v>1718</v>
      </c>
      <c r="AT64" t="s">
        <v>1718</v>
      </c>
      <c r="AU64" t="s">
        <v>1718</v>
      </c>
      <c r="AV64" t="str">
        <f>VLOOKUP(D64,DATA_SISTEMA!$A$1:$Q$506,12,FALSE)</f>
        <v>SANTO TOMAS</v>
      </c>
      <c r="AW64" t="str">
        <f>VLOOKUP(D64,DATA_SISTEMA!$A$1:$Q$506,11,FALSE)</f>
        <v>CUTERVO</v>
      </c>
      <c r="AX64" t="str">
        <f>VLOOKUP(D64,DATA_SISTEMA!$A$1:$Q$506,10,FALSE)</f>
        <v>CAJAMARCA</v>
      </c>
      <c r="AY64" t="s">
        <v>1718</v>
      </c>
      <c r="AZ64" t="s">
        <v>5028</v>
      </c>
      <c r="BA64" t="s">
        <v>1718</v>
      </c>
      <c r="BB64" t="s">
        <v>5028</v>
      </c>
      <c r="BC64" t="s">
        <v>1718</v>
      </c>
      <c r="BD64" t="s">
        <v>5028</v>
      </c>
      <c r="BE64" t="s">
        <v>1718</v>
      </c>
      <c r="BF64" s="34" t="s">
        <v>2104</v>
      </c>
      <c r="BG64" s="24">
        <v>70.5</v>
      </c>
    </row>
    <row r="65" spans="1:59" x14ac:dyDescent="0.25">
      <c r="A65" s="4">
        <v>64</v>
      </c>
      <c r="B65" s="33" t="s">
        <v>1719</v>
      </c>
      <c r="C65" s="24" t="s">
        <v>1783</v>
      </c>
      <c r="D65" s="40" t="s">
        <v>4585</v>
      </c>
      <c r="E65" s="24" t="s">
        <v>665</v>
      </c>
      <c r="F65" s="36" t="s">
        <v>1718</v>
      </c>
      <c r="G65" s="24">
        <v>972856018</v>
      </c>
      <c r="H65" t="str">
        <f>VLOOKUP(D65,DATA_SISTEMA!$A$1:$Q$506,13,FALSE)</f>
        <v>CALLE JUSTO PEREZ FIGUEROLA 206</v>
      </c>
      <c r="I65" t="str">
        <f>VLOOKUP(D65,DATA_SISTEMA!$A$1:$Q$506,7,FALSE)</f>
        <v>2000-01-02</v>
      </c>
      <c r="J65" s="32" t="s">
        <v>1718</v>
      </c>
      <c r="K65" s="32" t="s">
        <v>1718</v>
      </c>
      <c r="L65" s="32" t="s">
        <v>1718</v>
      </c>
      <c r="M65">
        <v>26</v>
      </c>
      <c r="N65">
        <v>0</v>
      </c>
      <c r="O65" s="32" t="str">
        <f t="shared" si="0"/>
        <v>640020261X</v>
      </c>
      <c r="P65" s="32" t="s">
        <v>1718</v>
      </c>
      <c r="Q65" s="32" t="s">
        <v>1718</v>
      </c>
      <c r="R65" s="32" t="s">
        <v>2110</v>
      </c>
      <c r="S65" s="32" t="s">
        <v>5030</v>
      </c>
      <c r="T65" t="str">
        <f>VLOOKUP(D65,DATA_SISTEMA!$A$1:$Q$506,9,FALSE)</f>
        <v>M</v>
      </c>
      <c r="U65" s="32" t="s">
        <v>2106</v>
      </c>
      <c r="V65" s="32" t="s">
        <v>1718</v>
      </c>
      <c r="W65" s="37" t="s">
        <v>5028</v>
      </c>
      <c r="X65" s="32" t="s">
        <v>4522</v>
      </c>
      <c r="Y65" s="32" t="s">
        <v>1718</v>
      </c>
      <c r="Z65" s="32" t="s">
        <v>1718</v>
      </c>
      <c r="AA65" s="32" t="s">
        <v>5028</v>
      </c>
      <c r="AB65" s="32" t="s">
        <v>1718</v>
      </c>
      <c r="AC65" s="32" t="s">
        <v>1718</v>
      </c>
      <c r="AD65" s="32" t="s">
        <v>1718</v>
      </c>
      <c r="AE65" s="32" t="s">
        <v>1718</v>
      </c>
      <c r="AF65" s="32" t="s">
        <v>1718</v>
      </c>
      <c r="AG65" s="32" t="s">
        <v>1718</v>
      </c>
      <c r="AH65" s="32" t="s">
        <v>2107</v>
      </c>
      <c r="AI65" s="24" t="s">
        <v>1364</v>
      </c>
      <c r="AJ65" s="24" t="s">
        <v>961</v>
      </c>
      <c r="AK65" s="24" t="s">
        <v>962</v>
      </c>
      <c r="AL65" s="24">
        <v>74774492</v>
      </c>
      <c r="AM65" t="s">
        <v>1718</v>
      </c>
      <c r="AN65" t="s">
        <v>1718</v>
      </c>
      <c r="AO65" t="s">
        <v>1718</v>
      </c>
      <c r="AP65" t="s">
        <v>1718</v>
      </c>
      <c r="AQ65" t="s">
        <v>1718</v>
      </c>
      <c r="AR65" t="s">
        <v>1718</v>
      </c>
      <c r="AS65" t="s">
        <v>1718</v>
      </c>
      <c r="AT65" t="s">
        <v>1718</v>
      </c>
      <c r="AU65" t="s">
        <v>1718</v>
      </c>
      <c r="AV65" t="str">
        <f>VLOOKUP(D65,DATA_SISTEMA!$A$1:$Q$506,12,FALSE)</f>
        <v>LAMBAYEQUE</v>
      </c>
      <c r="AW65" t="str">
        <f>VLOOKUP(D65,DATA_SISTEMA!$A$1:$Q$506,11,FALSE)</f>
        <v>LAMBAYEQUE</v>
      </c>
      <c r="AX65" t="str">
        <f>VLOOKUP(D65,DATA_SISTEMA!$A$1:$Q$506,10,FALSE)</f>
        <v>LAMBAYEQUE</v>
      </c>
      <c r="AY65" t="s">
        <v>1718</v>
      </c>
      <c r="AZ65" t="s">
        <v>5028</v>
      </c>
      <c r="BA65" t="s">
        <v>1718</v>
      </c>
      <c r="BB65" t="s">
        <v>5028</v>
      </c>
      <c r="BC65" t="s">
        <v>1718</v>
      </c>
      <c r="BD65" t="s">
        <v>5028</v>
      </c>
      <c r="BE65" t="s">
        <v>1718</v>
      </c>
      <c r="BF65" s="34" t="s">
        <v>2104</v>
      </c>
      <c r="BG65" s="24">
        <v>70.5</v>
      </c>
    </row>
    <row r="66" spans="1:59" x14ac:dyDescent="0.25">
      <c r="A66" s="4">
        <v>65</v>
      </c>
      <c r="B66" s="33" t="s">
        <v>1719</v>
      </c>
      <c r="C66" s="24" t="s">
        <v>1784</v>
      </c>
      <c r="D66" s="40" t="s">
        <v>4586</v>
      </c>
      <c r="E66" s="24" t="s">
        <v>667</v>
      </c>
      <c r="F66" s="36" t="s">
        <v>1718</v>
      </c>
      <c r="G66" s="24">
        <v>974520117</v>
      </c>
      <c r="H66" t="str">
        <f>VLOOKUP(D66,DATA_SISTEMA!$A$1:$Q$506,13,FALSE)</f>
        <v>AV. ANDRES AVELINO CACERES S/N MZ B LOTE 9</v>
      </c>
      <c r="I66" t="str">
        <f>VLOOKUP(D66,DATA_SISTEMA!$A$1:$Q$506,7,FALSE)</f>
        <v>1989-10-09</v>
      </c>
      <c r="J66" s="32" t="s">
        <v>1718</v>
      </c>
      <c r="K66" s="32" t="s">
        <v>1718</v>
      </c>
      <c r="L66" s="32" t="s">
        <v>1718</v>
      </c>
      <c r="M66">
        <v>26</v>
      </c>
      <c r="N66">
        <v>0</v>
      </c>
      <c r="O66" s="32" t="str">
        <f t="shared" si="0"/>
        <v>650020261X</v>
      </c>
      <c r="P66" s="32" t="s">
        <v>1718</v>
      </c>
      <c r="Q66" s="32" t="s">
        <v>1718</v>
      </c>
      <c r="R66" s="32" t="s">
        <v>2110</v>
      </c>
      <c r="S66" s="32" t="s">
        <v>5030</v>
      </c>
      <c r="T66" t="str">
        <f>VLOOKUP(D66,DATA_SISTEMA!$A$1:$Q$506,9,FALSE)</f>
        <v>M</v>
      </c>
      <c r="U66" s="32" t="s">
        <v>2106</v>
      </c>
      <c r="V66" s="32" t="s">
        <v>1718</v>
      </c>
      <c r="W66" s="37" t="s">
        <v>5028</v>
      </c>
      <c r="X66" s="32" t="s">
        <v>4522</v>
      </c>
      <c r="Y66" s="32" t="s">
        <v>1718</v>
      </c>
      <c r="Z66" s="32" t="s">
        <v>1718</v>
      </c>
      <c r="AA66" s="32" t="s">
        <v>5028</v>
      </c>
      <c r="AB66" s="32" t="s">
        <v>1718</v>
      </c>
      <c r="AC66" s="32" t="s">
        <v>1718</v>
      </c>
      <c r="AD66" s="32" t="s">
        <v>1718</v>
      </c>
      <c r="AE66" s="32" t="s">
        <v>1718</v>
      </c>
      <c r="AF66" s="32" t="s">
        <v>1718</v>
      </c>
      <c r="AG66" s="32" t="s">
        <v>1718</v>
      </c>
      <c r="AH66" s="32" t="s">
        <v>2107</v>
      </c>
      <c r="AI66" s="24" t="s">
        <v>1365</v>
      </c>
      <c r="AJ66" s="24" t="s">
        <v>901</v>
      </c>
      <c r="AK66" s="24" t="s">
        <v>891</v>
      </c>
      <c r="AL66" s="24">
        <v>46356337</v>
      </c>
      <c r="AM66" t="s">
        <v>1718</v>
      </c>
      <c r="AN66" t="s">
        <v>1718</v>
      </c>
      <c r="AO66" t="s">
        <v>1718</v>
      </c>
      <c r="AP66" t="s">
        <v>1718</v>
      </c>
      <c r="AQ66" t="s">
        <v>1718</v>
      </c>
      <c r="AR66" t="s">
        <v>1718</v>
      </c>
      <c r="AS66" t="s">
        <v>1718</v>
      </c>
      <c r="AT66" t="s">
        <v>1718</v>
      </c>
      <c r="AU66" t="s">
        <v>1718</v>
      </c>
      <c r="AV66" t="str">
        <f>VLOOKUP(D66,DATA_SISTEMA!$A$1:$Q$506,12,FALSE)</f>
        <v>LAMBAYEQUE</v>
      </c>
      <c r="AW66" t="str">
        <f>VLOOKUP(D66,DATA_SISTEMA!$A$1:$Q$506,11,FALSE)</f>
        <v>LAMBAYEQUE</v>
      </c>
      <c r="AX66" t="str">
        <f>VLOOKUP(D66,DATA_SISTEMA!$A$1:$Q$506,10,FALSE)</f>
        <v>LAMBAYEQUE</v>
      </c>
      <c r="AY66" t="s">
        <v>1718</v>
      </c>
      <c r="AZ66" t="s">
        <v>5028</v>
      </c>
      <c r="BA66" t="s">
        <v>1718</v>
      </c>
      <c r="BB66" t="s">
        <v>5028</v>
      </c>
      <c r="BC66" t="s">
        <v>1718</v>
      </c>
      <c r="BD66" t="s">
        <v>5028</v>
      </c>
      <c r="BE66" t="s">
        <v>1718</v>
      </c>
      <c r="BF66" s="34" t="s">
        <v>2104</v>
      </c>
      <c r="BG66" s="24">
        <v>70.5</v>
      </c>
    </row>
    <row r="67" spans="1:59" x14ac:dyDescent="0.25">
      <c r="A67" s="4">
        <v>66</v>
      </c>
      <c r="B67" s="33" t="s">
        <v>1719</v>
      </c>
      <c r="C67" s="24" t="s">
        <v>1785</v>
      </c>
      <c r="D67" s="40" t="s">
        <v>4587</v>
      </c>
      <c r="E67" s="24" t="s">
        <v>669</v>
      </c>
      <c r="F67" s="36" t="s">
        <v>1718</v>
      </c>
      <c r="G67" s="24">
        <v>973668917</v>
      </c>
      <c r="H67" t="str">
        <f>VLOOKUP(D67,DATA_SISTEMA!$A$1:$Q$506,13,FALSE)</f>
        <v>P.J.LUIS ALBERTO SANCHEZ MZ"C" LT"3"</v>
      </c>
      <c r="I67" t="str">
        <f>VLOOKUP(D67,DATA_SISTEMA!$A$1:$Q$506,7,FALSE)</f>
        <v>1997-12-19</v>
      </c>
      <c r="J67" s="32" t="s">
        <v>1718</v>
      </c>
      <c r="K67" s="32" t="s">
        <v>1718</v>
      </c>
      <c r="L67" s="32" t="s">
        <v>1718</v>
      </c>
      <c r="M67">
        <v>26</v>
      </c>
      <c r="N67">
        <v>0</v>
      </c>
      <c r="O67" s="32" t="str">
        <f t="shared" ref="O67:O130" si="1">_xlfn.CONCAT(A67,"0020261X")</f>
        <v>660020261X</v>
      </c>
      <c r="P67" s="32" t="s">
        <v>1718</v>
      </c>
      <c r="Q67" s="32" t="s">
        <v>1718</v>
      </c>
      <c r="R67" s="32" t="s">
        <v>2110</v>
      </c>
      <c r="S67" s="32" t="s">
        <v>5030</v>
      </c>
      <c r="T67" t="str">
        <f>VLOOKUP(D67,DATA_SISTEMA!$A$1:$Q$506,9,FALSE)</f>
        <v>M</v>
      </c>
      <c r="U67" s="32" t="s">
        <v>2106</v>
      </c>
      <c r="V67" s="32" t="s">
        <v>1718</v>
      </c>
      <c r="W67" s="37" t="s">
        <v>5028</v>
      </c>
      <c r="X67" s="32" t="s">
        <v>4522</v>
      </c>
      <c r="Y67" s="32" t="s">
        <v>1718</v>
      </c>
      <c r="Z67" s="32" t="s">
        <v>1718</v>
      </c>
      <c r="AA67" s="32" t="s">
        <v>5028</v>
      </c>
      <c r="AB67" s="32" t="s">
        <v>1718</v>
      </c>
      <c r="AC67" s="32" t="s">
        <v>1718</v>
      </c>
      <c r="AD67" s="32" t="s">
        <v>1718</v>
      </c>
      <c r="AE67" s="32" t="s">
        <v>1718</v>
      </c>
      <c r="AF67" s="32" t="s">
        <v>1718</v>
      </c>
      <c r="AG67" s="32" t="s">
        <v>1718</v>
      </c>
      <c r="AH67" s="32" t="s">
        <v>2107</v>
      </c>
      <c r="AI67" s="24" t="s">
        <v>1366</v>
      </c>
      <c r="AJ67" s="24" t="s">
        <v>963</v>
      </c>
      <c r="AK67" s="24" t="s">
        <v>1298</v>
      </c>
      <c r="AL67" s="24">
        <v>74587230</v>
      </c>
      <c r="AM67" t="s">
        <v>1718</v>
      </c>
      <c r="AN67" t="s">
        <v>1718</v>
      </c>
      <c r="AO67" t="s">
        <v>1718</v>
      </c>
      <c r="AP67" t="s">
        <v>1718</v>
      </c>
      <c r="AQ67" t="s">
        <v>1718</v>
      </c>
      <c r="AR67" t="s">
        <v>1718</v>
      </c>
      <c r="AS67" t="s">
        <v>1718</v>
      </c>
      <c r="AT67" t="s">
        <v>1718</v>
      </c>
      <c r="AU67" t="s">
        <v>1718</v>
      </c>
      <c r="AV67" t="str">
        <f>VLOOKUP(D67,DATA_SISTEMA!$A$1:$Q$506,12,FALSE)</f>
        <v>CHICLAYO</v>
      </c>
      <c r="AW67" t="str">
        <f>VLOOKUP(D67,DATA_SISTEMA!$A$1:$Q$506,11,FALSE)</f>
        <v>CHICLAYO</v>
      </c>
      <c r="AX67" t="str">
        <f>VLOOKUP(D67,DATA_SISTEMA!$A$1:$Q$506,10,FALSE)</f>
        <v>LAMBAYEQUE</v>
      </c>
      <c r="AY67" t="s">
        <v>1718</v>
      </c>
      <c r="AZ67" t="s">
        <v>5028</v>
      </c>
      <c r="BA67" t="s">
        <v>1718</v>
      </c>
      <c r="BB67" t="s">
        <v>5028</v>
      </c>
      <c r="BC67" t="s">
        <v>1718</v>
      </c>
      <c r="BD67" t="s">
        <v>5028</v>
      </c>
      <c r="BE67" t="s">
        <v>1718</v>
      </c>
      <c r="BF67" s="34" t="s">
        <v>2104</v>
      </c>
      <c r="BG67" s="24">
        <v>70</v>
      </c>
    </row>
    <row r="68" spans="1:59" x14ac:dyDescent="0.25">
      <c r="A68" s="4">
        <v>67</v>
      </c>
      <c r="B68" s="33" t="s">
        <v>1719</v>
      </c>
      <c r="C68" s="24" t="s">
        <v>1786</v>
      </c>
      <c r="D68" s="40" t="s">
        <v>4588</v>
      </c>
      <c r="E68" s="24" t="s">
        <v>671</v>
      </c>
      <c r="F68" s="36" t="s">
        <v>1718</v>
      </c>
      <c r="G68" s="24">
        <v>973194602</v>
      </c>
      <c r="H68" t="str">
        <f>VLOOKUP(D68,DATA_SISTEMA!$A$1:$Q$506,13,FALSE)</f>
        <v>CALLE TARAPACA 234</v>
      </c>
      <c r="I68" t="str">
        <f>VLOOKUP(D68,DATA_SISTEMA!$A$1:$Q$506,7,FALSE)</f>
        <v>1984-11-14</v>
      </c>
      <c r="J68" s="32" t="s">
        <v>1718</v>
      </c>
      <c r="K68" s="32" t="s">
        <v>1718</v>
      </c>
      <c r="L68" s="32" t="s">
        <v>1718</v>
      </c>
      <c r="M68">
        <v>26</v>
      </c>
      <c r="N68">
        <v>0</v>
      </c>
      <c r="O68" s="32" t="str">
        <f t="shared" si="1"/>
        <v>670020261X</v>
      </c>
      <c r="P68" s="32" t="s">
        <v>1718</v>
      </c>
      <c r="Q68" s="32" t="s">
        <v>1718</v>
      </c>
      <c r="R68" s="32" t="s">
        <v>2110</v>
      </c>
      <c r="S68" s="32" t="s">
        <v>5030</v>
      </c>
      <c r="T68" t="str">
        <f>VLOOKUP(D68,DATA_SISTEMA!$A$1:$Q$506,9,FALSE)</f>
        <v>M</v>
      </c>
      <c r="U68" s="32" t="s">
        <v>2106</v>
      </c>
      <c r="V68" s="32" t="s">
        <v>1718</v>
      </c>
      <c r="W68" s="37" t="s">
        <v>5028</v>
      </c>
      <c r="X68" s="32" t="s">
        <v>4522</v>
      </c>
      <c r="Y68" s="32" t="s">
        <v>1718</v>
      </c>
      <c r="Z68" s="32" t="s">
        <v>1718</v>
      </c>
      <c r="AA68" s="32" t="s">
        <v>5028</v>
      </c>
      <c r="AB68" s="32" t="s">
        <v>1718</v>
      </c>
      <c r="AC68" s="32" t="s">
        <v>1718</v>
      </c>
      <c r="AD68" s="32" t="s">
        <v>1718</v>
      </c>
      <c r="AE68" s="32" t="s">
        <v>1718</v>
      </c>
      <c r="AF68" s="32" t="s">
        <v>1718</v>
      </c>
      <c r="AG68" s="32" t="s">
        <v>1718</v>
      </c>
      <c r="AH68" s="32" t="s">
        <v>2107</v>
      </c>
      <c r="AI68" s="24" t="s">
        <v>1367</v>
      </c>
      <c r="AJ68" s="24" t="s">
        <v>964</v>
      </c>
      <c r="AK68" s="24" t="s">
        <v>965</v>
      </c>
      <c r="AL68" s="24">
        <v>44750307</v>
      </c>
      <c r="AM68" t="s">
        <v>1718</v>
      </c>
      <c r="AN68" t="s">
        <v>1718</v>
      </c>
      <c r="AO68" t="s">
        <v>1718</v>
      </c>
      <c r="AP68" t="s">
        <v>1718</v>
      </c>
      <c r="AQ68" t="s">
        <v>1718</v>
      </c>
      <c r="AR68" t="s">
        <v>1718</v>
      </c>
      <c r="AS68" t="s">
        <v>1718</v>
      </c>
      <c r="AT68" t="s">
        <v>1718</v>
      </c>
      <c r="AU68" t="s">
        <v>1718</v>
      </c>
      <c r="AV68" t="str">
        <f>VLOOKUP(D68,DATA_SISTEMA!$A$1:$Q$506,12,FALSE)</f>
        <v>LAMBAYEQUE</v>
      </c>
      <c r="AW68" t="str">
        <f>VLOOKUP(D68,DATA_SISTEMA!$A$1:$Q$506,11,FALSE)</f>
        <v>LAMBAYEQUE</v>
      </c>
      <c r="AX68" t="str">
        <f>VLOOKUP(D68,DATA_SISTEMA!$A$1:$Q$506,10,FALSE)</f>
        <v>LAMBAYEQUE</v>
      </c>
      <c r="AY68" t="s">
        <v>1718</v>
      </c>
      <c r="AZ68" t="s">
        <v>5028</v>
      </c>
      <c r="BA68" t="s">
        <v>1718</v>
      </c>
      <c r="BB68" t="s">
        <v>5028</v>
      </c>
      <c r="BC68" t="s">
        <v>1718</v>
      </c>
      <c r="BD68" t="s">
        <v>5028</v>
      </c>
      <c r="BE68" t="s">
        <v>1718</v>
      </c>
      <c r="BF68" s="34" t="s">
        <v>2104</v>
      </c>
      <c r="BG68" s="24">
        <v>70</v>
      </c>
    </row>
    <row r="69" spans="1:59" x14ac:dyDescent="0.25">
      <c r="A69" s="4">
        <v>68</v>
      </c>
      <c r="B69" s="33" t="s">
        <v>1719</v>
      </c>
      <c r="C69" s="24" t="s">
        <v>1787</v>
      </c>
      <c r="D69" s="40" t="s">
        <v>4589</v>
      </c>
      <c r="E69" s="24" t="s">
        <v>673</v>
      </c>
      <c r="F69" s="36" t="s">
        <v>1718</v>
      </c>
      <c r="G69" s="24">
        <v>949946806</v>
      </c>
      <c r="H69" t="str">
        <f>VLOOKUP(D69,DATA_SISTEMA!$A$1:$Q$506,13,FALSE)</f>
        <v>U.V. - INDOAMERICA MZ. D LT.2B</v>
      </c>
      <c r="I69" t="str">
        <f>VLOOKUP(D69,DATA_SISTEMA!$A$1:$Q$506,7,FALSE)</f>
        <v>1977-04-30</v>
      </c>
      <c r="J69" s="32" t="s">
        <v>1718</v>
      </c>
      <c r="K69" s="32" t="s">
        <v>1718</v>
      </c>
      <c r="L69" s="32" t="s">
        <v>1718</v>
      </c>
      <c r="M69">
        <v>26</v>
      </c>
      <c r="N69">
        <v>0</v>
      </c>
      <c r="O69" s="32" t="str">
        <f t="shared" si="1"/>
        <v>680020261X</v>
      </c>
      <c r="P69" s="32" t="s">
        <v>1718</v>
      </c>
      <c r="Q69" s="32" t="s">
        <v>1718</v>
      </c>
      <c r="R69" s="32" t="s">
        <v>2110</v>
      </c>
      <c r="S69" s="32" t="s">
        <v>5030</v>
      </c>
      <c r="T69" t="str">
        <f>VLOOKUP(D69,DATA_SISTEMA!$A$1:$Q$506,9,FALSE)</f>
        <v>M</v>
      </c>
      <c r="U69" s="32" t="s">
        <v>2106</v>
      </c>
      <c r="V69" s="32" t="s">
        <v>1718</v>
      </c>
      <c r="W69" s="37" t="s">
        <v>5028</v>
      </c>
      <c r="X69" s="32" t="s">
        <v>4522</v>
      </c>
      <c r="Y69" s="32" t="s">
        <v>1718</v>
      </c>
      <c r="Z69" s="32" t="s">
        <v>1718</v>
      </c>
      <c r="AA69" s="32" t="s">
        <v>5028</v>
      </c>
      <c r="AB69" s="32" t="s">
        <v>1718</v>
      </c>
      <c r="AC69" s="32" t="s">
        <v>1718</v>
      </c>
      <c r="AD69" s="32" t="s">
        <v>1718</v>
      </c>
      <c r="AE69" s="32" t="s">
        <v>1718</v>
      </c>
      <c r="AF69" s="32" t="s">
        <v>1718</v>
      </c>
      <c r="AG69" s="32" t="s">
        <v>1718</v>
      </c>
      <c r="AH69" s="32" t="s">
        <v>2107</v>
      </c>
      <c r="AI69" s="24" t="s">
        <v>1368</v>
      </c>
      <c r="AJ69" s="24" t="s">
        <v>966</v>
      </c>
      <c r="AK69" s="24" t="s">
        <v>901</v>
      </c>
      <c r="AL69" s="24">
        <v>17632519</v>
      </c>
      <c r="AM69" t="s">
        <v>1718</v>
      </c>
      <c r="AN69" t="s">
        <v>1718</v>
      </c>
      <c r="AO69" t="s">
        <v>1718</v>
      </c>
      <c r="AP69" t="s">
        <v>1718</v>
      </c>
      <c r="AQ69" t="s">
        <v>1718</v>
      </c>
      <c r="AR69" t="s">
        <v>1718</v>
      </c>
      <c r="AS69" t="s">
        <v>1718</v>
      </c>
      <c r="AT69" t="s">
        <v>1718</v>
      </c>
      <c r="AU69" t="s">
        <v>1718</v>
      </c>
      <c r="AV69" t="str">
        <f>VLOOKUP(D69,DATA_SISTEMA!$A$1:$Q$506,12,FALSE)</f>
        <v>LAMBAYEQUE</v>
      </c>
      <c r="AW69" t="str">
        <f>VLOOKUP(D69,DATA_SISTEMA!$A$1:$Q$506,11,FALSE)</f>
        <v>LAMBAYEQUE</v>
      </c>
      <c r="AX69" t="str">
        <f>VLOOKUP(D69,DATA_SISTEMA!$A$1:$Q$506,10,FALSE)</f>
        <v>LAMBAYEQUE</v>
      </c>
      <c r="AY69" t="s">
        <v>1718</v>
      </c>
      <c r="AZ69" t="s">
        <v>5028</v>
      </c>
      <c r="BA69" t="s">
        <v>1718</v>
      </c>
      <c r="BB69" t="s">
        <v>5028</v>
      </c>
      <c r="BC69" t="s">
        <v>1718</v>
      </c>
      <c r="BD69" t="s">
        <v>5028</v>
      </c>
      <c r="BE69" t="s">
        <v>1718</v>
      </c>
      <c r="BF69" s="34" t="s">
        <v>2104</v>
      </c>
      <c r="BG69" s="24">
        <v>70</v>
      </c>
    </row>
    <row r="70" spans="1:59" x14ac:dyDescent="0.25">
      <c r="A70" s="4">
        <v>69</v>
      </c>
      <c r="B70" s="33" t="s">
        <v>1719</v>
      </c>
      <c r="C70" s="24" t="s">
        <v>1788</v>
      </c>
      <c r="D70" s="40" t="s">
        <v>4590</v>
      </c>
      <c r="E70" s="24" t="s">
        <v>675</v>
      </c>
      <c r="F70" s="36" t="s">
        <v>1718</v>
      </c>
      <c r="G70" s="24">
        <v>901854704</v>
      </c>
      <c r="H70" t="str">
        <f>VLOOKUP(D70,DATA_SISTEMA!$A$1:$Q$506,13,FALSE)</f>
        <v>CAL. EMILIANO NIÑO N°512</v>
      </c>
      <c r="I70" t="str">
        <f>VLOOKUP(D70,DATA_SISTEMA!$A$1:$Q$506,7,FALSE)</f>
        <v>2000-09-27</v>
      </c>
      <c r="J70" s="32" t="s">
        <v>1718</v>
      </c>
      <c r="K70" s="32" t="s">
        <v>1718</v>
      </c>
      <c r="L70" s="32" t="s">
        <v>1718</v>
      </c>
      <c r="M70">
        <v>26</v>
      </c>
      <c r="N70">
        <v>0</v>
      </c>
      <c r="O70" s="32" t="str">
        <f t="shared" si="1"/>
        <v>690020261X</v>
      </c>
      <c r="P70" s="32" t="s">
        <v>1718</v>
      </c>
      <c r="Q70" s="32" t="s">
        <v>1718</v>
      </c>
      <c r="R70" s="32" t="s">
        <v>2110</v>
      </c>
      <c r="S70" s="32" t="s">
        <v>5030</v>
      </c>
      <c r="T70" t="str">
        <f>VLOOKUP(D70,DATA_SISTEMA!$A$1:$Q$506,9,FALSE)</f>
        <v>M</v>
      </c>
      <c r="U70" s="32" t="s">
        <v>2106</v>
      </c>
      <c r="V70" s="32" t="s">
        <v>1718</v>
      </c>
      <c r="W70" s="37" t="s">
        <v>5028</v>
      </c>
      <c r="X70" s="32" t="s">
        <v>4522</v>
      </c>
      <c r="Y70" s="32" t="s">
        <v>1718</v>
      </c>
      <c r="Z70" s="32" t="s">
        <v>1718</v>
      </c>
      <c r="AA70" s="32" t="s">
        <v>5028</v>
      </c>
      <c r="AB70" s="32" t="s">
        <v>1718</v>
      </c>
      <c r="AC70" s="32" t="s">
        <v>1718</v>
      </c>
      <c r="AD70" s="32" t="s">
        <v>1718</v>
      </c>
      <c r="AE70" s="32" t="s">
        <v>1718</v>
      </c>
      <c r="AF70" s="32" t="s">
        <v>1718</v>
      </c>
      <c r="AG70" s="32" t="s">
        <v>1718</v>
      </c>
      <c r="AH70" s="32" t="s">
        <v>2107</v>
      </c>
      <c r="AI70" s="24" t="s">
        <v>1369</v>
      </c>
      <c r="AJ70" s="24" t="s">
        <v>967</v>
      </c>
      <c r="AK70" s="24" t="s">
        <v>921</v>
      </c>
      <c r="AL70" s="24">
        <v>76388252</v>
      </c>
      <c r="AM70" t="s">
        <v>1718</v>
      </c>
      <c r="AN70" t="s">
        <v>1718</v>
      </c>
      <c r="AO70" t="s">
        <v>1718</v>
      </c>
      <c r="AP70" t="s">
        <v>1718</v>
      </c>
      <c r="AQ70" t="s">
        <v>1718</v>
      </c>
      <c r="AR70" t="s">
        <v>1718</v>
      </c>
      <c r="AS70" t="s">
        <v>1718</v>
      </c>
      <c r="AT70" t="s">
        <v>1718</v>
      </c>
      <c r="AU70" t="s">
        <v>1718</v>
      </c>
      <c r="AV70" t="str">
        <f>VLOOKUP(D70,DATA_SISTEMA!$A$1:$Q$506,12,FALSE)</f>
        <v>LAMBAYEQUE</v>
      </c>
      <c r="AW70" t="str">
        <f>VLOOKUP(D70,DATA_SISTEMA!$A$1:$Q$506,11,FALSE)</f>
        <v>LAMBAYEQUE</v>
      </c>
      <c r="AX70" t="str">
        <f>VLOOKUP(D70,DATA_SISTEMA!$A$1:$Q$506,10,FALSE)</f>
        <v>LAMBAYEQUE</v>
      </c>
      <c r="AY70" t="s">
        <v>1718</v>
      </c>
      <c r="AZ70" t="s">
        <v>5028</v>
      </c>
      <c r="BA70" t="s">
        <v>1718</v>
      </c>
      <c r="BB70" t="s">
        <v>5028</v>
      </c>
      <c r="BC70" t="s">
        <v>1718</v>
      </c>
      <c r="BD70" t="s">
        <v>5028</v>
      </c>
      <c r="BE70" t="s">
        <v>1718</v>
      </c>
      <c r="BF70" s="34" t="s">
        <v>2104</v>
      </c>
      <c r="BG70" s="24">
        <v>69.5</v>
      </c>
    </row>
    <row r="71" spans="1:59" x14ac:dyDescent="0.25">
      <c r="A71" s="4">
        <v>70</v>
      </c>
      <c r="B71" s="33" t="s">
        <v>1719</v>
      </c>
      <c r="C71" s="24" t="s">
        <v>1789</v>
      </c>
      <c r="D71" s="40" t="s">
        <v>4591</v>
      </c>
      <c r="E71" s="24" t="s">
        <v>677</v>
      </c>
      <c r="F71" s="36" t="s">
        <v>1718</v>
      </c>
      <c r="G71" s="24">
        <v>949872191</v>
      </c>
      <c r="H71" t="str">
        <f>VLOOKUP(D71,DATA_SISTEMA!$A$1:$Q$506,13,FALSE)</f>
        <v>SANTO TORIBIO DE MOGROVEJO MZ L LOTE 39</v>
      </c>
      <c r="I71" t="str">
        <f>VLOOKUP(D71,DATA_SISTEMA!$A$1:$Q$506,7,FALSE)</f>
        <v>1997-01-12</v>
      </c>
      <c r="J71" s="32" t="s">
        <v>1718</v>
      </c>
      <c r="K71" s="32" t="s">
        <v>1718</v>
      </c>
      <c r="L71" s="32" t="s">
        <v>1718</v>
      </c>
      <c r="M71">
        <v>26</v>
      </c>
      <c r="N71">
        <v>0</v>
      </c>
      <c r="O71" s="32" t="str">
        <f t="shared" si="1"/>
        <v>700020261X</v>
      </c>
      <c r="P71" s="32" t="s">
        <v>1718</v>
      </c>
      <c r="Q71" s="32" t="s">
        <v>1718</v>
      </c>
      <c r="R71" s="32" t="s">
        <v>2110</v>
      </c>
      <c r="S71" s="32" t="s">
        <v>5030</v>
      </c>
      <c r="T71" t="str">
        <f>VLOOKUP(D71,DATA_SISTEMA!$A$1:$Q$506,9,FALSE)</f>
        <v>M</v>
      </c>
      <c r="U71" s="32" t="s">
        <v>2106</v>
      </c>
      <c r="V71" s="32" t="s">
        <v>1718</v>
      </c>
      <c r="W71" s="37" t="s">
        <v>5028</v>
      </c>
      <c r="X71" s="32" t="s">
        <v>4522</v>
      </c>
      <c r="Y71" s="32" t="s">
        <v>1718</v>
      </c>
      <c r="Z71" s="32" t="s">
        <v>1718</v>
      </c>
      <c r="AA71" s="32" t="s">
        <v>5028</v>
      </c>
      <c r="AB71" s="32" t="s">
        <v>1718</v>
      </c>
      <c r="AC71" s="32" t="s">
        <v>1718</v>
      </c>
      <c r="AD71" s="32" t="s">
        <v>1718</v>
      </c>
      <c r="AE71" s="32" t="s">
        <v>1718</v>
      </c>
      <c r="AF71" s="32" t="s">
        <v>1718</v>
      </c>
      <c r="AG71" s="32" t="s">
        <v>1718</v>
      </c>
      <c r="AH71" s="32" t="s">
        <v>2107</v>
      </c>
      <c r="AI71" s="24" t="s">
        <v>1370</v>
      </c>
      <c r="AJ71" s="24" t="s">
        <v>905</v>
      </c>
      <c r="AK71" s="24" t="s">
        <v>883</v>
      </c>
      <c r="AL71" s="24">
        <v>76457342</v>
      </c>
      <c r="AM71" t="s">
        <v>1718</v>
      </c>
      <c r="AN71" t="s">
        <v>1718</v>
      </c>
      <c r="AO71" t="s">
        <v>1718</v>
      </c>
      <c r="AP71" t="s">
        <v>1718</v>
      </c>
      <c r="AQ71" t="s">
        <v>1718</v>
      </c>
      <c r="AR71" t="s">
        <v>1718</v>
      </c>
      <c r="AS71" t="s">
        <v>1718</v>
      </c>
      <c r="AT71" t="s">
        <v>1718</v>
      </c>
      <c r="AU71" t="s">
        <v>1718</v>
      </c>
      <c r="AV71" t="str">
        <f>VLOOKUP(D71,DATA_SISTEMA!$A$1:$Q$506,12,FALSE)</f>
        <v>CHICLAYO</v>
      </c>
      <c r="AW71" t="str">
        <f>VLOOKUP(D71,DATA_SISTEMA!$A$1:$Q$506,11,FALSE)</f>
        <v>CHICLAYO</v>
      </c>
      <c r="AX71" t="str">
        <f>VLOOKUP(D71,DATA_SISTEMA!$A$1:$Q$506,10,FALSE)</f>
        <v>LAMBAYEQUE</v>
      </c>
      <c r="AY71" t="s">
        <v>1718</v>
      </c>
      <c r="AZ71" t="s">
        <v>5028</v>
      </c>
      <c r="BA71" t="s">
        <v>1718</v>
      </c>
      <c r="BB71" t="s">
        <v>5028</v>
      </c>
      <c r="BC71" t="s">
        <v>1718</v>
      </c>
      <c r="BD71" t="s">
        <v>5028</v>
      </c>
      <c r="BE71" t="s">
        <v>1718</v>
      </c>
      <c r="BF71" s="34" t="s">
        <v>2104</v>
      </c>
      <c r="BG71" s="24">
        <v>68.5</v>
      </c>
    </row>
    <row r="72" spans="1:59" x14ac:dyDescent="0.25">
      <c r="A72" s="4">
        <v>71</v>
      </c>
      <c r="B72" s="33" t="s">
        <v>1719</v>
      </c>
      <c r="C72" s="24" t="s">
        <v>1790</v>
      </c>
      <c r="D72" s="40" t="s">
        <v>4592</v>
      </c>
      <c r="E72" s="24" t="s">
        <v>679</v>
      </c>
      <c r="F72" s="36" t="s">
        <v>1718</v>
      </c>
      <c r="G72" s="24">
        <v>942423103</v>
      </c>
      <c r="H72" t="str">
        <f>VLOOKUP(D72,DATA_SISTEMA!$A$1:$Q$506,13,FALSE)</f>
        <v>CALLE LOS TULIPANES N°280 URB. LOS PARQUES</v>
      </c>
      <c r="I72" t="str">
        <f>VLOOKUP(D72,DATA_SISTEMA!$A$1:$Q$506,7,FALSE)</f>
        <v>1982-10-07</v>
      </c>
      <c r="J72" s="32" t="s">
        <v>1718</v>
      </c>
      <c r="K72" s="32" t="s">
        <v>1718</v>
      </c>
      <c r="L72" s="32" t="s">
        <v>1718</v>
      </c>
      <c r="M72">
        <v>26</v>
      </c>
      <c r="N72">
        <v>0</v>
      </c>
      <c r="O72" s="32" t="str">
        <f t="shared" si="1"/>
        <v>710020261X</v>
      </c>
      <c r="P72" s="32" t="s">
        <v>1718</v>
      </c>
      <c r="Q72" s="32" t="s">
        <v>1718</v>
      </c>
      <c r="R72" s="32" t="s">
        <v>2110</v>
      </c>
      <c r="S72" s="32" t="s">
        <v>5030</v>
      </c>
      <c r="T72" t="str">
        <f>VLOOKUP(D72,DATA_SISTEMA!$A$1:$Q$506,9,FALSE)</f>
        <v>M</v>
      </c>
      <c r="U72" s="32" t="s">
        <v>2106</v>
      </c>
      <c r="V72" s="32" t="s">
        <v>1718</v>
      </c>
      <c r="W72" s="37" t="s">
        <v>5028</v>
      </c>
      <c r="X72" s="32" t="s">
        <v>4522</v>
      </c>
      <c r="Y72" s="32" t="s">
        <v>1718</v>
      </c>
      <c r="Z72" s="32" t="s">
        <v>1718</v>
      </c>
      <c r="AA72" s="32" t="s">
        <v>5028</v>
      </c>
      <c r="AB72" s="32" t="s">
        <v>1718</v>
      </c>
      <c r="AC72" s="32" t="s">
        <v>1718</v>
      </c>
      <c r="AD72" s="32" t="s">
        <v>1718</v>
      </c>
      <c r="AE72" s="32" t="s">
        <v>1718</v>
      </c>
      <c r="AF72" s="32" t="s">
        <v>1718</v>
      </c>
      <c r="AG72" s="32" t="s">
        <v>1718</v>
      </c>
      <c r="AH72" s="32" t="s">
        <v>2107</v>
      </c>
      <c r="AI72" s="24" t="s">
        <v>1371</v>
      </c>
      <c r="AJ72" s="24" t="s">
        <v>968</v>
      </c>
      <c r="AK72" s="24" t="s">
        <v>969</v>
      </c>
      <c r="AL72" s="24">
        <v>41732773</v>
      </c>
      <c r="AM72" t="s">
        <v>1718</v>
      </c>
      <c r="AN72" t="s">
        <v>1718</v>
      </c>
      <c r="AO72" t="s">
        <v>1718</v>
      </c>
      <c r="AP72" t="s">
        <v>1718</v>
      </c>
      <c r="AQ72" t="s">
        <v>1718</v>
      </c>
      <c r="AR72" t="s">
        <v>1718</v>
      </c>
      <c r="AS72" t="s">
        <v>1718</v>
      </c>
      <c r="AT72" t="s">
        <v>1718</v>
      </c>
      <c r="AU72" t="s">
        <v>1718</v>
      </c>
      <c r="AV72" t="str">
        <f>VLOOKUP(D72,DATA_SISTEMA!$A$1:$Q$506,12,FALSE)</f>
        <v>CHICLAYO</v>
      </c>
      <c r="AW72" t="str">
        <f>VLOOKUP(D72,DATA_SISTEMA!$A$1:$Q$506,11,FALSE)</f>
        <v>CHICLAYO</v>
      </c>
      <c r="AX72" t="str">
        <f>VLOOKUP(D72,DATA_SISTEMA!$A$1:$Q$506,10,FALSE)</f>
        <v>LAMBAYEQUE</v>
      </c>
      <c r="AY72" t="s">
        <v>1718</v>
      </c>
      <c r="AZ72" t="s">
        <v>5028</v>
      </c>
      <c r="BA72" t="s">
        <v>1718</v>
      </c>
      <c r="BB72" t="s">
        <v>5028</v>
      </c>
      <c r="BC72" t="s">
        <v>1718</v>
      </c>
      <c r="BD72" t="s">
        <v>5028</v>
      </c>
      <c r="BE72" t="s">
        <v>1718</v>
      </c>
      <c r="BF72" s="34" t="s">
        <v>2104</v>
      </c>
      <c r="BG72" s="24">
        <v>68</v>
      </c>
    </row>
    <row r="73" spans="1:59" x14ac:dyDescent="0.25">
      <c r="A73" s="4">
        <v>72</v>
      </c>
      <c r="B73" s="33" t="s">
        <v>1719</v>
      </c>
      <c r="C73" s="24" t="s">
        <v>1791</v>
      </c>
      <c r="D73" s="40" t="s">
        <v>4593</v>
      </c>
      <c r="E73" s="24" t="s">
        <v>681</v>
      </c>
      <c r="F73" s="36" t="s">
        <v>1718</v>
      </c>
      <c r="G73" s="24">
        <v>980985081</v>
      </c>
      <c r="H73" t="str">
        <f>VLOOKUP(D73,DATA_SISTEMA!$A$1:$Q$506,13,FALSE)</f>
        <v>CALLE LAS OSTRAS 27</v>
      </c>
      <c r="I73" t="str">
        <f>VLOOKUP(D73,DATA_SISTEMA!$A$1:$Q$506,7,FALSE)</f>
        <v>2000-04-03</v>
      </c>
      <c r="J73" s="32" t="s">
        <v>1718</v>
      </c>
      <c r="K73" s="32" t="s">
        <v>1718</v>
      </c>
      <c r="L73" s="32" t="s">
        <v>1718</v>
      </c>
      <c r="M73">
        <v>26</v>
      </c>
      <c r="N73">
        <v>0</v>
      </c>
      <c r="O73" s="32" t="str">
        <f t="shared" si="1"/>
        <v>720020261X</v>
      </c>
      <c r="P73" s="32" t="s">
        <v>1718</v>
      </c>
      <c r="Q73" s="32" t="s">
        <v>1718</v>
      </c>
      <c r="R73" s="32" t="s">
        <v>2110</v>
      </c>
      <c r="S73" s="32" t="s">
        <v>5030</v>
      </c>
      <c r="T73" t="str">
        <f>VLOOKUP(D73,DATA_SISTEMA!$A$1:$Q$506,9,FALSE)</f>
        <v>F</v>
      </c>
      <c r="U73" s="32" t="s">
        <v>2106</v>
      </c>
      <c r="V73" s="32" t="s">
        <v>1718</v>
      </c>
      <c r="W73" s="37" t="s">
        <v>5028</v>
      </c>
      <c r="X73" s="32" t="s">
        <v>4522</v>
      </c>
      <c r="Y73" s="32" t="s">
        <v>1718</v>
      </c>
      <c r="Z73" s="32" t="s">
        <v>1718</v>
      </c>
      <c r="AA73" s="32" t="s">
        <v>5028</v>
      </c>
      <c r="AB73" s="32" t="s">
        <v>1718</v>
      </c>
      <c r="AC73" s="32" t="s">
        <v>1718</v>
      </c>
      <c r="AD73" s="32" t="s">
        <v>1718</v>
      </c>
      <c r="AE73" s="32" t="s">
        <v>1718</v>
      </c>
      <c r="AF73" s="32" t="s">
        <v>1718</v>
      </c>
      <c r="AG73" s="32" t="s">
        <v>1718</v>
      </c>
      <c r="AH73" s="32" t="s">
        <v>2107</v>
      </c>
      <c r="AI73" s="24" t="s">
        <v>1372</v>
      </c>
      <c r="AJ73" s="24" t="s">
        <v>970</v>
      </c>
      <c r="AK73" s="24" t="s">
        <v>971</v>
      </c>
      <c r="AL73" s="24">
        <v>72729980</v>
      </c>
      <c r="AM73" t="s">
        <v>1718</v>
      </c>
      <c r="AN73" t="s">
        <v>1718</v>
      </c>
      <c r="AO73" t="s">
        <v>1718</v>
      </c>
      <c r="AP73" t="s">
        <v>1718</v>
      </c>
      <c r="AQ73" t="s">
        <v>1718</v>
      </c>
      <c r="AR73" t="s">
        <v>1718</v>
      </c>
      <c r="AS73" t="s">
        <v>1718</v>
      </c>
      <c r="AT73" t="s">
        <v>1718</v>
      </c>
      <c r="AU73" t="s">
        <v>1718</v>
      </c>
      <c r="AV73" t="str">
        <f>VLOOKUP(D73,DATA_SISTEMA!$A$1:$Q$506,12,FALSE)</f>
        <v>CHICLAYO</v>
      </c>
      <c r="AW73" t="str">
        <f>VLOOKUP(D73,DATA_SISTEMA!$A$1:$Q$506,11,FALSE)</f>
        <v>CHICLAYO</v>
      </c>
      <c r="AX73" t="str">
        <f>VLOOKUP(D73,DATA_SISTEMA!$A$1:$Q$506,10,FALSE)</f>
        <v>LAMBAYEQUE</v>
      </c>
      <c r="AY73" t="s">
        <v>1718</v>
      </c>
      <c r="AZ73" t="s">
        <v>5028</v>
      </c>
      <c r="BA73" t="s">
        <v>1718</v>
      </c>
      <c r="BB73" t="s">
        <v>5028</v>
      </c>
      <c r="BC73" t="s">
        <v>1718</v>
      </c>
      <c r="BD73" t="s">
        <v>5028</v>
      </c>
      <c r="BE73" t="s">
        <v>1718</v>
      </c>
      <c r="BF73" s="34" t="s">
        <v>2104</v>
      </c>
      <c r="BG73" s="24">
        <v>68</v>
      </c>
    </row>
    <row r="74" spans="1:59" x14ac:dyDescent="0.25">
      <c r="A74" s="4">
        <v>73</v>
      </c>
      <c r="B74" s="33" t="s">
        <v>1719</v>
      </c>
      <c r="C74" s="24" t="s">
        <v>1792</v>
      </c>
      <c r="D74" s="40" t="s">
        <v>4594</v>
      </c>
      <c r="E74" s="24" t="s">
        <v>683</v>
      </c>
      <c r="F74" s="36" t="s">
        <v>1718</v>
      </c>
      <c r="G74" s="24">
        <v>971517579</v>
      </c>
      <c r="H74" t="str">
        <f>VLOOKUP(D74,DATA_SISTEMA!$A$1:$Q$506,13,FALSE)</f>
        <v>PASAJE SAN MIGUEL</v>
      </c>
      <c r="I74" t="str">
        <f>VLOOKUP(D74,DATA_SISTEMA!$A$1:$Q$506,7,FALSE)</f>
        <v>1994-11-14</v>
      </c>
      <c r="J74" s="32" t="s">
        <v>1718</v>
      </c>
      <c r="K74" s="32" t="s">
        <v>1718</v>
      </c>
      <c r="L74" s="32" t="s">
        <v>1718</v>
      </c>
      <c r="M74">
        <v>26</v>
      </c>
      <c r="N74">
        <v>0</v>
      </c>
      <c r="O74" s="32" t="str">
        <f t="shared" si="1"/>
        <v>730020261X</v>
      </c>
      <c r="P74" s="32" t="s">
        <v>1718</v>
      </c>
      <c r="Q74" s="32" t="s">
        <v>1718</v>
      </c>
      <c r="R74" s="32" t="s">
        <v>2110</v>
      </c>
      <c r="S74" s="32" t="s">
        <v>5030</v>
      </c>
      <c r="T74" t="str">
        <f>VLOOKUP(D74,DATA_SISTEMA!$A$1:$Q$506,9,FALSE)</f>
        <v>M</v>
      </c>
      <c r="U74" s="32" t="s">
        <v>2106</v>
      </c>
      <c r="V74" s="32" t="s">
        <v>1718</v>
      </c>
      <c r="W74" s="37" t="s">
        <v>5028</v>
      </c>
      <c r="X74" s="32" t="s">
        <v>4522</v>
      </c>
      <c r="Y74" s="32" t="s">
        <v>1718</v>
      </c>
      <c r="Z74" s="32" t="s">
        <v>1718</v>
      </c>
      <c r="AA74" s="32" t="s">
        <v>5028</v>
      </c>
      <c r="AB74" s="32" t="s">
        <v>1718</v>
      </c>
      <c r="AC74" s="32" t="s">
        <v>1718</v>
      </c>
      <c r="AD74" s="32" t="s">
        <v>1718</v>
      </c>
      <c r="AE74" s="32" t="s">
        <v>1718</v>
      </c>
      <c r="AF74" s="32" t="s">
        <v>1718</v>
      </c>
      <c r="AG74" s="32" t="s">
        <v>1718</v>
      </c>
      <c r="AH74" s="32" t="s">
        <v>2107</v>
      </c>
      <c r="AI74" s="24" t="s">
        <v>1373</v>
      </c>
      <c r="AJ74" s="24" t="s">
        <v>972</v>
      </c>
      <c r="AK74" s="24" t="s">
        <v>973</v>
      </c>
      <c r="AL74" s="24">
        <v>70768967</v>
      </c>
      <c r="AM74" t="s">
        <v>1718</v>
      </c>
      <c r="AN74" t="s">
        <v>1718</v>
      </c>
      <c r="AO74" t="s">
        <v>1718</v>
      </c>
      <c r="AP74" t="s">
        <v>1718</v>
      </c>
      <c r="AQ74" t="s">
        <v>1718</v>
      </c>
      <c r="AR74" t="s">
        <v>1718</v>
      </c>
      <c r="AS74" t="s">
        <v>1718</v>
      </c>
      <c r="AT74" t="s">
        <v>1718</v>
      </c>
      <c r="AU74" t="s">
        <v>1718</v>
      </c>
      <c r="AV74" t="str">
        <f>VLOOKUP(D74,DATA_SISTEMA!$A$1:$Q$506,12,FALSE)</f>
        <v>SAN JOSE DE LOURDES</v>
      </c>
      <c r="AW74" t="str">
        <f>VLOOKUP(D74,DATA_SISTEMA!$A$1:$Q$506,11,FALSE)</f>
        <v>SAN IGNACIO</v>
      </c>
      <c r="AX74" t="str">
        <f>VLOOKUP(D74,DATA_SISTEMA!$A$1:$Q$506,10,FALSE)</f>
        <v>CAJAMARCA</v>
      </c>
      <c r="AY74" t="s">
        <v>1718</v>
      </c>
      <c r="AZ74" t="s">
        <v>5028</v>
      </c>
      <c r="BA74" t="s">
        <v>1718</v>
      </c>
      <c r="BB74" t="s">
        <v>5028</v>
      </c>
      <c r="BC74" t="s">
        <v>1718</v>
      </c>
      <c r="BD74" t="s">
        <v>5028</v>
      </c>
      <c r="BE74" t="s">
        <v>1718</v>
      </c>
      <c r="BF74" s="34" t="s">
        <v>2104</v>
      </c>
      <c r="BG74" s="24">
        <v>68</v>
      </c>
    </row>
    <row r="75" spans="1:59" x14ac:dyDescent="0.25">
      <c r="A75" s="4">
        <v>74</v>
      </c>
      <c r="B75" s="33" t="s">
        <v>1719</v>
      </c>
      <c r="C75" s="24" t="s">
        <v>1793</v>
      </c>
      <c r="D75" s="40" t="s">
        <v>4595</v>
      </c>
      <c r="E75" s="24" t="s">
        <v>685</v>
      </c>
      <c r="F75" s="36" t="s">
        <v>1718</v>
      </c>
      <c r="G75" s="24">
        <v>978761783</v>
      </c>
      <c r="H75" t="str">
        <f>VLOOKUP(D75,DATA_SISTEMA!$A$1:$Q$506,13,FALSE)</f>
        <v>BLOCK 12 N° 1272-A TUMAN</v>
      </c>
      <c r="I75" t="str">
        <f>VLOOKUP(D75,DATA_SISTEMA!$A$1:$Q$506,7,FALSE)</f>
        <v>1973-08-06</v>
      </c>
      <c r="J75" s="32" t="s">
        <v>1718</v>
      </c>
      <c r="K75" s="32" t="s">
        <v>1718</v>
      </c>
      <c r="L75" s="32" t="s">
        <v>1718</v>
      </c>
      <c r="M75">
        <v>26</v>
      </c>
      <c r="N75">
        <v>0</v>
      </c>
      <c r="O75" s="32" t="str">
        <f t="shared" si="1"/>
        <v>740020261X</v>
      </c>
      <c r="P75" s="32" t="s">
        <v>1718</v>
      </c>
      <c r="Q75" s="32" t="s">
        <v>1718</v>
      </c>
      <c r="R75" s="32" t="s">
        <v>2110</v>
      </c>
      <c r="S75" s="32" t="s">
        <v>5030</v>
      </c>
      <c r="T75" t="str">
        <f>VLOOKUP(D75,DATA_SISTEMA!$A$1:$Q$506,9,FALSE)</f>
        <v>M</v>
      </c>
      <c r="U75" s="32" t="s">
        <v>2106</v>
      </c>
      <c r="V75" s="32" t="s">
        <v>1718</v>
      </c>
      <c r="W75" s="37" t="s">
        <v>5028</v>
      </c>
      <c r="X75" s="32" t="s">
        <v>4522</v>
      </c>
      <c r="Y75" s="32" t="s">
        <v>1718</v>
      </c>
      <c r="Z75" s="32" t="s">
        <v>1718</v>
      </c>
      <c r="AA75" s="32" t="s">
        <v>5028</v>
      </c>
      <c r="AB75" s="32" t="s">
        <v>1718</v>
      </c>
      <c r="AC75" s="32" t="s">
        <v>1718</v>
      </c>
      <c r="AD75" s="32" t="s">
        <v>1718</v>
      </c>
      <c r="AE75" s="32" t="s">
        <v>1718</v>
      </c>
      <c r="AF75" s="32" t="s">
        <v>1718</v>
      </c>
      <c r="AG75" s="32" t="s">
        <v>1718</v>
      </c>
      <c r="AH75" s="32" t="s">
        <v>2107</v>
      </c>
      <c r="AI75" s="24" t="s">
        <v>1374</v>
      </c>
      <c r="AJ75" s="24" t="s">
        <v>974</v>
      </c>
      <c r="AK75" s="24" t="s">
        <v>962</v>
      </c>
      <c r="AL75" s="24">
        <v>16714301</v>
      </c>
      <c r="AM75" t="s">
        <v>1718</v>
      </c>
      <c r="AN75" t="s">
        <v>1718</v>
      </c>
      <c r="AO75" t="s">
        <v>1718</v>
      </c>
      <c r="AP75" t="s">
        <v>1718</v>
      </c>
      <c r="AQ75" t="s">
        <v>1718</v>
      </c>
      <c r="AR75" t="s">
        <v>1718</v>
      </c>
      <c r="AS75" t="s">
        <v>1718</v>
      </c>
      <c r="AT75" t="s">
        <v>1718</v>
      </c>
      <c r="AU75" t="s">
        <v>1718</v>
      </c>
      <c r="AV75" t="str">
        <f>VLOOKUP(D75,DATA_SISTEMA!$A$1:$Q$506,12,FALSE)</f>
        <v>TUMAN</v>
      </c>
      <c r="AW75" t="str">
        <f>VLOOKUP(D75,DATA_SISTEMA!$A$1:$Q$506,11,FALSE)</f>
        <v>CHICLAYO</v>
      </c>
      <c r="AX75" t="str">
        <f>VLOOKUP(D75,DATA_SISTEMA!$A$1:$Q$506,10,FALSE)</f>
        <v>LAMBAYEQUE</v>
      </c>
      <c r="AY75" t="s">
        <v>1718</v>
      </c>
      <c r="AZ75" t="s">
        <v>5028</v>
      </c>
      <c r="BA75" t="s">
        <v>1718</v>
      </c>
      <c r="BB75" t="s">
        <v>5028</v>
      </c>
      <c r="BC75" t="s">
        <v>1718</v>
      </c>
      <c r="BD75" t="s">
        <v>5028</v>
      </c>
      <c r="BE75" t="s">
        <v>1718</v>
      </c>
      <c r="BF75" s="34" t="s">
        <v>2104</v>
      </c>
      <c r="BG75" s="24">
        <v>68</v>
      </c>
    </row>
    <row r="76" spans="1:59" x14ac:dyDescent="0.25">
      <c r="A76" s="4">
        <v>75</v>
      </c>
      <c r="B76" s="33" t="s">
        <v>1719</v>
      </c>
      <c r="C76" s="24" t="s">
        <v>1794</v>
      </c>
      <c r="D76" s="40" t="s">
        <v>4596</v>
      </c>
      <c r="E76" s="24" t="s">
        <v>687</v>
      </c>
      <c r="F76" s="36" t="s">
        <v>1718</v>
      </c>
      <c r="G76" s="24">
        <v>937352418</v>
      </c>
      <c r="H76" t="str">
        <f>VLOOKUP(D76,DATA_SISTEMA!$A$1:$Q$506,13,FALSE)</f>
        <v>SECTOR C</v>
      </c>
      <c r="I76" t="str">
        <f>VLOOKUP(D76,DATA_SISTEMA!$A$1:$Q$506,7,FALSE)</f>
        <v>1998-09-12</v>
      </c>
      <c r="J76" s="32" t="s">
        <v>1718</v>
      </c>
      <c r="K76" s="32" t="s">
        <v>1718</v>
      </c>
      <c r="L76" s="32" t="s">
        <v>1718</v>
      </c>
      <c r="M76">
        <v>26</v>
      </c>
      <c r="N76">
        <v>0</v>
      </c>
      <c r="O76" s="32" t="str">
        <f t="shared" si="1"/>
        <v>750020261X</v>
      </c>
      <c r="P76" s="32" t="s">
        <v>1718</v>
      </c>
      <c r="Q76" s="32" t="s">
        <v>1718</v>
      </c>
      <c r="R76" s="32" t="s">
        <v>2110</v>
      </c>
      <c r="S76" s="32" t="s">
        <v>5030</v>
      </c>
      <c r="T76" t="str">
        <f>VLOOKUP(D76,DATA_SISTEMA!$A$1:$Q$506,9,FALSE)</f>
        <v>M</v>
      </c>
      <c r="U76" s="32" t="s">
        <v>2106</v>
      </c>
      <c r="V76" s="32" t="s">
        <v>1718</v>
      </c>
      <c r="W76" s="37" t="s">
        <v>5028</v>
      </c>
      <c r="X76" s="32" t="s">
        <v>4522</v>
      </c>
      <c r="Y76" s="32" t="s">
        <v>1718</v>
      </c>
      <c r="Z76" s="32" t="s">
        <v>1718</v>
      </c>
      <c r="AA76" s="32" t="s">
        <v>5028</v>
      </c>
      <c r="AB76" s="32" t="s">
        <v>1718</v>
      </c>
      <c r="AC76" s="32" t="s">
        <v>1718</v>
      </c>
      <c r="AD76" s="32" t="s">
        <v>1718</v>
      </c>
      <c r="AE76" s="32" t="s">
        <v>1718</v>
      </c>
      <c r="AF76" s="32" t="s">
        <v>1718</v>
      </c>
      <c r="AG76" s="32" t="s">
        <v>1718</v>
      </c>
      <c r="AH76" s="32" t="s">
        <v>2107</v>
      </c>
      <c r="AI76" s="24" t="s">
        <v>1375</v>
      </c>
      <c r="AJ76" s="24" t="s">
        <v>975</v>
      </c>
      <c r="AK76" s="24" t="s">
        <v>913</v>
      </c>
      <c r="AL76" s="24">
        <v>76767502</v>
      </c>
      <c r="AM76" t="s">
        <v>1718</v>
      </c>
      <c r="AN76" t="s">
        <v>1718</v>
      </c>
      <c r="AO76" t="s">
        <v>1718</v>
      </c>
      <c r="AP76" t="s">
        <v>1718</v>
      </c>
      <c r="AQ76" t="s">
        <v>1718</v>
      </c>
      <c r="AR76" t="s">
        <v>1718</v>
      </c>
      <c r="AS76" t="s">
        <v>1718</v>
      </c>
      <c r="AT76" t="s">
        <v>1718</v>
      </c>
      <c r="AU76" t="s">
        <v>1718</v>
      </c>
      <c r="AV76" t="str">
        <f>VLOOKUP(D76,DATA_SISTEMA!$A$1:$Q$506,12,FALSE)</f>
        <v>PATAPO</v>
      </c>
      <c r="AW76" t="str">
        <f>VLOOKUP(D76,DATA_SISTEMA!$A$1:$Q$506,11,FALSE)</f>
        <v>CHICLAYO</v>
      </c>
      <c r="AX76" t="str">
        <f>VLOOKUP(D76,DATA_SISTEMA!$A$1:$Q$506,10,FALSE)</f>
        <v>LAMBAYEQUE</v>
      </c>
      <c r="AY76" t="s">
        <v>1718</v>
      </c>
      <c r="AZ76" t="s">
        <v>5028</v>
      </c>
      <c r="BA76" t="s">
        <v>1718</v>
      </c>
      <c r="BB76" t="s">
        <v>5028</v>
      </c>
      <c r="BC76" t="s">
        <v>1718</v>
      </c>
      <c r="BD76" t="s">
        <v>5028</v>
      </c>
      <c r="BE76" t="s">
        <v>1718</v>
      </c>
      <c r="BF76" s="34" t="s">
        <v>2104</v>
      </c>
      <c r="BG76" s="24">
        <v>68</v>
      </c>
    </row>
    <row r="77" spans="1:59" x14ac:dyDescent="0.25">
      <c r="A77" s="4">
        <v>76</v>
      </c>
      <c r="B77" s="33" t="s">
        <v>1719</v>
      </c>
      <c r="C77" s="24" t="s">
        <v>1795</v>
      </c>
      <c r="D77" s="40" t="s">
        <v>4597</v>
      </c>
      <c r="E77" s="24" t="s">
        <v>689</v>
      </c>
      <c r="F77" s="36" t="s">
        <v>1718</v>
      </c>
      <c r="G77" s="24">
        <v>976841193</v>
      </c>
      <c r="H77" t="str">
        <f>VLOOKUP(D77,DATA_SISTEMA!$A$1:$Q$506,13,FALSE)</f>
        <v>MZ H LOTE 20 URB. LOS ALAMOS LA VICTORIA</v>
      </c>
      <c r="I77" t="str">
        <f>VLOOKUP(D77,DATA_SISTEMA!$A$1:$Q$506,7,FALSE)</f>
        <v>1974-10-01</v>
      </c>
      <c r="J77" s="32" t="s">
        <v>1718</v>
      </c>
      <c r="K77" s="32" t="s">
        <v>1718</v>
      </c>
      <c r="L77" s="32" t="s">
        <v>1718</v>
      </c>
      <c r="M77">
        <v>26</v>
      </c>
      <c r="N77">
        <v>0</v>
      </c>
      <c r="O77" s="32" t="str">
        <f t="shared" si="1"/>
        <v>760020261X</v>
      </c>
      <c r="P77" s="32" t="s">
        <v>1718</v>
      </c>
      <c r="Q77" s="32" t="s">
        <v>1718</v>
      </c>
      <c r="R77" s="32" t="s">
        <v>2110</v>
      </c>
      <c r="S77" s="32" t="s">
        <v>5030</v>
      </c>
      <c r="T77" t="str">
        <f>VLOOKUP(D77,DATA_SISTEMA!$A$1:$Q$506,9,FALSE)</f>
        <v>M</v>
      </c>
      <c r="U77" s="32" t="s">
        <v>2106</v>
      </c>
      <c r="V77" s="32" t="s">
        <v>1718</v>
      </c>
      <c r="W77" s="37" t="s">
        <v>5028</v>
      </c>
      <c r="X77" s="32" t="s">
        <v>4522</v>
      </c>
      <c r="Y77" s="32" t="s">
        <v>1718</v>
      </c>
      <c r="Z77" s="32" t="s">
        <v>1718</v>
      </c>
      <c r="AA77" s="32" t="s">
        <v>5028</v>
      </c>
      <c r="AB77" s="32" t="s">
        <v>1718</v>
      </c>
      <c r="AC77" s="32" t="s">
        <v>1718</v>
      </c>
      <c r="AD77" s="32" t="s">
        <v>1718</v>
      </c>
      <c r="AE77" s="32" t="s">
        <v>1718</v>
      </c>
      <c r="AF77" s="32" t="s">
        <v>1718</v>
      </c>
      <c r="AG77" s="32" t="s">
        <v>1718</v>
      </c>
      <c r="AH77" s="32" t="s">
        <v>2107</v>
      </c>
      <c r="AI77" s="24" t="s">
        <v>1376</v>
      </c>
      <c r="AJ77" s="24" t="s">
        <v>975</v>
      </c>
      <c r="AK77" s="24" t="s">
        <v>976</v>
      </c>
      <c r="AL77" s="24">
        <v>27424102</v>
      </c>
      <c r="AM77" t="s">
        <v>1718</v>
      </c>
      <c r="AN77" t="s">
        <v>1718</v>
      </c>
      <c r="AO77" t="s">
        <v>1718</v>
      </c>
      <c r="AP77" t="s">
        <v>1718</v>
      </c>
      <c r="AQ77" t="s">
        <v>1718</v>
      </c>
      <c r="AR77" t="s">
        <v>1718</v>
      </c>
      <c r="AS77" t="s">
        <v>1718</v>
      </c>
      <c r="AT77" t="s">
        <v>1718</v>
      </c>
      <c r="AU77" t="s">
        <v>1718</v>
      </c>
      <c r="AV77" t="str">
        <f>VLOOKUP(D77,DATA_SISTEMA!$A$1:$Q$506,12,FALSE)</f>
        <v>CHICLAYO</v>
      </c>
      <c r="AW77" t="str">
        <f>VLOOKUP(D77,DATA_SISTEMA!$A$1:$Q$506,11,FALSE)</f>
        <v>CHICLAYO</v>
      </c>
      <c r="AX77" t="str">
        <f>VLOOKUP(D77,DATA_SISTEMA!$A$1:$Q$506,10,FALSE)</f>
        <v>LAMBAYEQUE</v>
      </c>
      <c r="AY77" t="s">
        <v>1718</v>
      </c>
      <c r="AZ77" t="s">
        <v>5028</v>
      </c>
      <c r="BA77" t="s">
        <v>1718</v>
      </c>
      <c r="BB77" t="s">
        <v>5028</v>
      </c>
      <c r="BC77" t="s">
        <v>1718</v>
      </c>
      <c r="BD77" t="s">
        <v>5028</v>
      </c>
      <c r="BE77" t="s">
        <v>1718</v>
      </c>
      <c r="BF77" s="34" t="s">
        <v>2104</v>
      </c>
      <c r="BG77" s="24">
        <v>67.5</v>
      </c>
    </row>
    <row r="78" spans="1:59" x14ac:dyDescent="0.25">
      <c r="A78" s="4">
        <v>77</v>
      </c>
      <c r="B78" s="33" t="s">
        <v>1719</v>
      </c>
      <c r="C78" s="24" t="s">
        <v>1796</v>
      </c>
      <c r="D78" s="40" t="s">
        <v>4598</v>
      </c>
      <c r="E78" s="24" t="s">
        <v>691</v>
      </c>
      <c r="F78" s="36" t="s">
        <v>1718</v>
      </c>
      <c r="G78" s="24">
        <v>978505368</v>
      </c>
      <c r="H78" t="str">
        <f>VLOOKUP(D78,DATA_SISTEMA!$A$1:$Q$506,13,FALSE)</f>
        <v>DIEGO FERRÉ 123 URB. EL PORVENIR</v>
      </c>
      <c r="I78" t="str">
        <f>VLOOKUP(D78,DATA_SISTEMA!$A$1:$Q$506,7,FALSE)</f>
        <v>2001-01-17</v>
      </c>
      <c r="J78" s="32" t="s">
        <v>1718</v>
      </c>
      <c r="K78" s="32" t="s">
        <v>1718</v>
      </c>
      <c r="L78" s="32" t="s">
        <v>1718</v>
      </c>
      <c r="M78">
        <v>26</v>
      </c>
      <c r="N78">
        <v>0</v>
      </c>
      <c r="O78" s="32" t="str">
        <f t="shared" si="1"/>
        <v>770020261X</v>
      </c>
      <c r="P78" s="32" t="s">
        <v>1718</v>
      </c>
      <c r="Q78" s="32" t="s">
        <v>1718</v>
      </c>
      <c r="R78" s="32" t="s">
        <v>2110</v>
      </c>
      <c r="S78" s="32" t="s">
        <v>5030</v>
      </c>
      <c r="T78" t="str">
        <f>VLOOKUP(D78,DATA_SISTEMA!$A$1:$Q$506,9,FALSE)</f>
        <v>M</v>
      </c>
      <c r="U78" s="32" t="s">
        <v>2106</v>
      </c>
      <c r="V78" s="32" t="s">
        <v>1718</v>
      </c>
      <c r="W78" s="37" t="s">
        <v>5028</v>
      </c>
      <c r="X78" s="32" t="s">
        <v>4522</v>
      </c>
      <c r="Y78" s="32" t="s">
        <v>1718</v>
      </c>
      <c r="Z78" s="32" t="s">
        <v>1718</v>
      </c>
      <c r="AA78" s="32" t="s">
        <v>5028</v>
      </c>
      <c r="AB78" s="32" t="s">
        <v>1718</v>
      </c>
      <c r="AC78" s="32" t="s">
        <v>1718</v>
      </c>
      <c r="AD78" s="32" t="s">
        <v>1718</v>
      </c>
      <c r="AE78" s="32" t="s">
        <v>1718</v>
      </c>
      <c r="AF78" s="32" t="s">
        <v>1718</v>
      </c>
      <c r="AG78" s="32" t="s">
        <v>1718</v>
      </c>
      <c r="AH78" s="32" t="s">
        <v>2107</v>
      </c>
      <c r="AI78" s="24" t="s">
        <v>1377</v>
      </c>
      <c r="AJ78" s="24" t="s">
        <v>963</v>
      </c>
      <c r="AK78" s="24" t="s">
        <v>977</v>
      </c>
      <c r="AL78" s="24">
        <v>71038489</v>
      </c>
      <c r="AM78" t="s">
        <v>1718</v>
      </c>
      <c r="AN78" t="s">
        <v>1718</v>
      </c>
      <c r="AO78" t="s">
        <v>1718</v>
      </c>
      <c r="AP78" t="s">
        <v>1718</v>
      </c>
      <c r="AQ78" t="s">
        <v>1718</v>
      </c>
      <c r="AR78" t="s">
        <v>1718</v>
      </c>
      <c r="AS78" t="s">
        <v>1718</v>
      </c>
      <c r="AT78" t="s">
        <v>1718</v>
      </c>
      <c r="AU78" t="s">
        <v>1718</v>
      </c>
      <c r="AV78" t="str">
        <f>VLOOKUP(D78,DATA_SISTEMA!$A$1:$Q$506,12,FALSE)</f>
        <v>CHICLAYO</v>
      </c>
      <c r="AW78" t="str">
        <f>VLOOKUP(D78,DATA_SISTEMA!$A$1:$Q$506,11,FALSE)</f>
        <v>CHICLAYO</v>
      </c>
      <c r="AX78" t="str">
        <f>VLOOKUP(D78,DATA_SISTEMA!$A$1:$Q$506,10,FALSE)</f>
        <v>LAMBAYEQUE</v>
      </c>
      <c r="AY78" t="s">
        <v>1718</v>
      </c>
      <c r="AZ78" t="s">
        <v>5028</v>
      </c>
      <c r="BA78" t="s">
        <v>1718</v>
      </c>
      <c r="BB78" t="s">
        <v>5028</v>
      </c>
      <c r="BC78" t="s">
        <v>1718</v>
      </c>
      <c r="BD78" t="s">
        <v>5028</v>
      </c>
      <c r="BE78" t="s">
        <v>1718</v>
      </c>
      <c r="BF78" s="34" t="s">
        <v>2104</v>
      </c>
      <c r="BG78" s="24">
        <v>67</v>
      </c>
    </row>
    <row r="79" spans="1:59" x14ac:dyDescent="0.25">
      <c r="A79" s="4">
        <v>78</v>
      </c>
      <c r="B79" s="33" t="s">
        <v>1719</v>
      </c>
      <c r="C79" s="24" t="s">
        <v>1797</v>
      </c>
      <c r="D79" s="40" t="s">
        <v>4599</v>
      </c>
      <c r="E79" s="24" t="s">
        <v>693</v>
      </c>
      <c r="F79" s="36" t="s">
        <v>1718</v>
      </c>
      <c r="G79" s="24">
        <v>920407141</v>
      </c>
      <c r="H79" t="str">
        <f>VLOOKUP(D79,DATA_SISTEMA!$A$1:$Q$506,13,FALSE)</f>
        <v>EL PADRE</v>
      </c>
      <c r="I79" t="str">
        <f>VLOOKUP(D79,DATA_SISTEMA!$A$1:$Q$506,7,FALSE)</f>
        <v>2003-06-28</v>
      </c>
      <c r="J79" s="32" t="s">
        <v>1718</v>
      </c>
      <c r="K79" s="32" t="s">
        <v>1718</v>
      </c>
      <c r="L79" s="32" t="s">
        <v>1718</v>
      </c>
      <c r="M79">
        <v>26</v>
      </c>
      <c r="N79">
        <v>0</v>
      </c>
      <c r="O79" s="32" t="str">
        <f t="shared" si="1"/>
        <v>780020261X</v>
      </c>
      <c r="P79" s="32" t="s">
        <v>1718</v>
      </c>
      <c r="Q79" s="32" t="s">
        <v>1718</v>
      </c>
      <c r="R79" s="32" t="s">
        <v>2110</v>
      </c>
      <c r="S79" s="32" t="s">
        <v>5030</v>
      </c>
      <c r="T79" t="str">
        <f>VLOOKUP(D79,DATA_SISTEMA!$A$1:$Q$506,9,FALSE)</f>
        <v>M</v>
      </c>
      <c r="U79" s="32" t="s">
        <v>2106</v>
      </c>
      <c r="V79" s="32" t="s">
        <v>1718</v>
      </c>
      <c r="W79" s="37" t="s">
        <v>5028</v>
      </c>
      <c r="X79" s="32" t="s">
        <v>4522</v>
      </c>
      <c r="Y79" s="32" t="s">
        <v>1718</v>
      </c>
      <c r="Z79" s="32" t="s">
        <v>1718</v>
      </c>
      <c r="AA79" s="32" t="s">
        <v>5028</v>
      </c>
      <c r="AB79" s="32" t="s">
        <v>1718</v>
      </c>
      <c r="AC79" s="32" t="s">
        <v>1718</v>
      </c>
      <c r="AD79" s="32" t="s">
        <v>1718</v>
      </c>
      <c r="AE79" s="32" t="s">
        <v>1718</v>
      </c>
      <c r="AF79" s="32" t="s">
        <v>1718</v>
      </c>
      <c r="AG79" s="32" t="s">
        <v>1718</v>
      </c>
      <c r="AH79" s="32" t="s">
        <v>2107</v>
      </c>
      <c r="AI79" s="24" t="s">
        <v>1356</v>
      </c>
      <c r="AJ79" s="24" t="s">
        <v>978</v>
      </c>
      <c r="AK79" s="24" t="s">
        <v>887</v>
      </c>
      <c r="AL79" s="24">
        <v>74475031</v>
      </c>
      <c r="AM79" t="s">
        <v>1718</v>
      </c>
      <c r="AN79" t="s">
        <v>1718</v>
      </c>
      <c r="AO79" t="s">
        <v>1718</v>
      </c>
      <c r="AP79" t="s">
        <v>1718</v>
      </c>
      <c r="AQ79" t="s">
        <v>1718</v>
      </c>
      <c r="AR79" t="s">
        <v>1718</v>
      </c>
      <c r="AS79" t="s">
        <v>1718</v>
      </c>
      <c r="AT79" t="s">
        <v>1718</v>
      </c>
      <c r="AU79" t="s">
        <v>1718</v>
      </c>
      <c r="AV79" t="str">
        <f>VLOOKUP(D79,DATA_SISTEMA!$A$1:$Q$506,12,FALSE)</f>
        <v>PICSI</v>
      </c>
      <c r="AW79" t="str">
        <f>VLOOKUP(D79,DATA_SISTEMA!$A$1:$Q$506,11,FALSE)</f>
        <v>CHICLAYO</v>
      </c>
      <c r="AX79" t="str">
        <f>VLOOKUP(D79,DATA_SISTEMA!$A$1:$Q$506,10,FALSE)</f>
        <v>LAMBAYEQUE</v>
      </c>
      <c r="AY79" t="s">
        <v>1718</v>
      </c>
      <c r="AZ79" t="s">
        <v>5028</v>
      </c>
      <c r="BA79" t="s">
        <v>1718</v>
      </c>
      <c r="BB79" t="s">
        <v>5028</v>
      </c>
      <c r="BC79" t="s">
        <v>1718</v>
      </c>
      <c r="BD79" t="s">
        <v>5028</v>
      </c>
      <c r="BE79" t="s">
        <v>1718</v>
      </c>
      <c r="BF79" s="34" t="s">
        <v>2104</v>
      </c>
      <c r="BG79" s="24">
        <v>66</v>
      </c>
    </row>
    <row r="80" spans="1:59" x14ac:dyDescent="0.25">
      <c r="A80" s="4">
        <v>79</v>
      </c>
      <c r="B80" s="33" t="s">
        <v>1719</v>
      </c>
      <c r="C80" s="24" t="s">
        <v>1798</v>
      </c>
      <c r="D80" s="40" t="s">
        <v>4600</v>
      </c>
      <c r="E80" s="24" t="s">
        <v>695</v>
      </c>
      <c r="F80" s="36" t="s">
        <v>1718</v>
      </c>
      <c r="G80" s="24">
        <v>900531365</v>
      </c>
      <c r="H80" t="str">
        <f>VLOOKUP(D80,DATA_SISTEMA!$A$1:$Q$506,13,FALSE)</f>
        <v>CALLE CUETO N° 735</v>
      </c>
      <c r="I80" t="str">
        <f>VLOOKUP(D80,DATA_SISTEMA!$A$1:$Q$506,7,FALSE)</f>
        <v>1994-06-01</v>
      </c>
      <c r="J80" s="32" t="s">
        <v>1718</v>
      </c>
      <c r="K80" s="32" t="s">
        <v>1718</v>
      </c>
      <c r="L80" s="32" t="s">
        <v>1718</v>
      </c>
      <c r="M80">
        <v>26</v>
      </c>
      <c r="N80">
        <v>0</v>
      </c>
      <c r="O80" s="32" t="str">
        <f t="shared" si="1"/>
        <v>790020261X</v>
      </c>
      <c r="P80" s="32" t="s">
        <v>1718</v>
      </c>
      <c r="Q80" s="32" t="s">
        <v>1718</v>
      </c>
      <c r="R80" s="32" t="s">
        <v>2110</v>
      </c>
      <c r="S80" s="32" t="s">
        <v>5030</v>
      </c>
      <c r="T80" t="str">
        <f>VLOOKUP(D80,DATA_SISTEMA!$A$1:$Q$506,9,FALSE)</f>
        <v>M</v>
      </c>
      <c r="U80" s="32" t="s">
        <v>2106</v>
      </c>
      <c r="V80" s="32" t="s">
        <v>1718</v>
      </c>
      <c r="W80" s="37" t="s">
        <v>5028</v>
      </c>
      <c r="X80" s="32" t="s">
        <v>4522</v>
      </c>
      <c r="Y80" s="32" t="s">
        <v>1718</v>
      </c>
      <c r="Z80" s="32" t="s">
        <v>1718</v>
      </c>
      <c r="AA80" s="32" t="s">
        <v>5028</v>
      </c>
      <c r="AB80" s="32" t="s">
        <v>1718</v>
      </c>
      <c r="AC80" s="32" t="s">
        <v>1718</v>
      </c>
      <c r="AD80" s="32" t="s">
        <v>1718</v>
      </c>
      <c r="AE80" s="32" t="s">
        <v>1718</v>
      </c>
      <c r="AF80" s="32" t="s">
        <v>1718</v>
      </c>
      <c r="AG80" s="32" t="s">
        <v>1718</v>
      </c>
      <c r="AH80" s="32" t="s">
        <v>2107</v>
      </c>
      <c r="AI80" s="24" t="s">
        <v>1378</v>
      </c>
      <c r="AJ80" s="24" t="s">
        <v>895</v>
      </c>
      <c r="AK80" s="24" t="s">
        <v>978</v>
      </c>
      <c r="AL80" s="24">
        <v>76377028</v>
      </c>
      <c r="AM80" t="s">
        <v>1718</v>
      </c>
      <c r="AN80" t="s">
        <v>1718</v>
      </c>
      <c r="AO80" t="s">
        <v>1718</v>
      </c>
      <c r="AP80" t="s">
        <v>1718</v>
      </c>
      <c r="AQ80" t="s">
        <v>1718</v>
      </c>
      <c r="AR80" t="s">
        <v>1718</v>
      </c>
      <c r="AS80" t="s">
        <v>1718</v>
      </c>
      <c r="AT80" t="s">
        <v>1718</v>
      </c>
      <c r="AU80" t="s">
        <v>1718</v>
      </c>
      <c r="AV80" t="str">
        <f>VLOOKUP(D80,DATA_SISTEMA!$A$1:$Q$506,12,FALSE)</f>
        <v>TUCUME</v>
      </c>
      <c r="AW80" t="str">
        <f>VLOOKUP(D80,DATA_SISTEMA!$A$1:$Q$506,11,FALSE)</f>
        <v>LAMBAYEQUE</v>
      </c>
      <c r="AX80" t="str">
        <f>VLOOKUP(D80,DATA_SISTEMA!$A$1:$Q$506,10,FALSE)</f>
        <v>LAMBAYEQUE</v>
      </c>
      <c r="AY80" t="s">
        <v>1718</v>
      </c>
      <c r="AZ80" t="s">
        <v>5028</v>
      </c>
      <c r="BA80" t="s">
        <v>1718</v>
      </c>
      <c r="BB80" t="s">
        <v>5028</v>
      </c>
      <c r="BC80" t="s">
        <v>1718</v>
      </c>
      <c r="BD80" t="s">
        <v>5028</v>
      </c>
      <c r="BE80" t="s">
        <v>1718</v>
      </c>
      <c r="BF80" s="34" t="s">
        <v>2104</v>
      </c>
      <c r="BG80" s="24">
        <v>65.5</v>
      </c>
    </row>
    <row r="81" spans="1:59" x14ac:dyDescent="0.25">
      <c r="A81" s="4">
        <v>80</v>
      </c>
      <c r="B81" s="33" t="s">
        <v>1719</v>
      </c>
      <c r="C81" s="24" t="s">
        <v>1799</v>
      </c>
      <c r="D81" s="40" t="s">
        <v>4601</v>
      </c>
      <c r="E81" s="24" t="s">
        <v>697</v>
      </c>
      <c r="F81" s="36" t="s">
        <v>1718</v>
      </c>
      <c r="G81" s="24">
        <v>936616909</v>
      </c>
      <c r="H81" t="str">
        <f>VLOOKUP(D81,DATA_SISTEMA!$A$1:$Q$506,13,FALSE)</f>
        <v>AV CIRCUNVALACION 1687</v>
      </c>
      <c r="I81" t="str">
        <f>VLOOKUP(D81,DATA_SISTEMA!$A$1:$Q$506,7,FALSE)</f>
        <v>1998-01-13</v>
      </c>
      <c r="J81" s="32" t="s">
        <v>1718</v>
      </c>
      <c r="K81" s="32" t="s">
        <v>1718</v>
      </c>
      <c r="L81" s="32" t="s">
        <v>1718</v>
      </c>
      <c r="M81">
        <v>26</v>
      </c>
      <c r="N81">
        <v>0</v>
      </c>
      <c r="O81" s="32" t="str">
        <f t="shared" si="1"/>
        <v>800020261X</v>
      </c>
      <c r="P81" s="32" t="s">
        <v>1718</v>
      </c>
      <c r="Q81" s="32" t="s">
        <v>1718</v>
      </c>
      <c r="R81" s="32" t="s">
        <v>2110</v>
      </c>
      <c r="S81" s="32" t="s">
        <v>5030</v>
      </c>
      <c r="T81" t="str">
        <f>VLOOKUP(D81,DATA_SISTEMA!$A$1:$Q$506,9,FALSE)</f>
        <v>M</v>
      </c>
      <c r="U81" s="32" t="s">
        <v>2106</v>
      </c>
      <c r="V81" s="32" t="s">
        <v>1718</v>
      </c>
      <c r="W81" s="37" t="s">
        <v>5028</v>
      </c>
      <c r="X81" s="32" t="s">
        <v>4522</v>
      </c>
      <c r="Y81" s="32" t="s">
        <v>1718</v>
      </c>
      <c r="Z81" s="32" t="s">
        <v>1718</v>
      </c>
      <c r="AA81" s="32" t="s">
        <v>5028</v>
      </c>
      <c r="AB81" s="32" t="s">
        <v>1718</v>
      </c>
      <c r="AC81" s="32" t="s">
        <v>1718</v>
      </c>
      <c r="AD81" s="32" t="s">
        <v>1718</v>
      </c>
      <c r="AE81" s="32" t="s">
        <v>1718</v>
      </c>
      <c r="AF81" s="32" t="s">
        <v>1718</v>
      </c>
      <c r="AG81" s="32" t="s">
        <v>1718</v>
      </c>
      <c r="AH81" s="32" t="s">
        <v>2107</v>
      </c>
      <c r="AI81" s="24" t="s">
        <v>1379</v>
      </c>
      <c r="AJ81" s="24" t="s">
        <v>979</v>
      </c>
      <c r="AK81" s="24" t="s">
        <v>980</v>
      </c>
      <c r="AL81" s="24">
        <v>70069728</v>
      </c>
      <c r="AM81" t="s">
        <v>1718</v>
      </c>
      <c r="AN81" t="s">
        <v>1718</v>
      </c>
      <c r="AO81" t="s">
        <v>1718</v>
      </c>
      <c r="AP81" t="s">
        <v>1718</v>
      </c>
      <c r="AQ81" t="s">
        <v>1718</v>
      </c>
      <c r="AR81" t="s">
        <v>1718</v>
      </c>
      <c r="AS81" t="s">
        <v>1718</v>
      </c>
      <c r="AT81" t="s">
        <v>1718</v>
      </c>
      <c r="AU81" t="s">
        <v>1718</v>
      </c>
      <c r="AV81" t="str">
        <f>VLOOKUP(D81,DATA_SISTEMA!$A$1:$Q$506,12,FALSE)</f>
        <v>BAGUA</v>
      </c>
      <c r="AW81" t="str">
        <f>VLOOKUP(D81,DATA_SISTEMA!$A$1:$Q$506,11,FALSE)</f>
        <v>BAGUA</v>
      </c>
      <c r="AX81" t="str">
        <f>VLOOKUP(D81,DATA_SISTEMA!$A$1:$Q$506,10,FALSE)</f>
        <v>AMAZONAS</v>
      </c>
      <c r="AY81" t="s">
        <v>1718</v>
      </c>
      <c r="AZ81" t="s">
        <v>5028</v>
      </c>
      <c r="BA81" t="s">
        <v>1718</v>
      </c>
      <c r="BB81" t="s">
        <v>5028</v>
      </c>
      <c r="BC81" t="s">
        <v>1718</v>
      </c>
      <c r="BD81" t="s">
        <v>5028</v>
      </c>
      <c r="BE81" t="s">
        <v>1718</v>
      </c>
      <c r="BF81" s="34" t="s">
        <v>2104</v>
      </c>
      <c r="BG81" s="24">
        <v>65.5</v>
      </c>
    </row>
    <row r="82" spans="1:59" x14ac:dyDescent="0.25">
      <c r="A82" s="4">
        <v>81</v>
      </c>
      <c r="B82" s="33" t="s">
        <v>1719</v>
      </c>
      <c r="C82" s="24" t="s">
        <v>1800</v>
      </c>
      <c r="D82" s="40" t="s">
        <v>4602</v>
      </c>
      <c r="E82" s="24" t="s">
        <v>699</v>
      </c>
      <c r="F82" s="36" t="s">
        <v>1718</v>
      </c>
      <c r="G82" s="24">
        <v>958547673</v>
      </c>
      <c r="H82" t="str">
        <f>VLOOKUP(D82,DATA_SISTEMA!$A$1:$Q$506,13,FALSE)</f>
        <v>CP PAMPA LA CALZADA</v>
      </c>
      <c r="I82" t="str">
        <f>VLOOKUP(D82,DATA_SISTEMA!$A$1:$Q$506,7,FALSE)</f>
        <v>1997-05-20</v>
      </c>
      <c r="J82" s="32" t="s">
        <v>1718</v>
      </c>
      <c r="K82" s="32" t="s">
        <v>1718</v>
      </c>
      <c r="L82" s="32" t="s">
        <v>1718</v>
      </c>
      <c r="M82">
        <v>26</v>
      </c>
      <c r="N82">
        <v>0</v>
      </c>
      <c r="O82" s="32" t="str">
        <f t="shared" si="1"/>
        <v>810020261X</v>
      </c>
      <c r="P82" s="32" t="s">
        <v>1718</v>
      </c>
      <c r="Q82" s="32" t="s">
        <v>1718</v>
      </c>
      <c r="R82" s="32" t="s">
        <v>2110</v>
      </c>
      <c r="S82" s="32" t="s">
        <v>5030</v>
      </c>
      <c r="T82" t="str">
        <f>VLOOKUP(D82,DATA_SISTEMA!$A$1:$Q$506,9,FALSE)</f>
        <v>M</v>
      </c>
      <c r="U82" s="32" t="s">
        <v>2106</v>
      </c>
      <c r="V82" s="32" t="s">
        <v>1718</v>
      </c>
      <c r="W82" s="37" t="s">
        <v>5028</v>
      </c>
      <c r="X82" s="32" t="s">
        <v>4522</v>
      </c>
      <c r="Y82" s="32" t="s">
        <v>1718</v>
      </c>
      <c r="Z82" s="32" t="s">
        <v>1718</v>
      </c>
      <c r="AA82" s="32" t="s">
        <v>5028</v>
      </c>
      <c r="AB82" s="32" t="s">
        <v>1718</v>
      </c>
      <c r="AC82" s="32" t="s">
        <v>1718</v>
      </c>
      <c r="AD82" s="32" t="s">
        <v>1718</v>
      </c>
      <c r="AE82" s="32" t="s">
        <v>1718</v>
      </c>
      <c r="AF82" s="32" t="s">
        <v>1718</v>
      </c>
      <c r="AG82" s="32" t="s">
        <v>1718</v>
      </c>
      <c r="AH82" s="32" t="s">
        <v>2107</v>
      </c>
      <c r="AI82" s="24" t="s">
        <v>1380</v>
      </c>
      <c r="AJ82" s="24" t="s">
        <v>981</v>
      </c>
      <c r="AK82" s="24" t="s">
        <v>982</v>
      </c>
      <c r="AL82" s="24">
        <v>72127985</v>
      </c>
      <c r="AM82" t="s">
        <v>1718</v>
      </c>
      <c r="AN82" t="s">
        <v>1718</v>
      </c>
      <c r="AO82" t="s">
        <v>1718</v>
      </c>
      <c r="AP82" t="s">
        <v>1718</v>
      </c>
      <c r="AQ82" t="s">
        <v>1718</v>
      </c>
      <c r="AR82" t="s">
        <v>1718</v>
      </c>
      <c r="AS82" t="s">
        <v>1718</v>
      </c>
      <c r="AT82" t="s">
        <v>1718</v>
      </c>
      <c r="AU82" t="s">
        <v>1718</v>
      </c>
      <c r="AV82" t="str">
        <f>VLOOKUP(D82,DATA_SISTEMA!$A$1:$Q$506,12,FALSE)</f>
        <v>LLAPA</v>
      </c>
      <c r="AW82" t="str">
        <f>VLOOKUP(D82,DATA_SISTEMA!$A$1:$Q$506,11,FALSE)</f>
        <v>SAN MIGUEL</v>
      </c>
      <c r="AX82" t="str">
        <f>VLOOKUP(D82,DATA_SISTEMA!$A$1:$Q$506,10,FALSE)</f>
        <v>CAJAMARCA</v>
      </c>
      <c r="AY82" t="s">
        <v>1718</v>
      </c>
      <c r="AZ82" t="s">
        <v>5028</v>
      </c>
      <c r="BA82" t="s">
        <v>1718</v>
      </c>
      <c r="BB82" t="s">
        <v>5028</v>
      </c>
      <c r="BC82" t="s">
        <v>1718</v>
      </c>
      <c r="BD82" t="s">
        <v>5028</v>
      </c>
      <c r="BE82" t="s">
        <v>1718</v>
      </c>
      <c r="BF82" s="34" t="s">
        <v>2104</v>
      </c>
      <c r="BG82" s="24">
        <v>65.5</v>
      </c>
    </row>
    <row r="83" spans="1:59" x14ac:dyDescent="0.25">
      <c r="A83" s="4">
        <v>82</v>
      </c>
      <c r="B83" s="33" t="s">
        <v>1719</v>
      </c>
      <c r="C83" s="24" t="s">
        <v>1801</v>
      </c>
      <c r="D83" s="40" t="s">
        <v>4603</v>
      </c>
      <c r="E83" s="24" t="s">
        <v>701</v>
      </c>
      <c r="F83" s="36" t="s">
        <v>1718</v>
      </c>
      <c r="G83" s="24">
        <v>945098819</v>
      </c>
      <c r="H83" t="str">
        <f>VLOOKUP(D83,DATA_SISTEMA!$A$1:$Q$506,13,FALSE)</f>
        <v>PARDO MIGUEL S/N</v>
      </c>
      <c r="I83" t="str">
        <f>VLOOKUP(D83,DATA_SISTEMA!$A$1:$Q$506,7,FALSE)</f>
        <v>1986-06-14</v>
      </c>
      <c r="J83" s="32" t="s">
        <v>1718</v>
      </c>
      <c r="K83" s="32" t="s">
        <v>1718</v>
      </c>
      <c r="L83" s="32" t="s">
        <v>1718</v>
      </c>
      <c r="M83">
        <v>26</v>
      </c>
      <c r="N83">
        <v>0</v>
      </c>
      <c r="O83" s="32" t="str">
        <f t="shared" si="1"/>
        <v>820020261X</v>
      </c>
      <c r="P83" s="32" t="s">
        <v>1718</v>
      </c>
      <c r="Q83" s="32" t="s">
        <v>1718</v>
      </c>
      <c r="R83" s="32" t="s">
        <v>2110</v>
      </c>
      <c r="S83" s="32" t="s">
        <v>5030</v>
      </c>
      <c r="T83" t="str">
        <f>VLOOKUP(D83,DATA_SISTEMA!$A$1:$Q$506,9,FALSE)</f>
        <v>M</v>
      </c>
      <c r="U83" s="32" t="s">
        <v>2106</v>
      </c>
      <c r="V83" s="32" t="s">
        <v>1718</v>
      </c>
      <c r="W83" s="37" t="s">
        <v>5028</v>
      </c>
      <c r="X83" s="32" t="s">
        <v>4522</v>
      </c>
      <c r="Y83" s="32" t="s">
        <v>1718</v>
      </c>
      <c r="Z83" s="32" t="s">
        <v>1718</v>
      </c>
      <c r="AA83" s="32" t="s">
        <v>5028</v>
      </c>
      <c r="AB83" s="32" t="s">
        <v>1718</v>
      </c>
      <c r="AC83" s="32" t="s">
        <v>1718</v>
      </c>
      <c r="AD83" s="32" t="s">
        <v>1718</v>
      </c>
      <c r="AE83" s="32" t="s">
        <v>1718</v>
      </c>
      <c r="AF83" s="32" t="s">
        <v>1718</v>
      </c>
      <c r="AG83" s="32" t="s">
        <v>1718</v>
      </c>
      <c r="AH83" s="32" t="s">
        <v>2107</v>
      </c>
      <c r="AI83" s="24" t="s">
        <v>1381</v>
      </c>
      <c r="AJ83" s="24" t="s">
        <v>983</v>
      </c>
      <c r="AK83" s="24" t="s">
        <v>984</v>
      </c>
      <c r="AL83" s="24">
        <v>43895655</v>
      </c>
      <c r="AM83" t="s">
        <v>1718</v>
      </c>
      <c r="AN83" t="s">
        <v>1718</v>
      </c>
      <c r="AO83" t="s">
        <v>1718</v>
      </c>
      <c r="AP83" t="s">
        <v>1718</v>
      </c>
      <c r="AQ83" t="s">
        <v>1718</v>
      </c>
      <c r="AR83" t="s">
        <v>1718</v>
      </c>
      <c r="AS83" t="s">
        <v>1718</v>
      </c>
      <c r="AT83" t="s">
        <v>1718</v>
      </c>
      <c r="AU83" t="s">
        <v>1718</v>
      </c>
      <c r="AV83" t="str">
        <f>VLOOKUP(D83,DATA_SISTEMA!$A$1:$Q$506,12,FALSE)</f>
        <v>BELLAVISTA</v>
      </c>
      <c r="AW83" t="str">
        <f>VLOOKUP(D83,DATA_SISTEMA!$A$1:$Q$506,11,FALSE)</f>
        <v>JAEN</v>
      </c>
      <c r="AX83" t="str">
        <f>VLOOKUP(D83,DATA_SISTEMA!$A$1:$Q$506,10,FALSE)</f>
        <v>CAJAMARCA</v>
      </c>
      <c r="AY83" t="s">
        <v>1718</v>
      </c>
      <c r="AZ83" t="s">
        <v>5028</v>
      </c>
      <c r="BA83" t="s">
        <v>1718</v>
      </c>
      <c r="BB83" t="s">
        <v>5028</v>
      </c>
      <c r="BC83" t="s">
        <v>1718</v>
      </c>
      <c r="BD83" t="s">
        <v>5028</v>
      </c>
      <c r="BE83" t="s">
        <v>1718</v>
      </c>
      <c r="BF83" s="34" t="s">
        <v>2104</v>
      </c>
      <c r="BG83" s="24">
        <v>65.5</v>
      </c>
    </row>
    <row r="84" spans="1:59" x14ac:dyDescent="0.25">
      <c r="A84" s="4">
        <v>83</v>
      </c>
      <c r="B84" s="33" t="s">
        <v>1719</v>
      </c>
      <c r="C84" s="24" t="s">
        <v>1802</v>
      </c>
      <c r="D84" s="40" t="s">
        <v>4604</v>
      </c>
      <c r="E84" s="24" t="s">
        <v>703</v>
      </c>
      <c r="F84" s="36" t="s">
        <v>1718</v>
      </c>
      <c r="G84" s="24">
        <v>979461317</v>
      </c>
      <c r="H84" t="str">
        <f>VLOOKUP(D84,DATA_SISTEMA!$A$1:$Q$506,13,FALSE)</f>
        <v>CALLE 14 MZ B10 LOTE 5, URB. SOL DE PIURA</v>
      </c>
      <c r="I84" t="str">
        <f>VLOOKUP(D84,DATA_SISTEMA!$A$1:$Q$506,7,FALSE)</f>
        <v>1979-02-02</v>
      </c>
      <c r="J84" s="32" t="s">
        <v>1718</v>
      </c>
      <c r="K84" s="32" t="s">
        <v>1718</v>
      </c>
      <c r="L84" s="32" t="s">
        <v>1718</v>
      </c>
      <c r="M84">
        <v>26</v>
      </c>
      <c r="N84">
        <v>0</v>
      </c>
      <c r="O84" s="32" t="str">
        <f t="shared" si="1"/>
        <v>830020261X</v>
      </c>
      <c r="P84" s="32" t="s">
        <v>1718</v>
      </c>
      <c r="Q84" s="32" t="s">
        <v>1718</v>
      </c>
      <c r="R84" s="32" t="s">
        <v>2110</v>
      </c>
      <c r="S84" s="32" t="s">
        <v>5030</v>
      </c>
      <c r="T84" t="str">
        <f>VLOOKUP(D84,DATA_SISTEMA!$A$1:$Q$506,9,FALSE)</f>
        <v>M</v>
      </c>
      <c r="U84" s="32" t="s">
        <v>2106</v>
      </c>
      <c r="V84" s="32" t="s">
        <v>1718</v>
      </c>
      <c r="W84" s="37" t="s">
        <v>5028</v>
      </c>
      <c r="X84" s="32" t="s">
        <v>4522</v>
      </c>
      <c r="Y84" s="32" t="s">
        <v>1718</v>
      </c>
      <c r="Z84" s="32" t="s">
        <v>1718</v>
      </c>
      <c r="AA84" s="32" t="s">
        <v>5028</v>
      </c>
      <c r="AB84" s="32" t="s">
        <v>1718</v>
      </c>
      <c r="AC84" s="32" t="s">
        <v>1718</v>
      </c>
      <c r="AD84" s="32" t="s">
        <v>1718</v>
      </c>
      <c r="AE84" s="32" t="s">
        <v>1718</v>
      </c>
      <c r="AF84" s="32" t="s">
        <v>1718</v>
      </c>
      <c r="AG84" s="32" t="s">
        <v>1718</v>
      </c>
      <c r="AH84" s="32" t="s">
        <v>2107</v>
      </c>
      <c r="AI84" s="24" t="s">
        <v>1382</v>
      </c>
      <c r="AJ84" s="24" t="s">
        <v>895</v>
      </c>
      <c r="AK84" s="24" t="s">
        <v>938</v>
      </c>
      <c r="AL84" s="24">
        <v>40769239</v>
      </c>
      <c r="AM84" t="s">
        <v>1718</v>
      </c>
      <c r="AN84" t="s">
        <v>1718</v>
      </c>
      <c r="AO84" t="s">
        <v>1718</v>
      </c>
      <c r="AP84" t="s">
        <v>1718</v>
      </c>
      <c r="AQ84" t="s">
        <v>1718</v>
      </c>
      <c r="AR84" t="s">
        <v>1718</v>
      </c>
      <c r="AS84" t="s">
        <v>1718</v>
      </c>
      <c r="AT84" t="s">
        <v>1718</v>
      </c>
      <c r="AU84" t="s">
        <v>1718</v>
      </c>
      <c r="AV84" t="str">
        <f>VLOOKUP(D84,DATA_SISTEMA!$A$1:$Q$506,12,FALSE)</f>
        <v>VEINTISEIS DE OCTUBLE</v>
      </c>
      <c r="AW84" t="str">
        <f>VLOOKUP(D84,DATA_SISTEMA!$A$1:$Q$506,11,FALSE)</f>
        <v>PIURA</v>
      </c>
      <c r="AX84" t="str">
        <f>VLOOKUP(D84,DATA_SISTEMA!$A$1:$Q$506,10,FALSE)</f>
        <v>PIURA</v>
      </c>
      <c r="AY84" t="s">
        <v>1718</v>
      </c>
      <c r="AZ84" t="s">
        <v>5028</v>
      </c>
      <c r="BA84" t="s">
        <v>1718</v>
      </c>
      <c r="BB84" t="s">
        <v>5028</v>
      </c>
      <c r="BC84" t="s">
        <v>1718</v>
      </c>
      <c r="BD84" t="s">
        <v>5028</v>
      </c>
      <c r="BE84" t="s">
        <v>1718</v>
      </c>
      <c r="BF84" s="34" t="s">
        <v>2104</v>
      </c>
      <c r="BG84" s="24">
        <v>65</v>
      </c>
    </row>
    <row r="85" spans="1:59" x14ac:dyDescent="0.25">
      <c r="A85" s="4">
        <v>84</v>
      </c>
      <c r="B85" s="33" t="s">
        <v>1719</v>
      </c>
      <c r="C85" s="24" t="s">
        <v>1803</v>
      </c>
      <c r="D85" s="40" t="s">
        <v>4605</v>
      </c>
      <c r="E85" s="24" t="s">
        <v>705</v>
      </c>
      <c r="F85" s="36" t="s">
        <v>1718</v>
      </c>
      <c r="G85" s="24">
        <v>952709693</v>
      </c>
      <c r="H85" t="str">
        <f>VLOOKUP(D85,DATA_SISTEMA!$A$1:$Q$506,13,FALSE)</f>
        <v>CALLE MIGUEL GRAU 850 PJOVEN FEDERICO VILLARREAL</v>
      </c>
      <c r="I85" t="str">
        <f>VLOOKUP(D85,DATA_SISTEMA!$A$1:$Q$506,7,FALSE)</f>
        <v>1994-07-21</v>
      </c>
      <c r="J85" s="32" t="s">
        <v>1718</v>
      </c>
      <c r="K85" s="32" t="s">
        <v>1718</v>
      </c>
      <c r="L85" s="32" t="s">
        <v>1718</v>
      </c>
      <c r="M85">
        <v>26</v>
      </c>
      <c r="N85">
        <v>0</v>
      </c>
      <c r="O85" s="32" t="str">
        <f t="shared" si="1"/>
        <v>840020261X</v>
      </c>
      <c r="P85" s="32" t="s">
        <v>1718</v>
      </c>
      <c r="Q85" s="32" t="s">
        <v>1718</v>
      </c>
      <c r="R85" s="32" t="s">
        <v>2110</v>
      </c>
      <c r="S85" s="32" t="s">
        <v>5030</v>
      </c>
      <c r="T85" t="str">
        <f>VLOOKUP(D85,DATA_SISTEMA!$A$1:$Q$506,9,FALSE)</f>
        <v>M</v>
      </c>
      <c r="U85" s="32" t="s">
        <v>2106</v>
      </c>
      <c r="V85" s="32" t="s">
        <v>1718</v>
      </c>
      <c r="W85" s="37" t="s">
        <v>5028</v>
      </c>
      <c r="X85" s="32" t="s">
        <v>4522</v>
      </c>
      <c r="Y85" s="32" t="s">
        <v>1718</v>
      </c>
      <c r="Z85" s="32" t="s">
        <v>1718</v>
      </c>
      <c r="AA85" s="32" t="s">
        <v>5028</v>
      </c>
      <c r="AB85" s="32" t="s">
        <v>1718</v>
      </c>
      <c r="AC85" s="32" t="s">
        <v>1718</v>
      </c>
      <c r="AD85" s="32" t="s">
        <v>1718</v>
      </c>
      <c r="AE85" s="32" t="s">
        <v>1718</v>
      </c>
      <c r="AF85" s="32" t="s">
        <v>1718</v>
      </c>
      <c r="AG85" s="32" t="s">
        <v>1718</v>
      </c>
      <c r="AH85" s="32" t="s">
        <v>2107</v>
      </c>
      <c r="AI85" s="24" t="s">
        <v>1383</v>
      </c>
      <c r="AJ85" s="24" t="s">
        <v>985</v>
      </c>
      <c r="AK85" s="24" t="s">
        <v>986</v>
      </c>
      <c r="AL85" s="24">
        <v>72449188</v>
      </c>
      <c r="AM85" t="s">
        <v>1718</v>
      </c>
      <c r="AN85" t="s">
        <v>1718</v>
      </c>
      <c r="AO85" t="s">
        <v>1718</v>
      </c>
      <c r="AP85" t="s">
        <v>1718</v>
      </c>
      <c r="AQ85" t="s">
        <v>1718</v>
      </c>
      <c r="AR85" t="s">
        <v>1718</v>
      </c>
      <c r="AS85" t="s">
        <v>1718</v>
      </c>
      <c r="AT85" t="s">
        <v>1718</v>
      </c>
      <c r="AU85" t="s">
        <v>1718</v>
      </c>
      <c r="AV85" t="str">
        <f>VLOOKUP(D85,DATA_SISTEMA!$A$1:$Q$506,12,FALSE)</f>
        <v>TUCUME</v>
      </c>
      <c r="AW85" t="str">
        <f>VLOOKUP(D85,DATA_SISTEMA!$A$1:$Q$506,11,FALSE)</f>
        <v>LAMBAYEQUE</v>
      </c>
      <c r="AX85" t="str">
        <f>VLOOKUP(D85,DATA_SISTEMA!$A$1:$Q$506,10,FALSE)</f>
        <v>LAMBAYEQUE</v>
      </c>
      <c r="AY85" t="s">
        <v>1718</v>
      </c>
      <c r="AZ85" t="s">
        <v>5028</v>
      </c>
      <c r="BA85" t="s">
        <v>1718</v>
      </c>
      <c r="BB85" t="s">
        <v>5028</v>
      </c>
      <c r="BC85" t="s">
        <v>1718</v>
      </c>
      <c r="BD85" t="s">
        <v>5028</v>
      </c>
      <c r="BE85" t="s">
        <v>1718</v>
      </c>
      <c r="BF85" s="34" t="s">
        <v>2104</v>
      </c>
      <c r="BG85" s="24">
        <v>65</v>
      </c>
    </row>
    <row r="86" spans="1:59" x14ac:dyDescent="0.25">
      <c r="A86" s="4">
        <v>85</v>
      </c>
      <c r="B86" s="33" t="s">
        <v>1719</v>
      </c>
      <c r="C86" s="24" t="s">
        <v>1804</v>
      </c>
      <c r="D86" s="40" t="s">
        <v>4606</v>
      </c>
      <c r="E86" s="24" t="s">
        <v>707</v>
      </c>
      <c r="F86" s="36" t="s">
        <v>1718</v>
      </c>
      <c r="G86" s="24">
        <v>969558679</v>
      </c>
      <c r="H86" t="str">
        <f>VLOOKUP(D86,DATA_SISTEMA!$A$1:$Q$506,13,FALSE)</f>
        <v>LAS AMAPOLAS MANZANA C-1 LOTE 16 URB. SAN RAMÓN - PIURA /PERÚ</v>
      </c>
      <c r="I86" t="str">
        <f>VLOOKUP(D86,DATA_SISTEMA!$A$1:$Q$506,7,FALSE)</f>
        <v>1957-11-05</v>
      </c>
      <c r="J86" s="32" t="s">
        <v>1718</v>
      </c>
      <c r="K86" s="32" t="s">
        <v>1718</v>
      </c>
      <c r="L86" s="32" t="s">
        <v>1718</v>
      </c>
      <c r="M86">
        <v>26</v>
      </c>
      <c r="N86">
        <v>0</v>
      </c>
      <c r="O86" s="32" t="str">
        <f t="shared" si="1"/>
        <v>850020261X</v>
      </c>
      <c r="P86" s="32" t="s">
        <v>1718</v>
      </c>
      <c r="Q86" s="32" t="s">
        <v>1718</v>
      </c>
      <c r="R86" s="32" t="s">
        <v>2110</v>
      </c>
      <c r="S86" s="32" t="s">
        <v>5030</v>
      </c>
      <c r="T86" t="str">
        <f>VLOOKUP(D86,DATA_SISTEMA!$A$1:$Q$506,9,FALSE)</f>
        <v>M</v>
      </c>
      <c r="U86" s="32" t="s">
        <v>2106</v>
      </c>
      <c r="V86" s="32" t="s">
        <v>1718</v>
      </c>
      <c r="W86" s="37" t="s">
        <v>5028</v>
      </c>
      <c r="X86" s="32" t="s">
        <v>4522</v>
      </c>
      <c r="Y86" s="32" t="s">
        <v>1718</v>
      </c>
      <c r="Z86" s="32" t="s">
        <v>1718</v>
      </c>
      <c r="AA86" s="32" t="s">
        <v>5028</v>
      </c>
      <c r="AB86" s="32" t="s">
        <v>1718</v>
      </c>
      <c r="AC86" s="32" t="s">
        <v>1718</v>
      </c>
      <c r="AD86" s="32" t="s">
        <v>1718</v>
      </c>
      <c r="AE86" s="32" t="s">
        <v>1718</v>
      </c>
      <c r="AF86" s="32" t="s">
        <v>1718</v>
      </c>
      <c r="AG86" s="32" t="s">
        <v>1718</v>
      </c>
      <c r="AH86" s="32" t="s">
        <v>2107</v>
      </c>
      <c r="AI86" s="24" t="s">
        <v>1384</v>
      </c>
      <c r="AJ86" s="24" t="s">
        <v>987</v>
      </c>
      <c r="AK86" s="24" t="s">
        <v>910</v>
      </c>
      <c r="AL86" s="24">
        <v>17522586</v>
      </c>
      <c r="AM86" t="s">
        <v>1718</v>
      </c>
      <c r="AN86" t="s">
        <v>1718</v>
      </c>
      <c r="AO86" t="s">
        <v>1718</v>
      </c>
      <c r="AP86" t="s">
        <v>1718</v>
      </c>
      <c r="AQ86" t="s">
        <v>1718</v>
      </c>
      <c r="AR86" t="s">
        <v>1718</v>
      </c>
      <c r="AS86" t="s">
        <v>1718</v>
      </c>
      <c r="AT86" t="s">
        <v>1718</v>
      </c>
      <c r="AU86" t="s">
        <v>1718</v>
      </c>
      <c r="AV86" t="str">
        <f>VLOOKUP(D86,DATA_SISTEMA!$A$1:$Q$506,12,FALSE)</f>
        <v>PIURA</v>
      </c>
      <c r="AW86" t="str">
        <f>VLOOKUP(D86,DATA_SISTEMA!$A$1:$Q$506,11,FALSE)</f>
        <v>PIURA</v>
      </c>
      <c r="AX86" t="str">
        <f>VLOOKUP(D86,DATA_SISTEMA!$A$1:$Q$506,10,FALSE)</f>
        <v>PIURA</v>
      </c>
      <c r="AY86" t="s">
        <v>1718</v>
      </c>
      <c r="AZ86" t="s">
        <v>5028</v>
      </c>
      <c r="BA86" t="s">
        <v>1718</v>
      </c>
      <c r="BB86" t="s">
        <v>5028</v>
      </c>
      <c r="BC86" t="s">
        <v>1718</v>
      </c>
      <c r="BD86" t="s">
        <v>5028</v>
      </c>
      <c r="BE86" t="s">
        <v>1718</v>
      </c>
      <c r="BF86" s="34" t="s">
        <v>2104</v>
      </c>
      <c r="BG86" s="24">
        <v>64.5</v>
      </c>
    </row>
    <row r="87" spans="1:59" x14ac:dyDescent="0.25">
      <c r="A87" s="4">
        <v>86</v>
      </c>
      <c r="B87" s="33" t="s">
        <v>1719</v>
      </c>
      <c r="C87" s="24" t="s">
        <v>1805</v>
      </c>
      <c r="D87" s="40" t="s">
        <v>4607</v>
      </c>
      <c r="E87" s="24" t="s">
        <v>709</v>
      </c>
      <c r="F87" s="36" t="s">
        <v>1718</v>
      </c>
      <c r="G87" s="24">
        <v>966223518</v>
      </c>
      <c r="H87" t="str">
        <f>VLOOKUP(D87,DATA_SISTEMA!$A$1:$Q$506,13,FALSE)</f>
        <v>MZ Q LOTE Nº 06 CIUDAD DEL CHOFER</v>
      </c>
      <c r="I87" t="str">
        <f>VLOOKUP(D87,DATA_SISTEMA!$A$1:$Q$506,7,FALSE)</f>
        <v>1992-10-23</v>
      </c>
      <c r="J87" s="32" t="s">
        <v>1718</v>
      </c>
      <c r="K87" s="32" t="s">
        <v>1718</v>
      </c>
      <c r="L87" s="32" t="s">
        <v>1718</v>
      </c>
      <c r="M87">
        <v>26</v>
      </c>
      <c r="N87">
        <v>0</v>
      </c>
      <c r="O87" s="32" t="str">
        <f t="shared" si="1"/>
        <v>860020261X</v>
      </c>
      <c r="P87" s="32" t="s">
        <v>1718</v>
      </c>
      <c r="Q87" s="32" t="s">
        <v>1718</v>
      </c>
      <c r="R87" s="32" t="s">
        <v>2110</v>
      </c>
      <c r="S87" s="32" t="s">
        <v>5030</v>
      </c>
      <c r="T87" t="str">
        <f>VLOOKUP(D87,DATA_SISTEMA!$A$1:$Q$506,9,FALSE)</f>
        <v>M</v>
      </c>
      <c r="U87" s="32" t="s">
        <v>2106</v>
      </c>
      <c r="V87" s="32" t="s">
        <v>1718</v>
      </c>
      <c r="W87" s="37" t="s">
        <v>5028</v>
      </c>
      <c r="X87" s="32" t="s">
        <v>4522</v>
      </c>
      <c r="Y87" s="32" t="s">
        <v>1718</v>
      </c>
      <c r="Z87" s="32" t="s">
        <v>1718</v>
      </c>
      <c r="AA87" s="32" t="s">
        <v>5028</v>
      </c>
      <c r="AB87" s="32" t="s">
        <v>1718</v>
      </c>
      <c r="AC87" s="32" t="s">
        <v>1718</v>
      </c>
      <c r="AD87" s="32" t="s">
        <v>1718</v>
      </c>
      <c r="AE87" s="32" t="s">
        <v>1718</v>
      </c>
      <c r="AF87" s="32" t="s">
        <v>1718</v>
      </c>
      <c r="AG87" s="32" t="s">
        <v>1718</v>
      </c>
      <c r="AH87" s="32" t="s">
        <v>2107</v>
      </c>
      <c r="AI87" s="24" t="s">
        <v>1385</v>
      </c>
      <c r="AJ87" s="24" t="s">
        <v>923</v>
      </c>
      <c r="AK87" s="24" t="s">
        <v>1298</v>
      </c>
      <c r="AL87" s="24">
        <v>73484734</v>
      </c>
      <c r="AM87" t="s">
        <v>1718</v>
      </c>
      <c r="AN87" t="s">
        <v>1718</v>
      </c>
      <c r="AO87" t="s">
        <v>1718</v>
      </c>
      <c r="AP87" t="s">
        <v>1718</v>
      </c>
      <c r="AQ87" t="s">
        <v>1718</v>
      </c>
      <c r="AR87" t="s">
        <v>1718</v>
      </c>
      <c r="AS87" t="s">
        <v>1718</v>
      </c>
      <c r="AT87" t="s">
        <v>1718</v>
      </c>
      <c r="AU87" t="s">
        <v>1718</v>
      </c>
      <c r="AV87" t="str">
        <f>VLOOKUP(D87,DATA_SISTEMA!$A$1:$Q$506,12,FALSE)</f>
        <v>CHICLAYO</v>
      </c>
      <c r="AW87" t="str">
        <f>VLOOKUP(D87,DATA_SISTEMA!$A$1:$Q$506,11,FALSE)</f>
        <v>CHICLAYO</v>
      </c>
      <c r="AX87" t="str">
        <f>VLOOKUP(D87,DATA_SISTEMA!$A$1:$Q$506,10,FALSE)</f>
        <v>LAMBAYEQUE</v>
      </c>
      <c r="AY87" t="s">
        <v>1718</v>
      </c>
      <c r="AZ87" t="s">
        <v>5028</v>
      </c>
      <c r="BA87" t="s">
        <v>1718</v>
      </c>
      <c r="BB87" t="s">
        <v>5028</v>
      </c>
      <c r="BC87" t="s">
        <v>1718</v>
      </c>
      <c r="BD87" t="s">
        <v>5028</v>
      </c>
      <c r="BE87" t="s">
        <v>1718</v>
      </c>
      <c r="BF87" s="34" t="s">
        <v>2104</v>
      </c>
      <c r="BG87" s="24">
        <v>63.5</v>
      </c>
    </row>
    <row r="88" spans="1:59" x14ac:dyDescent="0.25">
      <c r="A88" s="4">
        <v>87</v>
      </c>
      <c r="B88" s="33" t="s">
        <v>1719</v>
      </c>
      <c r="C88" s="24" t="s">
        <v>1806</v>
      </c>
      <c r="D88" s="40" t="s">
        <v>4608</v>
      </c>
      <c r="E88" s="24" t="s">
        <v>711</v>
      </c>
      <c r="F88" s="36" t="s">
        <v>1718</v>
      </c>
      <c r="G88" s="24">
        <v>998892711</v>
      </c>
      <c r="H88" t="str">
        <f>VLOOKUP(D88,DATA_SISTEMA!$A$1:$Q$506,13,FALSE)</f>
        <v>AV. E. ORBEGOSO MZ. T LOTE 27</v>
      </c>
      <c r="I88" t="str">
        <f>VLOOKUP(D88,DATA_SISTEMA!$A$1:$Q$506,7,FALSE)</f>
        <v>1960-02-13</v>
      </c>
      <c r="J88" s="32" t="s">
        <v>1718</v>
      </c>
      <c r="K88" s="32" t="s">
        <v>1718</v>
      </c>
      <c r="L88" s="32" t="s">
        <v>1718</v>
      </c>
      <c r="M88">
        <v>26</v>
      </c>
      <c r="N88">
        <v>0</v>
      </c>
      <c r="O88" s="32" t="str">
        <f t="shared" si="1"/>
        <v>870020261X</v>
      </c>
      <c r="P88" s="32" t="s">
        <v>1718</v>
      </c>
      <c r="Q88" s="32" t="s">
        <v>1718</v>
      </c>
      <c r="R88" s="32" t="s">
        <v>2110</v>
      </c>
      <c r="S88" s="32" t="s">
        <v>5030</v>
      </c>
      <c r="T88" t="str">
        <f>VLOOKUP(D88,DATA_SISTEMA!$A$1:$Q$506,9,FALSE)</f>
        <v>M</v>
      </c>
      <c r="U88" s="32" t="s">
        <v>2106</v>
      </c>
      <c r="V88" s="32" t="s">
        <v>1718</v>
      </c>
      <c r="W88" s="37" t="s">
        <v>5028</v>
      </c>
      <c r="X88" s="32" t="s">
        <v>4522</v>
      </c>
      <c r="Y88" s="32" t="s">
        <v>1718</v>
      </c>
      <c r="Z88" s="32" t="s">
        <v>1718</v>
      </c>
      <c r="AA88" s="32" t="s">
        <v>5028</v>
      </c>
      <c r="AB88" s="32" t="s">
        <v>1718</v>
      </c>
      <c r="AC88" s="32" t="s">
        <v>1718</v>
      </c>
      <c r="AD88" s="32" t="s">
        <v>1718</v>
      </c>
      <c r="AE88" s="32" t="s">
        <v>1718</v>
      </c>
      <c r="AF88" s="32" t="s">
        <v>1718</v>
      </c>
      <c r="AG88" s="32" t="s">
        <v>1718</v>
      </c>
      <c r="AH88" s="32" t="s">
        <v>2107</v>
      </c>
      <c r="AI88" s="24" t="s">
        <v>1386</v>
      </c>
      <c r="AJ88" s="24" t="s">
        <v>988</v>
      </c>
      <c r="AK88" s="24" t="s">
        <v>989</v>
      </c>
      <c r="AL88" s="24">
        <v>17520944</v>
      </c>
      <c r="AM88" t="s">
        <v>1718</v>
      </c>
      <c r="AN88" t="s">
        <v>1718</v>
      </c>
      <c r="AO88" t="s">
        <v>1718</v>
      </c>
      <c r="AP88" t="s">
        <v>1718</v>
      </c>
      <c r="AQ88" t="s">
        <v>1718</v>
      </c>
      <c r="AR88" t="s">
        <v>1718</v>
      </c>
      <c r="AS88" t="s">
        <v>1718</v>
      </c>
      <c r="AT88" t="s">
        <v>1718</v>
      </c>
      <c r="AU88" t="s">
        <v>1718</v>
      </c>
      <c r="AV88" t="str">
        <f>VLOOKUP(D88,DATA_SISTEMA!$A$1:$Q$506,12,FALSE)</f>
        <v>CHACHAPOYAS</v>
      </c>
      <c r="AW88" t="str">
        <f>VLOOKUP(D88,DATA_SISTEMA!$A$1:$Q$506,11,FALSE)</f>
        <v xml:space="preserve">CHACHAPOYAS </v>
      </c>
      <c r="AX88" t="str">
        <f>VLOOKUP(D88,DATA_SISTEMA!$A$1:$Q$506,10,FALSE)</f>
        <v>AMAZONAS</v>
      </c>
      <c r="AY88" t="s">
        <v>1718</v>
      </c>
      <c r="AZ88" t="s">
        <v>5028</v>
      </c>
      <c r="BA88" t="s">
        <v>1718</v>
      </c>
      <c r="BB88" t="s">
        <v>5028</v>
      </c>
      <c r="BC88" t="s">
        <v>1718</v>
      </c>
      <c r="BD88" t="s">
        <v>5028</v>
      </c>
      <c r="BE88" t="s">
        <v>1718</v>
      </c>
      <c r="BF88" s="34" t="s">
        <v>2104</v>
      </c>
      <c r="BG88" s="24">
        <v>61.5</v>
      </c>
    </row>
    <row r="89" spans="1:59" x14ac:dyDescent="0.25">
      <c r="A89" s="4">
        <v>88</v>
      </c>
      <c r="B89" s="33" t="s">
        <v>1719</v>
      </c>
      <c r="C89" s="24" t="s">
        <v>1807</v>
      </c>
      <c r="D89" s="40" t="s">
        <v>4609</v>
      </c>
      <c r="E89" s="24" t="s">
        <v>713</v>
      </c>
      <c r="F89" s="36" t="s">
        <v>1718</v>
      </c>
      <c r="G89" s="24">
        <v>948401236</v>
      </c>
      <c r="H89" t="str">
        <f>VLOOKUP(D89,DATA_SISTEMA!$A$1:$Q$506,13,FALSE)</f>
        <v>CASERIO NUEVA ESPERANZA, CP. HIERBA BUENA</v>
      </c>
      <c r="I89" t="str">
        <f>VLOOKUP(D89,DATA_SISTEMA!$A$1:$Q$506,7,FALSE)</f>
        <v>1995-03-03</v>
      </c>
      <c r="J89" s="32" t="s">
        <v>1718</v>
      </c>
      <c r="K89" s="32" t="s">
        <v>1718</v>
      </c>
      <c r="L89" s="32" t="s">
        <v>1718</v>
      </c>
      <c r="M89">
        <v>26</v>
      </c>
      <c r="N89">
        <v>0</v>
      </c>
      <c r="O89" s="32" t="str">
        <f t="shared" si="1"/>
        <v>880020261X</v>
      </c>
      <c r="P89" s="32" t="s">
        <v>1718</v>
      </c>
      <c r="Q89" s="32" t="s">
        <v>1718</v>
      </c>
      <c r="R89" s="32" t="s">
        <v>2110</v>
      </c>
      <c r="S89" s="32" t="s">
        <v>5030</v>
      </c>
      <c r="T89" t="str">
        <f>VLOOKUP(D89,DATA_SISTEMA!$A$1:$Q$506,9,FALSE)</f>
        <v>M</v>
      </c>
      <c r="U89" s="32" t="s">
        <v>2106</v>
      </c>
      <c r="V89" s="32" t="s">
        <v>1718</v>
      </c>
      <c r="W89" s="37" t="s">
        <v>5028</v>
      </c>
      <c r="X89" s="32" t="s">
        <v>4522</v>
      </c>
      <c r="Y89" s="32" t="s">
        <v>1718</v>
      </c>
      <c r="Z89" s="32" t="s">
        <v>1718</v>
      </c>
      <c r="AA89" s="32" t="s">
        <v>5028</v>
      </c>
      <c r="AB89" s="32" t="s">
        <v>1718</v>
      </c>
      <c r="AC89" s="32" t="s">
        <v>1718</v>
      </c>
      <c r="AD89" s="32" t="s">
        <v>1718</v>
      </c>
      <c r="AE89" s="32" t="s">
        <v>1718</v>
      </c>
      <c r="AF89" s="32" t="s">
        <v>1718</v>
      </c>
      <c r="AG89" s="32" t="s">
        <v>1718</v>
      </c>
      <c r="AH89" s="32" t="s">
        <v>2107</v>
      </c>
      <c r="AI89" s="24" t="s">
        <v>1387</v>
      </c>
      <c r="AJ89" s="24" t="s">
        <v>990</v>
      </c>
      <c r="AK89" s="24" t="s">
        <v>990</v>
      </c>
      <c r="AL89" s="24">
        <v>77353656</v>
      </c>
      <c r="AM89" t="s">
        <v>1718</v>
      </c>
      <c r="AN89" t="s">
        <v>1718</v>
      </c>
      <c r="AO89" t="s">
        <v>1718</v>
      </c>
      <c r="AP89" t="s">
        <v>1718</v>
      </c>
      <c r="AQ89" t="s">
        <v>1718</v>
      </c>
      <c r="AR89" t="s">
        <v>1718</v>
      </c>
      <c r="AS89" t="s">
        <v>1718</v>
      </c>
      <c r="AT89" t="s">
        <v>1718</v>
      </c>
      <c r="AU89" t="s">
        <v>1718</v>
      </c>
      <c r="AV89" t="str">
        <f>VLOOKUP(D89,DATA_SISTEMA!$A$1:$Q$506,12,FALSE)</f>
        <v>CAÑARIS</v>
      </c>
      <c r="AW89" t="str">
        <f>VLOOKUP(D89,DATA_SISTEMA!$A$1:$Q$506,11,FALSE)</f>
        <v>FERREÑAFE</v>
      </c>
      <c r="AX89" t="str">
        <f>VLOOKUP(D89,DATA_SISTEMA!$A$1:$Q$506,10,FALSE)</f>
        <v>LAMBAYEQUE</v>
      </c>
      <c r="AY89" t="s">
        <v>1718</v>
      </c>
      <c r="AZ89" t="s">
        <v>5028</v>
      </c>
      <c r="BA89" t="s">
        <v>1718</v>
      </c>
      <c r="BB89" t="s">
        <v>5028</v>
      </c>
      <c r="BC89" t="s">
        <v>1718</v>
      </c>
      <c r="BD89" t="s">
        <v>5028</v>
      </c>
      <c r="BE89" t="s">
        <v>1718</v>
      </c>
      <c r="BF89" s="34" t="s">
        <v>2104</v>
      </c>
      <c r="BG89" s="24">
        <v>61</v>
      </c>
    </row>
    <row r="90" spans="1:59" x14ac:dyDescent="0.25">
      <c r="A90" s="4">
        <v>89</v>
      </c>
      <c r="B90" s="33" t="s">
        <v>1719</v>
      </c>
      <c r="C90" s="24" t="s">
        <v>1808</v>
      </c>
      <c r="D90" s="40" t="s">
        <v>4610</v>
      </c>
      <c r="E90" s="24" t="s">
        <v>715</v>
      </c>
      <c r="F90" s="36" t="s">
        <v>1718</v>
      </c>
      <c r="G90" s="24">
        <v>934052648</v>
      </c>
      <c r="H90" t="str">
        <f>VLOOKUP(D90,DATA_SISTEMA!$A$1:$Q$506,13,FALSE)</f>
        <v>AV. 9 DE OCTUBRE 754</v>
      </c>
      <c r="I90" t="str">
        <f>VLOOKUP(D90,DATA_SISTEMA!$A$1:$Q$506,7,FALSE)</f>
        <v>1973-03-04</v>
      </c>
      <c r="J90" s="32" t="s">
        <v>1718</v>
      </c>
      <c r="K90" s="32" t="s">
        <v>1718</v>
      </c>
      <c r="L90" s="32" t="s">
        <v>1718</v>
      </c>
      <c r="M90">
        <v>26</v>
      </c>
      <c r="N90">
        <v>0</v>
      </c>
      <c r="O90" s="32" t="str">
        <f t="shared" si="1"/>
        <v>890020261X</v>
      </c>
      <c r="P90" s="32" t="s">
        <v>1718</v>
      </c>
      <c r="Q90" s="32" t="s">
        <v>1718</v>
      </c>
      <c r="R90" s="32" t="s">
        <v>2110</v>
      </c>
      <c r="S90" s="32" t="s">
        <v>5030</v>
      </c>
      <c r="T90" t="str">
        <f>VLOOKUP(D90,DATA_SISTEMA!$A$1:$Q$506,9,FALSE)</f>
        <v>M</v>
      </c>
      <c r="U90" s="32" t="s">
        <v>2106</v>
      </c>
      <c r="V90" s="32" t="s">
        <v>1718</v>
      </c>
      <c r="W90" s="37" t="s">
        <v>5028</v>
      </c>
      <c r="X90" s="32" t="s">
        <v>4522</v>
      </c>
      <c r="Y90" s="32" t="s">
        <v>1718</v>
      </c>
      <c r="Z90" s="32" t="s">
        <v>1718</v>
      </c>
      <c r="AA90" s="32" t="s">
        <v>5028</v>
      </c>
      <c r="AB90" s="32" t="s">
        <v>1718</v>
      </c>
      <c r="AC90" s="32" t="s">
        <v>1718</v>
      </c>
      <c r="AD90" s="32" t="s">
        <v>1718</v>
      </c>
      <c r="AE90" s="32" t="s">
        <v>1718</v>
      </c>
      <c r="AF90" s="32" t="s">
        <v>1718</v>
      </c>
      <c r="AG90" s="32" t="s">
        <v>1718</v>
      </c>
      <c r="AH90" s="32" t="s">
        <v>2107</v>
      </c>
      <c r="AI90" s="24" t="s">
        <v>1388</v>
      </c>
      <c r="AJ90" s="24" t="s">
        <v>891</v>
      </c>
      <c r="AK90" s="24" t="s">
        <v>917</v>
      </c>
      <c r="AL90" s="24">
        <v>16756045</v>
      </c>
      <c r="AM90" t="s">
        <v>1718</v>
      </c>
      <c r="AN90" t="s">
        <v>1718</v>
      </c>
      <c r="AO90" t="s">
        <v>1718</v>
      </c>
      <c r="AP90" t="s">
        <v>1718</v>
      </c>
      <c r="AQ90" t="s">
        <v>1718</v>
      </c>
      <c r="AR90" t="s">
        <v>1718</v>
      </c>
      <c r="AS90" t="s">
        <v>1718</v>
      </c>
      <c r="AT90" t="s">
        <v>1718</v>
      </c>
      <c r="AU90" t="s">
        <v>1718</v>
      </c>
      <c r="AV90" t="str">
        <f>VLOOKUP(D90,DATA_SISTEMA!$A$1:$Q$506,12,FALSE)</f>
        <v>CHICLAYO</v>
      </c>
      <c r="AW90" t="str">
        <f>VLOOKUP(D90,DATA_SISTEMA!$A$1:$Q$506,11,FALSE)</f>
        <v>CHICLAYO</v>
      </c>
      <c r="AX90" t="str">
        <f>VLOOKUP(D90,DATA_SISTEMA!$A$1:$Q$506,10,FALSE)</f>
        <v>LAMBAYEQUE</v>
      </c>
      <c r="AY90" t="s">
        <v>1718</v>
      </c>
      <c r="AZ90" t="s">
        <v>5028</v>
      </c>
      <c r="BA90" t="s">
        <v>1718</v>
      </c>
      <c r="BB90" t="s">
        <v>5028</v>
      </c>
      <c r="BC90" t="s">
        <v>1718</v>
      </c>
      <c r="BD90" t="s">
        <v>5028</v>
      </c>
      <c r="BE90" t="s">
        <v>1718</v>
      </c>
      <c r="BF90" s="34" t="s">
        <v>2104</v>
      </c>
      <c r="BG90" s="24">
        <v>61</v>
      </c>
    </row>
    <row r="91" spans="1:59" x14ac:dyDescent="0.25">
      <c r="A91" s="4">
        <v>90</v>
      </c>
      <c r="B91" s="33" t="s">
        <v>1719</v>
      </c>
      <c r="C91" s="24" t="s">
        <v>1809</v>
      </c>
      <c r="D91" s="40" t="s">
        <v>4611</v>
      </c>
      <c r="E91" s="24" t="s">
        <v>717</v>
      </c>
      <c r="F91" s="36" t="s">
        <v>1718</v>
      </c>
      <c r="G91" s="24">
        <v>979955686</v>
      </c>
      <c r="H91" t="str">
        <f>VLOOKUP(D91,DATA_SISTEMA!$A$1:$Q$506,13,FALSE)</f>
        <v>CALLE UNION N° 125 PACORA</v>
      </c>
      <c r="I91" t="str">
        <f>VLOOKUP(D91,DATA_SISTEMA!$A$1:$Q$506,7,FALSE)</f>
        <v>1974-08-30</v>
      </c>
      <c r="J91" s="32" t="s">
        <v>1718</v>
      </c>
      <c r="K91" s="32" t="s">
        <v>1718</v>
      </c>
      <c r="L91" s="32" t="s">
        <v>1718</v>
      </c>
      <c r="M91">
        <v>26</v>
      </c>
      <c r="N91">
        <v>0</v>
      </c>
      <c r="O91" s="32" t="str">
        <f t="shared" si="1"/>
        <v>900020261X</v>
      </c>
      <c r="P91" s="32" t="s">
        <v>1718</v>
      </c>
      <c r="Q91" s="32" t="s">
        <v>1718</v>
      </c>
      <c r="R91" s="32" t="s">
        <v>2110</v>
      </c>
      <c r="S91" s="32" t="s">
        <v>5030</v>
      </c>
      <c r="T91" t="str">
        <f>VLOOKUP(D91,DATA_SISTEMA!$A$1:$Q$506,9,FALSE)</f>
        <v>M</v>
      </c>
      <c r="U91" s="32" t="s">
        <v>2106</v>
      </c>
      <c r="V91" s="32" t="s">
        <v>1718</v>
      </c>
      <c r="W91" s="37" t="s">
        <v>5028</v>
      </c>
      <c r="X91" s="32" t="s">
        <v>4522</v>
      </c>
      <c r="Y91" s="32" t="s">
        <v>1718</v>
      </c>
      <c r="Z91" s="32" t="s">
        <v>1718</v>
      </c>
      <c r="AA91" s="32" t="s">
        <v>5028</v>
      </c>
      <c r="AB91" s="32" t="s">
        <v>1718</v>
      </c>
      <c r="AC91" s="32" t="s">
        <v>1718</v>
      </c>
      <c r="AD91" s="32" t="s">
        <v>1718</v>
      </c>
      <c r="AE91" s="32" t="s">
        <v>1718</v>
      </c>
      <c r="AF91" s="32" t="s">
        <v>1718</v>
      </c>
      <c r="AG91" s="32" t="s">
        <v>1718</v>
      </c>
      <c r="AH91" s="32" t="s">
        <v>2107</v>
      </c>
      <c r="AI91" s="24" t="s">
        <v>1386</v>
      </c>
      <c r="AJ91" s="24" t="s">
        <v>991</v>
      </c>
      <c r="AK91" s="24" t="s">
        <v>992</v>
      </c>
      <c r="AL91" s="24">
        <v>17624843</v>
      </c>
      <c r="AM91" t="s">
        <v>1718</v>
      </c>
      <c r="AN91" t="s">
        <v>1718</v>
      </c>
      <c r="AO91" t="s">
        <v>1718</v>
      </c>
      <c r="AP91" t="s">
        <v>1718</v>
      </c>
      <c r="AQ91" t="s">
        <v>1718</v>
      </c>
      <c r="AR91" t="s">
        <v>1718</v>
      </c>
      <c r="AS91" t="s">
        <v>1718</v>
      </c>
      <c r="AT91" t="s">
        <v>1718</v>
      </c>
      <c r="AU91" t="s">
        <v>1718</v>
      </c>
      <c r="AV91" t="str">
        <f>VLOOKUP(D91,DATA_SISTEMA!$A$1:$Q$506,12,FALSE)</f>
        <v>PACORA</v>
      </c>
      <c r="AW91" t="str">
        <f>VLOOKUP(D91,DATA_SISTEMA!$A$1:$Q$506,11,FALSE)</f>
        <v>LAMBAYEQUE</v>
      </c>
      <c r="AX91" t="str">
        <f>VLOOKUP(D91,DATA_SISTEMA!$A$1:$Q$506,10,FALSE)</f>
        <v>LAMBAYEQUE</v>
      </c>
      <c r="AY91" t="s">
        <v>1718</v>
      </c>
      <c r="AZ91" t="s">
        <v>5028</v>
      </c>
      <c r="BA91" t="s">
        <v>1718</v>
      </c>
      <c r="BB91" t="s">
        <v>5028</v>
      </c>
      <c r="BC91" t="s">
        <v>1718</v>
      </c>
      <c r="BD91" t="s">
        <v>5028</v>
      </c>
      <c r="BE91" t="s">
        <v>1718</v>
      </c>
      <c r="BF91" s="34" t="s">
        <v>2104</v>
      </c>
      <c r="BG91" s="24">
        <v>56.5</v>
      </c>
    </row>
    <row r="92" spans="1:59" x14ac:dyDescent="0.25">
      <c r="A92" s="4">
        <v>91</v>
      </c>
      <c r="B92" s="33" t="s">
        <v>1719</v>
      </c>
      <c r="C92" s="24" t="s">
        <v>1810</v>
      </c>
      <c r="D92" s="40" t="s">
        <v>4612</v>
      </c>
      <c r="E92" s="24" t="s">
        <v>719</v>
      </c>
      <c r="F92" s="36" t="s">
        <v>1718</v>
      </c>
      <c r="G92" s="24">
        <v>979210538</v>
      </c>
      <c r="H92" t="str">
        <f>VLOOKUP(D92,DATA_SISTEMA!$A$1:$Q$506,13,FALSE)</f>
        <v>PSJE. SAN MARTIN N°506</v>
      </c>
      <c r="I92" t="str">
        <f>VLOOKUP(D92,DATA_SISTEMA!$A$1:$Q$506,7,FALSE)</f>
        <v>1980-08-30</v>
      </c>
      <c r="J92" s="32" t="s">
        <v>1718</v>
      </c>
      <c r="K92" s="32" t="s">
        <v>1718</v>
      </c>
      <c r="L92" s="32" t="s">
        <v>1718</v>
      </c>
      <c r="M92">
        <v>26</v>
      </c>
      <c r="N92">
        <v>0</v>
      </c>
      <c r="O92" s="32" t="str">
        <f t="shared" si="1"/>
        <v>910020261X</v>
      </c>
      <c r="P92" s="32" t="s">
        <v>1718</v>
      </c>
      <c r="Q92" s="32" t="s">
        <v>1718</v>
      </c>
      <c r="R92" s="32" t="s">
        <v>2110</v>
      </c>
      <c r="S92" s="32" t="s">
        <v>5030</v>
      </c>
      <c r="T92" t="str">
        <f>VLOOKUP(D92,DATA_SISTEMA!$A$1:$Q$506,9,FALSE)</f>
        <v>M</v>
      </c>
      <c r="U92" s="32" t="s">
        <v>2106</v>
      </c>
      <c r="V92" s="32" t="s">
        <v>1718</v>
      </c>
      <c r="W92" s="37" t="s">
        <v>5028</v>
      </c>
      <c r="X92" s="32" t="s">
        <v>4522</v>
      </c>
      <c r="Y92" s="32" t="s">
        <v>1718</v>
      </c>
      <c r="Z92" s="32" t="s">
        <v>1718</v>
      </c>
      <c r="AA92" s="32" t="s">
        <v>5028</v>
      </c>
      <c r="AB92" s="32" t="s">
        <v>1718</v>
      </c>
      <c r="AC92" s="32" t="s">
        <v>1718</v>
      </c>
      <c r="AD92" s="32" t="s">
        <v>1718</v>
      </c>
      <c r="AE92" s="32" t="s">
        <v>1718</v>
      </c>
      <c r="AF92" s="32" t="s">
        <v>1718</v>
      </c>
      <c r="AG92" s="32" t="s">
        <v>1718</v>
      </c>
      <c r="AH92" s="32" t="s">
        <v>2107</v>
      </c>
      <c r="AI92" s="24" t="s">
        <v>1389</v>
      </c>
      <c r="AJ92" s="24" t="s">
        <v>993</v>
      </c>
      <c r="AK92" s="24" t="s">
        <v>994</v>
      </c>
      <c r="AL92" s="24">
        <v>42830102</v>
      </c>
      <c r="AM92" t="s">
        <v>1718</v>
      </c>
      <c r="AN92" t="s">
        <v>1718</v>
      </c>
      <c r="AO92" t="s">
        <v>1718</v>
      </c>
      <c r="AP92" t="s">
        <v>1718</v>
      </c>
      <c r="AQ92" t="s">
        <v>1718</v>
      </c>
      <c r="AR92" t="s">
        <v>1718</v>
      </c>
      <c r="AS92" t="s">
        <v>1718</v>
      </c>
      <c r="AT92" t="s">
        <v>1718</v>
      </c>
      <c r="AU92" t="s">
        <v>1718</v>
      </c>
      <c r="AV92" t="str">
        <f>VLOOKUP(D92,DATA_SISTEMA!$A$1:$Q$506,12,FALSE)</f>
        <v>PIMENTEL</v>
      </c>
      <c r="AW92" t="str">
        <f>VLOOKUP(D92,DATA_SISTEMA!$A$1:$Q$506,11,FALSE)</f>
        <v>CHICLAYO</v>
      </c>
      <c r="AX92" t="str">
        <f>VLOOKUP(D92,DATA_SISTEMA!$A$1:$Q$506,10,FALSE)</f>
        <v>LAMBAYEQUE</v>
      </c>
      <c r="AY92" t="s">
        <v>1718</v>
      </c>
      <c r="AZ92" t="s">
        <v>5028</v>
      </c>
      <c r="BA92" t="s">
        <v>1718</v>
      </c>
      <c r="BB92" t="s">
        <v>5028</v>
      </c>
      <c r="BC92" t="s">
        <v>1718</v>
      </c>
      <c r="BD92" t="s">
        <v>5028</v>
      </c>
      <c r="BE92" t="s">
        <v>1718</v>
      </c>
      <c r="BF92" s="34" t="s">
        <v>2104</v>
      </c>
      <c r="BG92" s="24">
        <v>56</v>
      </c>
    </row>
    <row r="93" spans="1:59" x14ac:dyDescent="0.25">
      <c r="A93" s="4">
        <v>92</v>
      </c>
      <c r="B93" s="33" t="s">
        <v>1719</v>
      </c>
      <c r="C93" s="26" t="s">
        <v>1811</v>
      </c>
      <c r="D93" s="41" t="s">
        <v>4613</v>
      </c>
      <c r="E93" s="26" t="s">
        <v>729</v>
      </c>
      <c r="F93" s="36" t="s">
        <v>1718</v>
      </c>
      <c r="G93" s="26">
        <v>980377131</v>
      </c>
      <c r="H93" t="str">
        <f>VLOOKUP(D93,DATA_SISTEMA!$A$1:$Q$506,13,FALSE)</f>
        <v>URB. GARZAS DE VILLE E-24</v>
      </c>
      <c r="I93" t="str">
        <f>VLOOKUP(D93,DATA_SISTEMA!$A$1:$Q$506,7,FALSE)</f>
        <v>1981-08-16</v>
      </c>
      <c r="J93" s="32" t="s">
        <v>1718</v>
      </c>
      <c r="K93" s="32" t="s">
        <v>1718</v>
      </c>
      <c r="L93" s="32" t="s">
        <v>1718</v>
      </c>
      <c r="M93">
        <v>173</v>
      </c>
      <c r="N93">
        <v>0</v>
      </c>
      <c r="O93" s="32" t="str">
        <f t="shared" si="1"/>
        <v>920020261X</v>
      </c>
      <c r="P93" s="32" t="s">
        <v>1718</v>
      </c>
      <c r="Q93" s="32" t="s">
        <v>1718</v>
      </c>
      <c r="R93" s="32" t="s">
        <v>2110</v>
      </c>
      <c r="S93" s="32" t="s">
        <v>5031</v>
      </c>
      <c r="T93" t="str">
        <f>VLOOKUP(D93,DATA_SISTEMA!$A$1:$Q$506,9,FALSE)</f>
        <v>M</v>
      </c>
      <c r="U93" s="32" t="s">
        <v>2106</v>
      </c>
      <c r="V93" s="32" t="s">
        <v>1718</v>
      </c>
      <c r="W93" s="37" t="s">
        <v>5028</v>
      </c>
      <c r="X93" s="32" t="s">
        <v>4522</v>
      </c>
      <c r="Y93" s="32" t="s">
        <v>1718</v>
      </c>
      <c r="Z93" s="32" t="s">
        <v>1718</v>
      </c>
      <c r="AA93" s="32" t="s">
        <v>5028</v>
      </c>
      <c r="AB93" s="32" t="s">
        <v>1718</v>
      </c>
      <c r="AC93" s="32" t="s">
        <v>1718</v>
      </c>
      <c r="AD93" s="32" t="s">
        <v>1718</v>
      </c>
      <c r="AE93" s="32" t="s">
        <v>1718</v>
      </c>
      <c r="AF93" s="32" t="s">
        <v>1718</v>
      </c>
      <c r="AG93" s="32" t="s">
        <v>1718</v>
      </c>
      <c r="AH93" s="32" t="s">
        <v>2107</v>
      </c>
      <c r="AI93" s="26" t="s">
        <v>1390</v>
      </c>
      <c r="AJ93" s="26" t="s">
        <v>913</v>
      </c>
      <c r="AK93" s="26" t="s">
        <v>995</v>
      </c>
      <c r="AL93" s="26">
        <v>43227051</v>
      </c>
      <c r="AM93" t="s">
        <v>1718</v>
      </c>
      <c r="AN93" t="s">
        <v>1718</v>
      </c>
      <c r="AO93" t="s">
        <v>1718</v>
      </c>
      <c r="AP93" t="s">
        <v>1718</v>
      </c>
      <c r="AQ93" t="s">
        <v>1718</v>
      </c>
      <c r="AR93" t="s">
        <v>1718</v>
      </c>
      <c r="AS93" t="s">
        <v>1718</v>
      </c>
      <c r="AT93" t="s">
        <v>1718</v>
      </c>
      <c r="AU93" t="s">
        <v>1718</v>
      </c>
      <c r="AV93" t="str">
        <f>VLOOKUP(D93,DATA_SISTEMA!$A$1:$Q$506,12,FALSE)</f>
        <v>JOSE LEONARDO ORTIZ</v>
      </c>
      <c r="AW93" t="str">
        <f>VLOOKUP(D93,DATA_SISTEMA!$A$1:$Q$506,11,FALSE)</f>
        <v>CHICLAYO</v>
      </c>
      <c r="AX93" t="str">
        <f>VLOOKUP(D93,DATA_SISTEMA!$A$1:$Q$506,10,FALSE)</f>
        <v>LAMBAYEQUE</v>
      </c>
      <c r="AY93" t="s">
        <v>1718</v>
      </c>
      <c r="AZ93" t="s">
        <v>5028</v>
      </c>
      <c r="BA93" t="s">
        <v>1718</v>
      </c>
      <c r="BB93" t="s">
        <v>5028</v>
      </c>
      <c r="BC93" t="s">
        <v>1718</v>
      </c>
      <c r="BD93" t="s">
        <v>5028</v>
      </c>
      <c r="BE93" t="s">
        <v>1718</v>
      </c>
      <c r="BF93" s="34" t="s">
        <v>2104</v>
      </c>
      <c r="BG93" s="26">
        <v>74</v>
      </c>
    </row>
    <row r="94" spans="1:59" x14ac:dyDescent="0.25">
      <c r="A94" s="4">
        <v>93</v>
      </c>
      <c r="B94" s="33" t="s">
        <v>1719</v>
      </c>
      <c r="C94" s="26" t="s">
        <v>1812</v>
      </c>
      <c r="D94" s="41" t="s">
        <v>4614</v>
      </c>
      <c r="E94" s="26" t="s">
        <v>732</v>
      </c>
      <c r="F94" s="36" t="s">
        <v>1718</v>
      </c>
      <c r="G94" s="26">
        <v>985112187</v>
      </c>
      <c r="H94" t="str">
        <f>VLOOKUP(D94,DATA_SISTEMA!$A$1:$Q$506,13,FALSE)</f>
        <v>CALLE COMANDANTE CARLOS DELLEPIANE 164 - 2DO PISO - HOGAR POLICIAL SEGUNDA ETAPA</v>
      </c>
      <c r="I94" t="str">
        <f>VLOOKUP(D94,DATA_SISTEMA!$A$1:$Q$506,7,FALSE)</f>
        <v>1978-12-16</v>
      </c>
      <c r="J94" s="32" t="s">
        <v>1718</v>
      </c>
      <c r="K94" s="32" t="s">
        <v>1718</v>
      </c>
      <c r="L94" s="32" t="s">
        <v>1718</v>
      </c>
      <c r="M94">
        <v>173</v>
      </c>
      <c r="N94">
        <v>0</v>
      </c>
      <c r="O94" s="32" t="str">
        <f t="shared" si="1"/>
        <v>930020261X</v>
      </c>
      <c r="P94" s="32" t="s">
        <v>1718</v>
      </c>
      <c r="Q94" s="32" t="s">
        <v>1718</v>
      </c>
      <c r="R94" s="32" t="s">
        <v>2110</v>
      </c>
      <c r="S94" s="32" t="s">
        <v>5031</v>
      </c>
      <c r="T94" t="str">
        <f>VLOOKUP(D94,DATA_SISTEMA!$A$1:$Q$506,9,FALSE)</f>
        <v>M</v>
      </c>
      <c r="U94" s="32" t="s">
        <v>2106</v>
      </c>
      <c r="V94" s="32" t="s">
        <v>1718</v>
      </c>
      <c r="W94" s="37" t="s">
        <v>5028</v>
      </c>
      <c r="X94" s="32" t="s">
        <v>4522</v>
      </c>
      <c r="Y94" s="32" t="s">
        <v>1718</v>
      </c>
      <c r="Z94" s="32" t="s">
        <v>1718</v>
      </c>
      <c r="AA94" s="32" t="s">
        <v>5028</v>
      </c>
      <c r="AB94" s="32" t="s">
        <v>1718</v>
      </c>
      <c r="AC94" s="32" t="s">
        <v>1718</v>
      </c>
      <c r="AD94" s="32" t="s">
        <v>1718</v>
      </c>
      <c r="AE94" s="32" t="s">
        <v>1718</v>
      </c>
      <c r="AF94" s="32" t="s">
        <v>1718</v>
      </c>
      <c r="AG94" s="32" t="s">
        <v>1718</v>
      </c>
      <c r="AH94" s="32" t="s">
        <v>2107</v>
      </c>
      <c r="AI94" s="26" t="s">
        <v>1391</v>
      </c>
      <c r="AJ94" s="26" t="s">
        <v>996</v>
      </c>
      <c r="AK94" s="26" t="s">
        <v>891</v>
      </c>
      <c r="AL94" s="26">
        <v>40055451</v>
      </c>
      <c r="AM94" t="s">
        <v>1718</v>
      </c>
      <c r="AN94" t="s">
        <v>1718</v>
      </c>
      <c r="AO94" t="s">
        <v>1718</v>
      </c>
      <c r="AP94" t="s">
        <v>1718</v>
      </c>
      <c r="AQ94" t="s">
        <v>1718</v>
      </c>
      <c r="AR94" t="s">
        <v>1718</v>
      </c>
      <c r="AS94" t="s">
        <v>1718</v>
      </c>
      <c r="AT94" t="s">
        <v>1718</v>
      </c>
      <c r="AU94" t="s">
        <v>1718</v>
      </c>
      <c r="AV94" t="str">
        <f>VLOOKUP(D94,DATA_SISTEMA!$A$1:$Q$506,12,FALSE)</f>
        <v>VILLA MARIA DEL TRIUNFO</v>
      </c>
      <c r="AW94" t="str">
        <f>VLOOKUP(D94,DATA_SISTEMA!$A$1:$Q$506,11,FALSE)</f>
        <v>LIMA</v>
      </c>
      <c r="AX94" t="str">
        <f>VLOOKUP(D94,DATA_SISTEMA!$A$1:$Q$506,10,FALSE)</f>
        <v>LIMA</v>
      </c>
      <c r="AY94" t="s">
        <v>1718</v>
      </c>
      <c r="AZ94" t="s">
        <v>5028</v>
      </c>
      <c r="BA94" t="s">
        <v>1718</v>
      </c>
      <c r="BB94" t="s">
        <v>5028</v>
      </c>
      <c r="BC94" t="s">
        <v>1718</v>
      </c>
      <c r="BD94" t="s">
        <v>5028</v>
      </c>
      <c r="BE94" t="s">
        <v>1718</v>
      </c>
      <c r="BF94" s="34" t="s">
        <v>2104</v>
      </c>
      <c r="BG94" s="26">
        <v>72</v>
      </c>
    </row>
    <row r="95" spans="1:59" x14ac:dyDescent="0.25">
      <c r="A95" s="4">
        <v>94</v>
      </c>
      <c r="B95" s="33" t="s">
        <v>1719</v>
      </c>
      <c r="C95" s="26" t="s">
        <v>1813</v>
      </c>
      <c r="D95" s="41" t="s">
        <v>4615</v>
      </c>
      <c r="E95" s="26" t="s">
        <v>734</v>
      </c>
      <c r="F95" s="36" t="s">
        <v>1718</v>
      </c>
      <c r="G95" s="26">
        <v>979939553</v>
      </c>
      <c r="H95" t="str">
        <f>VLOOKUP(D95,DATA_SISTEMA!$A$1:$Q$506,13,FALSE)</f>
        <v>AV. MANUEL SEOANE 660</v>
      </c>
      <c r="I95" t="str">
        <f>VLOOKUP(D95,DATA_SISTEMA!$A$1:$Q$506,7,FALSE)</f>
        <v>1980-05-22</v>
      </c>
      <c r="J95" s="32" t="s">
        <v>1718</v>
      </c>
      <c r="K95" s="32" t="s">
        <v>1718</v>
      </c>
      <c r="L95" s="32" t="s">
        <v>1718</v>
      </c>
      <c r="M95">
        <v>173</v>
      </c>
      <c r="N95">
        <v>0</v>
      </c>
      <c r="O95" s="32" t="str">
        <f t="shared" si="1"/>
        <v>940020261X</v>
      </c>
      <c r="P95" s="32" t="s">
        <v>1718</v>
      </c>
      <c r="Q95" s="32" t="s">
        <v>1718</v>
      </c>
      <c r="R95" s="32" t="s">
        <v>2110</v>
      </c>
      <c r="S95" s="32" t="s">
        <v>5031</v>
      </c>
      <c r="T95" t="str">
        <f>VLOOKUP(D95,DATA_SISTEMA!$A$1:$Q$506,9,FALSE)</f>
        <v>M</v>
      </c>
      <c r="U95" s="32" t="s">
        <v>2106</v>
      </c>
      <c r="V95" s="32" t="s">
        <v>1718</v>
      </c>
      <c r="W95" s="37" t="s">
        <v>5028</v>
      </c>
      <c r="X95" s="32" t="s">
        <v>4522</v>
      </c>
      <c r="Y95" s="32" t="s">
        <v>1718</v>
      </c>
      <c r="Z95" s="32" t="s">
        <v>1718</v>
      </c>
      <c r="AA95" s="32" t="s">
        <v>5028</v>
      </c>
      <c r="AB95" s="32" t="s">
        <v>1718</v>
      </c>
      <c r="AC95" s="32" t="s">
        <v>1718</v>
      </c>
      <c r="AD95" s="32" t="s">
        <v>1718</v>
      </c>
      <c r="AE95" s="32" t="s">
        <v>1718</v>
      </c>
      <c r="AF95" s="32" t="s">
        <v>1718</v>
      </c>
      <c r="AG95" s="32" t="s">
        <v>1718</v>
      </c>
      <c r="AH95" s="32" t="s">
        <v>2107</v>
      </c>
      <c r="AI95" s="26" t="s">
        <v>1392</v>
      </c>
      <c r="AJ95" s="26" t="s">
        <v>997</v>
      </c>
      <c r="AK95" s="26" t="s">
        <v>948</v>
      </c>
      <c r="AL95" s="26">
        <v>40674116</v>
      </c>
      <c r="AM95" t="s">
        <v>1718</v>
      </c>
      <c r="AN95" t="s">
        <v>1718</v>
      </c>
      <c r="AO95" t="s">
        <v>1718</v>
      </c>
      <c r="AP95" t="s">
        <v>1718</v>
      </c>
      <c r="AQ95" t="s">
        <v>1718</v>
      </c>
      <c r="AR95" t="s">
        <v>1718</v>
      </c>
      <c r="AS95" t="s">
        <v>1718</v>
      </c>
      <c r="AT95" t="s">
        <v>1718</v>
      </c>
      <c r="AU95" t="s">
        <v>1718</v>
      </c>
      <c r="AV95" t="str">
        <f>VLOOKUP(D95,DATA_SISTEMA!$A$1:$Q$506,12,FALSE)</f>
        <v>LA VICTORIA</v>
      </c>
      <c r="AW95" t="str">
        <f>VLOOKUP(D95,DATA_SISTEMA!$A$1:$Q$506,11,FALSE)</f>
        <v>CHICLAYO</v>
      </c>
      <c r="AX95" t="str">
        <f>VLOOKUP(D95,DATA_SISTEMA!$A$1:$Q$506,10,FALSE)</f>
        <v>LAMBAYEQUE</v>
      </c>
      <c r="AY95" t="s">
        <v>1718</v>
      </c>
      <c r="AZ95" t="s">
        <v>5028</v>
      </c>
      <c r="BA95" t="s">
        <v>1718</v>
      </c>
      <c r="BB95" t="s">
        <v>5028</v>
      </c>
      <c r="BC95" t="s">
        <v>1718</v>
      </c>
      <c r="BD95" t="s">
        <v>5028</v>
      </c>
      <c r="BE95" t="s">
        <v>1718</v>
      </c>
      <c r="BF95" s="34" t="s">
        <v>2104</v>
      </c>
      <c r="BG95" s="26">
        <v>71.5</v>
      </c>
    </row>
    <row r="96" spans="1:59" x14ac:dyDescent="0.25">
      <c r="A96" s="4">
        <v>95</v>
      </c>
      <c r="B96" s="33" t="s">
        <v>1719</v>
      </c>
      <c r="C96" s="26" t="s">
        <v>1814</v>
      </c>
      <c r="D96" s="41" t="s">
        <v>4616</v>
      </c>
      <c r="E96" s="26" t="s">
        <v>736</v>
      </c>
      <c r="F96" s="36" t="s">
        <v>1718</v>
      </c>
      <c r="G96" s="26">
        <v>954908813</v>
      </c>
      <c r="H96" t="str">
        <f>VLOOKUP(D96,DATA_SISTEMA!$A$1:$Q$506,13,FALSE)</f>
        <v>ANTENOR ORREGO 901</v>
      </c>
      <c r="I96" t="str">
        <f>VLOOKUP(D96,DATA_SISTEMA!$A$1:$Q$506,7,FALSE)</f>
        <v>1991-01-01</v>
      </c>
      <c r="J96" s="32" t="s">
        <v>1718</v>
      </c>
      <c r="K96" s="32" t="s">
        <v>1718</v>
      </c>
      <c r="L96" s="32" t="s">
        <v>1718</v>
      </c>
      <c r="M96">
        <v>173</v>
      </c>
      <c r="N96">
        <v>0</v>
      </c>
      <c r="O96" s="32" t="str">
        <f t="shared" si="1"/>
        <v>950020261X</v>
      </c>
      <c r="P96" s="32" t="s">
        <v>1718</v>
      </c>
      <c r="Q96" s="32" t="s">
        <v>1718</v>
      </c>
      <c r="R96" s="32" t="s">
        <v>2110</v>
      </c>
      <c r="S96" s="32" t="s">
        <v>5031</v>
      </c>
      <c r="T96" t="str">
        <f>VLOOKUP(D96,DATA_SISTEMA!$A$1:$Q$506,9,FALSE)</f>
        <v>M</v>
      </c>
      <c r="U96" s="32" t="s">
        <v>2106</v>
      </c>
      <c r="V96" s="32" t="s">
        <v>1718</v>
      </c>
      <c r="W96" s="37" t="s">
        <v>5028</v>
      </c>
      <c r="X96" s="32" t="s">
        <v>4522</v>
      </c>
      <c r="Y96" s="32" t="s">
        <v>1718</v>
      </c>
      <c r="Z96" s="32" t="s">
        <v>1718</v>
      </c>
      <c r="AA96" s="32" t="s">
        <v>5028</v>
      </c>
      <c r="AB96" s="32" t="s">
        <v>1718</v>
      </c>
      <c r="AC96" s="32" t="s">
        <v>1718</v>
      </c>
      <c r="AD96" s="32" t="s">
        <v>1718</v>
      </c>
      <c r="AE96" s="32" t="s">
        <v>1718</v>
      </c>
      <c r="AF96" s="32" t="s">
        <v>1718</v>
      </c>
      <c r="AG96" s="32" t="s">
        <v>1718</v>
      </c>
      <c r="AH96" s="32" t="s">
        <v>2107</v>
      </c>
      <c r="AI96" s="26" t="s">
        <v>1393</v>
      </c>
      <c r="AJ96" s="26" t="s">
        <v>998</v>
      </c>
      <c r="AK96" s="26" t="s">
        <v>966</v>
      </c>
      <c r="AL96" s="26">
        <v>46690196</v>
      </c>
      <c r="AM96" t="s">
        <v>1718</v>
      </c>
      <c r="AN96" t="s">
        <v>1718</v>
      </c>
      <c r="AO96" t="s">
        <v>1718</v>
      </c>
      <c r="AP96" t="s">
        <v>1718</v>
      </c>
      <c r="AQ96" t="s">
        <v>1718</v>
      </c>
      <c r="AR96" t="s">
        <v>1718</v>
      </c>
      <c r="AS96" t="s">
        <v>1718</v>
      </c>
      <c r="AT96" t="s">
        <v>1718</v>
      </c>
      <c r="AU96" t="s">
        <v>1718</v>
      </c>
      <c r="AV96" t="str">
        <f>VLOOKUP(D96,DATA_SISTEMA!$A$1:$Q$506,12,FALSE)</f>
        <v>JOSE LEONARDO ORTIZ</v>
      </c>
      <c r="AW96" t="str">
        <f>VLOOKUP(D96,DATA_SISTEMA!$A$1:$Q$506,11,FALSE)</f>
        <v>CHICLAYO</v>
      </c>
      <c r="AX96" t="str">
        <f>VLOOKUP(D96,DATA_SISTEMA!$A$1:$Q$506,10,FALSE)</f>
        <v>LAMBAYEQUE</v>
      </c>
      <c r="AY96" t="s">
        <v>1718</v>
      </c>
      <c r="AZ96" t="s">
        <v>5028</v>
      </c>
      <c r="BA96" t="s">
        <v>1718</v>
      </c>
      <c r="BB96" t="s">
        <v>5028</v>
      </c>
      <c r="BC96" t="s">
        <v>1718</v>
      </c>
      <c r="BD96" t="s">
        <v>5028</v>
      </c>
      <c r="BE96" t="s">
        <v>1718</v>
      </c>
      <c r="BF96" s="34" t="s">
        <v>2104</v>
      </c>
      <c r="BG96" s="26">
        <v>70</v>
      </c>
    </row>
    <row r="97" spans="1:59" x14ac:dyDescent="0.25">
      <c r="A97" s="4">
        <v>96</v>
      </c>
      <c r="B97" s="33" t="s">
        <v>1719</v>
      </c>
      <c r="C97" s="26" t="s">
        <v>1815</v>
      </c>
      <c r="D97" s="41" t="s">
        <v>4617</v>
      </c>
      <c r="E97" s="26" t="s">
        <v>738</v>
      </c>
      <c r="F97" s="36" t="s">
        <v>1718</v>
      </c>
      <c r="G97" s="26">
        <v>932152135</v>
      </c>
      <c r="H97" t="str">
        <f>VLOOKUP(D97,DATA_SISTEMA!$A$1:$Q$506,13,FALSE)</f>
        <v>CALLE SOBERANÍA 447</v>
      </c>
      <c r="I97" t="str">
        <f>VLOOKUP(D97,DATA_SISTEMA!$A$1:$Q$506,7,FALSE)</f>
        <v>2000-02-09</v>
      </c>
      <c r="J97" s="32" t="s">
        <v>1718</v>
      </c>
      <c r="K97" s="32" t="s">
        <v>1718</v>
      </c>
      <c r="L97" s="32" t="s">
        <v>1718</v>
      </c>
      <c r="M97">
        <v>173</v>
      </c>
      <c r="N97">
        <v>0</v>
      </c>
      <c r="O97" s="32" t="str">
        <f t="shared" si="1"/>
        <v>960020261X</v>
      </c>
      <c r="P97" s="32" t="s">
        <v>1718</v>
      </c>
      <c r="Q97" s="32" t="s">
        <v>1718</v>
      </c>
      <c r="R97" s="32" t="s">
        <v>2110</v>
      </c>
      <c r="S97" s="32" t="s">
        <v>5031</v>
      </c>
      <c r="T97" t="str">
        <f>VLOOKUP(D97,DATA_SISTEMA!$A$1:$Q$506,9,FALSE)</f>
        <v>M</v>
      </c>
      <c r="U97" s="32" t="s">
        <v>2106</v>
      </c>
      <c r="V97" s="32" t="s">
        <v>1718</v>
      </c>
      <c r="W97" s="37" t="s">
        <v>5028</v>
      </c>
      <c r="X97" s="32" t="s">
        <v>4522</v>
      </c>
      <c r="Y97" s="32" t="s">
        <v>1718</v>
      </c>
      <c r="Z97" s="32" t="s">
        <v>1718</v>
      </c>
      <c r="AA97" s="32" t="s">
        <v>5028</v>
      </c>
      <c r="AB97" s="32" t="s">
        <v>1718</v>
      </c>
      <c r="AC97" s="32" t="s">
        <v>1718</v>
      </c>
      <c r="AD97" s="32" t="s">
        <v>1718</v>
      </c>
      <c r="AE97" s="32" t="s">
        <v>1718</v>
      </c>
      <c r="AF97" s="32" t="s">
        <v>1718</v>
      </c>
      <c r="AG97" s="32" t="s">
        <v>1718</v>
      </c>
      <c r="AH97" s="32" t="s">
        <v>2107</v>
      </c>
      <c r="AI97" s="26" t="s">
        <v>1394</v>
      </c>
      <c r="AJ97" s="26" t="s">
        <v>999</v>
      </c>
      <c r="AK97" s="26" t="s">
        <v>1000</v>
      </c>
      <c r="AL97" s="26">
        <v>74567191</v>
      </c>
      <c r="AM97" t="s">
        <v>1718</v>
      </c>
      <c r="AN97" t="s">
        <v>1718</v>
      </c>
      <c r="AO97" t="s">
        <v>1718</v>
      </c>
      <c r="AP97" t="s">
        <v>1718</v>
      </c>
      <c r="AQ97" t="s">
        <v>1718</v>
      </c>
      <c r="AR97" t="s">
        <v>1718</v>
      </c>
      <c r="AS97" t="s">
        <v>1718</v>
      </c>
      <c r="AT97" t="s">
        <v>1718</v>
      </c>
      <c r="AU97" t="s">
        <v>1718</v>
      </c>
      <c r="AV97" t="str">
        <f>VLOOKUP(D97,DATA_SISTEMA!$A$1:$Q$506,12,FALSE)</f>
        <v>CHICLAYO</v>
      </c>
      <c r="AW97" t="str">
        <f>VLOOKUP(D97,DATA_SISTEMA!$A$1:$Q$506,11,FALSE)</f>
        <v>CHICLAYO</v>
      </c>
      <c r="AX97" t="str">
        <f>VLOOKUP(D97,DATA_SISTEMA!$A$1:$Q$506,10,FALSE)</f>
        <v>LAMBAYEQUE</v>
      </c>
      <c r="AY97" t="s">
        <v>1718</v>
      </c>
      <c r="AZ97" t="s">
        <v>5028</v>
      </c>
      <c r="BA97" t="s">
        <v>1718</v>
      </c>
      <c r="BB97" t="s">
        <v>5028</v>
      </c>
      <c r="BC97" t="s">
        <v>1718</v>
      </c>
      <c r="BD97" t="s">
        <v>5028</v>
      </c>
      <c r="BE97" t="s">
        <v>1718</v>
      </c>
      <c r="BF97" s="34" t="s">
        <v>2104</v>
      </c>
      <c r="BG97" s="26">
        <v>69</v>
      </c>
    </row>
    <row r="98" spans="1:59" x14ac:dyDescent="0.25">
      <c r="A98" s="4">
        <v>97</v>
      </c>
      <c r="B98" s="33" t="s">
        <v>1719</v>
      </c>
      <c r="C98" s="26" t="s">
        <v>1816</v>
      </c>
      <c r="D98" s="41" t="s">
        <v>4618</v>
      </c>
      <c r="E98" s="26" t="s">
        <v>740</v>
      </c>
      <c r="F98" s="36" t="s">
        <v>1718</v>
      </c>
      <c r="G98" s="26">
        <v>912019745</v>
      </c>
      <c r="H98" t="str">
        <f>VLOOKUP(D98,DATA_SISTEMA!$A$1:$Q$506,13,FALSE)</f>
        <v>URB EL AMAUTA MZ D LOTE 38</v>
      </c>
      <c r="I98" t="str">
        <f>VLOOKUP(D98,DATA_SISTEMA!$A$1:$Q$506,7,FALSE)</f>
        <v>1991-05-05</v>
      </c>
      <c r="J98" s="32" t="s">
        <v>1718</v>
      </c>
      <c r="K98" s="32" t="s">
        <v>1718</v>
      </c>
      <c r="L98" s="32" t="s">
        <v>1718</v>
      </c>
      <c r="M98">
        <v>173</v>
      </c>
      <c r="N98">
        <v>0</v>
      </c>
      <c r="O98" s="32" t="str">
        <f t="shared" si="1"/>
        <v>970020261X</v>
      </c>
      <c r="P98" s="32" t="s">
        <v>1718</v>
      </c>
      <c r="Q98" s="32" t="s">
        <v>1718</v>
      </c>
      <c r="R98" s="32" t="s">
        <v>2110</v>
      </c>
      <c r="S98" s="32" t="s">
        <v>5031</v>
      </c>
      <c r="T98" t="str">
        <f>VLOOKUP(D98,DATA_SISTEMA!$A$1:$Q$506,9,FALSE)</f>
        <v>M</v>
      </c>
      <c r="U98" s="32" t="s">
        <v>2106</v>
      </c>
      <c r="V98" s="32" t="s">
        <v>1718</v>
      </c>
      <c r="W98" s="37" t="s">
        <v>5028</v>
      </c>
      <c r="X98" s="32" t="s">
        <v>4522</v>
      </c>
      <c r="Y98" s="32" t="s">
        <v>1718</v>
      </c>
      <c r="Z98" s="32" t="s">
        <v>1718</v>
      </c>
      <c r="AA98" s="32" t="s">
        <v>5028</v>
      </c>
      <c r="AB98" s="32" t="s">
        <v>1718</v>
      </c>
      <c r="AC98" s="32" t="s">
        <v>1718</v>
      </c>
      <c r="AD98" s="32" t="s">
        <v>1718</v>
      </c>
      <c r="AE98" s="32" t="s">
        <v>1718</v>
      </c>
      <c r="AF98" s="32" t="s">
        <v>1718</v>
      </c>
      <c r="AG98" s="32" t="s">
        <v>1718</v>
      </c>
      <c r="AH98" s="32" t="s">
        <v>2107</v>
      </c>
      <c r="AI98" s="26" t="s">
        <v>1395</v>
      </c>
      <c r="AJ98" s="26" t="s">
        <v>1001</v>
      </c>
      <c r="AK98" s="26" t="s">
        <v>987</v>
      </c>
      <c r="AL98" s="26">
        <v>47251908</v>
      </c>
      <c r="AM98" t="s">
        <v>1718</v>
      </c>
      <c r="AN98" t="s">
        <v>1718</v>
      </c>
      <c r="AO98" t="s">
        <v>1718</v>
      </c>
      <c r="AP98" t="s">
        <v>1718</v>
      </c>
      <c r="AQ98" t="s">
        <v>1718</v>
      </c>
      <c r="AR98" t="s">
        <v>1718</v>
      </c>
      <c r="AS98" t="s">
        <v>1718</v>
      </c>
      <c r="AT98" t="s">
        <v>1718</v>
      </c>
      <c r="AU98" t="s">
        <v>1718</v>
      </c>
      <c r="AV98" t="str">
        <f>VLOOKUP(D98,DATA_SISTEMA!$A$1:$Q$506,12,FALSE)</f>
        <v>CHICLAYO</v>
      </c>
      <c r="AW98" t="str">
        <f>VLOOKUP(D98,DATA_SISTEMA!$A$1:$Q$506,11,FALSE)</f>
        <v>CHICLAYO</v>
      </c>
      <c r="AX98" t="str">
        <f>VLOOKUP(D98,DATA_SISTEMA!$A$1:$Q$506,10,FALSE)</f>
        <v>LAMBAYEQUE</v>
      </c>
      <c r="AY98" t="s">
        <v>1718</v>
      </c>
      <c r="AZ98" t="s">
        <v>5028</v>
      </c>
      <c r="BA98" t="s">
        <v>1718</v>
      </c>
      <c r="BB98" t="s">
        <v>5028</v>
      </c>
      <c r="BC98" t="s">
        <v>1718</v>
      </c>
      <c r="BD98" t="s">
        <v>5028</v>
      </c>
      <c r="BE98" t="s">
        <v>1718</v>
      </c>
      <c r="BF98" s="34" t="s">
        <v>2104</v>
      </c>
      <c r="BG98" s="26">
        <v>66.5</v>
      </c>
    </row>
    <row r="99" spans="1:59" x14ac:dyDescent="0.25">
      <c r="A99" s="4">
        <v>98</v>
      </c>
      <c r="B99" s="33" t="s">
        <v>1719</v>
      </c>
      <c r="C99" s="26" t="s">
        <v>1817</v>
      </c>
      <c r="D99" s="41" t="s">
        <v>4619</v>
      </c>
      <c r="E99" s="26" t="s">
        <v>742</v>
      </c>
      <c r="F99" s="36" t="s">
        <v>1718</v>
      </c>
      <c r="G99" s="26">
        <v>939178567</v>
      </c>
      <c r="H99" t="str">
        <f>VLOOKUP(D99,DATA_SISTEMA!$A$1:$Q$506,13,FALSE)</f>
        <v>CALLE SAN PEDRO #450</v>
      </c>
      <c r="I99" t="str">
        <f>VLOOKUP(D99,DATA_SISTEMA!$A$1:$Q$506,7,FALSE)</f>
        <v>1997-05-10</v>
      </c>
      <c r="J99" s="32" t="s">
        <v>1718</v>
      </c>
      <c r="K99" s="32" t="s">
        <v>1718</v>
      </c>
      <c r="L99" s="32" t="s">
        <v>1718</v>
      </c>
      <c r="M99">
        <v>173</v>
      </c>
      <c r="N99">
        <v>0</v>
      </c>
      <c r="O99" s="32" t="str">
        <f t="shared" si="1"/>
        <v>980020261X</v>
      </c>
      <c r="P99" s="32" t="s">
        <v>1718</v>
      </c>
      <c r="Q99" s="32" t="s">
        <v>1718</v>
      </c>
      <c r="R99" s="32" t="s">
        <v>2110</v>
      </c>
      <c r="S99" s="32" t="s">
        <v>5031</v>
      </c>
      <c r="T99" t="str">
        <f>VLOOKUP(D99,DATA_SISTEMA!$A$1:$Q$506,9,FALSE)</f>
        <v>M</v>
      </c>
      <c r="U99" s="32" t="s">
        <v>2106</v>
      </c>
      <c r="V99" s="32" t="s">
        <v>1718</v>
      </c>
      <c r="W99" s="37" t="s">
        <v>5028</v>
      </c>
      <c r="X99" s="32" t="s">
        <v>4522</v>
      </c>
      <c r="Y99" s="32" t="s">
        <v>1718</v>
      </c>
      <c r="Z99" s="32" t="s">
        <v>1718</v>
      </c>
      <c r="AA99" s="32" t="s">
        <v>5028</v>
      </c>
      <c r="AB99" s="32" t="s">
        <v>1718</v>
      </c>
      <c r="AC99" s="32" t="s">
        <v>1718</v>
      </c>
      <c r="AD99" s="32" t="s">
        <v>1718</v>
      </c>
      <c r="AE99" s="32" t="s">
        <v>1718</v>
      </c>
      <c r="AF99" s="32" t="s">
        <v>1718</v>
      </c>
      <c r="AG99" s="32" t="s">
        <v>1718</v>
      </c>
      <c r="AH99" s="32" t="s">
        <v>2107</v>
      </c>
      <c r="AI99" s="26" t="s">
        <v>1396</v>
      </c>
      <c r="AJ99" s="26" t="s">
        <v>908</v>
      </c>
      <c r="AK99" s="26" t="s">
        <v>887</v>
      </c>
      <c r="AL99" s="26">
        <v>73865043</v>
      </c>
      <c r="AM99" t="s">
        <v>1718</v>
      </c>
      <c r="AN99" t="s">
        <v>1718</v>
      </c>
      <c r="AO99" t="s">
        <v>1718</v>
      </c>
      <c r="AP99" t="s">
        <v>1718</v>
      </c>
      <c r="AQ99" t="s">
        <v>1718</v>
      </c>
      <c r="AR99" t="s">
        <v>1718</v>
      </c>
      <c r="AS99" t="s">
        <v>1718</v>
      </c>
      <c r="AT99" t="s">
        <v>1718</v>
      </c>
      <c r="AU99" t="s">
        <v>1718</v>
      </c>
      <c r="AV99" t="str">
        <f>VLOOKUP(D99,DATA_SISTEMA!$A$1:$Q$506,12,FALSE)</f>
        <v>MORROPE</v>
      </c>
      <c r="AW99" t="str">
        <f>VLOOKUP(D99,DATA_SISTEMA!$A$1:$Q$506,11,FALSE)</f>
        <v>LAMBAYEQUE</v>
      </c>
      <c r="AX99" t="str">
        <f>VLOOKUP(D99,DATA_SISTEMA!$A$1:$Q$506,10,FALSE)</f>
        <v>LAMBAYEQUE</v>
      </c>
      <c r="AY99" t="s">
        <v>1718</v>
      </c>
      <c r="AZ99" t="s">
        <v>5028</v>
      </c>
      <c r="BA99" t="s">
        <v>1718</v>
      </c>
      <c r="BB99" t="s">
        <v>5028</v>
      </c>
      <c r="BC99" t="s">
        <v>1718</v>
      </c>
      <c r="BD99" t="s">
        <v>5028</v>
      </c>
      <c r="BE99" t="s">
        <v>1718</v>
      </c>
      <c r="BF99" s="34" t="s">
        <v>2104</v>
      </c>
      <c r="BG99" s="26">
        <v>63.5</v>
      </c>
    </row>
    <row r="100" spans="1:59" x14ac:dyDescent="0.25">
      <c r="A100" s="4">
        <v>99</v>
      </c>
      <c r="B100" s="33" t="s">
        <v>1719</v>
      </c>
      <c r="C100" s="26" t="s">
        <v>1818</v>
      </c>
      <c r="D100" s="41" t="s">
        <v>4620</v>
      </c>
      <c r="E100" s="26" t="s">
        <v>744</v>
      </c>
      <c r="F100" s="36" t="s">
        <v>1718</v>
      </c>
      <c r="G100" s="26">
        <v>910129487</v>
      </c>
      <c r="H100" t="str">
        <f>VLOOKUP(D100,DATA_SISTEMA!$A$1:$Q$506,13,FALSE)</f>
        <v>JR. COMERCIO 724</v>
      </c>
      <c r="I100" t="str">
        <f>VLOOKUP(D100,DATA_SISTEMA!$A$1:$Q$506,7,FALSE)</f>
        <v>1986-01-05</v>
      </c>
      <c r="J100" s="32" t="s">
        <v>1718</v>
      </c>
      <c r="K100" s="32" t="s">
        <v>1718</v>
      </c>
      <c r="L100" s="32" t="s">
        <v>1718</v>
      </c>
      <c r="M100">
        <v>173</v>
      </c>
      <c r="N100">
        <v>0</v>
      </c>
      <c r="O100" s="32" t="str">
        <f t="shared" si="1"/>
        <v>990020261X</v>
      </c>
      <c r="P100" s="32" t="s">
        <v>1718</v>
      </c>
      <c r="Q100" s="32" t="s">
        <v>1718</v>
      </c>
      <c r="R100" s="32" t="s">
        <v>2110</v>
      </c>
      <c r="S100" s="32" t="s">
        <v>5031</v>
      </c>
      <c r="T100" t="str">
        <f>VLOOKUP(D100,DATA_SISTEMA!$A$1:$Q$506,9,FALSE)</f>
        <v>F</v>
      </c>
      <c r="U100" s="32" t="s">
        <v>2106</v>
      </c>
      <c r="V100" s="32" t="s">
        <v>1718</v>
      </c>
      <c r="W100" s="37" t="s">
        <v>5028</v>
      </c>
      <c r="X100" s="32" t="s">
        <v>4522</v>
      </c>
      <c r="Y100" s="32" t="s">
        <v>1718</v>
      </c>
      <c r="Z100" s="32" t="s">
        <v>1718</v>
      </c>
      <c r="AA100" s="32" t="s">
        <v>5028</v>
      </c>
      <c r="AB100" s="32" t="s">
        <v>1718</v>
      </c>
      <c r="AC100" s="32" t="s">
        <v>1718</v>
      </c>
      <c r="AD100" s="32" t="s">
        <v>1718</v>
      </c>
      <c r="AE100" s="32" t="s">
        <v>1718</v>
      </c>
      <c r="AF100" s="32" t="s">
        <v>1718</v>
      </c>
      <c r="AG100" s="32" t="s">
        <v>1718</v>
      </c>
      <c r="AH100" s="32" t="s">
        <v>2107</v>
      </c>
      <c r="AI100" s="26" t="s">
        <v>1397</v>
      </c>
      <c r="AJ100" s="26" t="s">
        <v>939</v>
      </c>
      <c r="AK100" s="26" t="s">
        <v>1002</v>
      </c>
      <c r="AL100" s="26">
        <v>43502190</v>
      </c>
      <c r="AM100" t="s">
        <v>1718</v>
      </c>
      <c r="AN100" t="s">
        <v>1718</v>
      </c>
      <c r="AO100" t="s">
        <v>1718</v>
      </c>
      <c r="AP100" t="s">
        <v>1718</v>
      </c>
      <c r="AQ100" t="s">
        <v>1718</v>
      </c>
      <c r="AR100" t="s">
        <v>1718</v>
      </c>
      <c r="AS100" t="s">
        <v>1718</v>
      </c>
      <c r="AT100" t="s">
        <v>1718</v>
      </c>
      <c r="AU100" t="s">
        <v>1718</v>
      </c>
      <c r="AV100" t="str">
        <f>VLOOKUP(D100,DATA_SISTEMA!$A$1:$Q$506,12,FALSE)</f>
        <v>CUTERVO</v>
      </c>
      <c r="AW100" t="str">
        <f>VLOOKUP(D100,DATA_SISTEMA!$A$1:$Q$506,11,FALSE)</f>
        <v>CUTERVO</v>
      </c>
      <c r="AX100" t="str">
        <f>VLOOKUP(D100,DATA_SISTEMA!$A$1:$Q$506,10,FALSE)</f>
        <v>CAJAMARCA</v>
      </c>
      <c r="AY100" t="s">
        <v>1718</v>
      </c>
      <c r="AZ100" t="s">
        <v>5028</v>
      </c>
      <c r="BA100" t="s">
        <v>1718</v>
      </c>
      <c r="BB100" t="s">
        <v>5028</v>
      </c>
      <c r="BC100" t="s">
        <v>1718</v>
      </c>
      <c r="BD100" t="s">
        <v>5028</v>
      </c>
      <c r="BE100" t="s">
        <v>1718</v>
      </c>
      <c r="BF100" s="34" t="s">
        <v>2104</v>
      </c>
      <c r="BG100" s="26">
        <v>63.5</v>
      </c>
    </row>
    <row r="101" spans="1:59" x14ac:dyDescent="0.25">
      <c r="A101" s="4">
        <v>100</v>
      </c>
      <c r="B101" s="33" t="s">
        <v>1719</v>
      </c>
      <c r="C101" s="26" t="s">
        <v>1819</v>
      </c>
      <c r="D101" s="41" t="s">
        <v>4621</v>
      </c>
      <c r="E101" s="26" t="s">
        <v>746</v>
      </c>
      <c r="F101" s="36" t="s">
        <v>1718</v>
      </c>
      <c r="G101" s="26">
        <v>950165364</v>
      </c>
      <c r="H101" t="str">
        <f>VLOOKUP(D101,DATA_SISTEMA!$A$1:$Q$506,13,FALSE)</f>
        <v>CLLE NICOLAS DE AYLLON 454</v>
      </c>
      <c r="I101" t="str">
        <f>VLOOKUP(D101,DATA_SISTEMA!$A$1:$Q$506,7,FALSE)</f>
        <v>2004-02-17</v>
      </c>
      <c r="J101" s="32" t="s">
        <v>1718</v>
      </c>
      <c r="K101" s="32" t="s">
        <v>1718</v>
      </c>
      <c r="L101" s="32" t="s">
        <v>1718</v>
      </c>
      <c r="M101">
        <v>173</v>
      </c>
      <c r="N101">
        <v>0</v>
      </c>
      <c r="O101" s="32" t="str">
        <f t="shared" si="1"/>
        <v>1000020261X</v>
      </c>
      <c r="P101" s="32" t="s">
        <v>1718</v>
      </c>
      <c r="Q101" s="32" t="s">
        <v>1718</v>
      </c>
      <c r="R101" s="32" t="s">
        <v>2110</v>
      </c>
      <c r="S101" s="32" t="s">
        <v>5031</v>
      </c>
      <c r="T101" t="str">
        <f>VLOOKUP(D101,DATA_SISTEMA!$A$1:$Q$506,9,FALSE)</f>
        <v>F</v>
      </c>
      <c r="U101" s="32" t="s">
        <v>2106</v>
      </c>
      <c r="V101" s="32" t="s">
        <v>1718</v>
      </c>
      <c r="W101" s="37" t="s">
        <v>5028</v>
      </c>
      <c r="X101" s="32" t="s">
        <v>4522</v>
      </c>
      <c r="Y101" s="32" t="s">
        <v>1718</v>
      </c>
      <c r="Z101" s="32" t="s">
        <v>1718</v>
      </c>
      <c r="AA101" s="32" t="s">
        <v>5028</v>
      </c>
      <c r="AB101" s="32" t="s">
        <v>1718</v>
      </c>
      <c r="AC101" s="32" t="s">
        <v>1718</v>
      </c>
      <c r="AD101" s="32" t="s">
        <v>1718</v>
      </c>
      <c r="AE101" s="32" t="s">
        <v>1718</v>
      </c>
      <c r="AF101" s="32" t="s">
        <v>1718</v>
      </c>
      <c r="AG101" s="32" t="s">
        <v>1718</v>
      </c>
      <c r="AH101" s="32" t="s">
        <v>2107</v>
      </c>
      <c r="AI101" s="26" t="s">
        <v>1398</v>
      </c>
      <c r="AJ101" s="26" t="s">
        <v>1003</v>
      </c>
      <c r="AK101" s="26" t="s">
        <v>876</v>
      </c>
      <c r="AL101" s="26">
        <v>74825859</v>
      </c>
      <c r="AM101" t="s">
        <v>1718</v>
      </c>
      <c r="AN101" t="s">
        <v>1718</v>
      </c>
      <c r="AO101" t="s">
        <v>1718</v>
      </c>
      <c r="AP101" t="s">
        <v>1718</v>
      </c>
      <c r="AQ101" t="s">
        <v>1718</v>
      </c>
      <c r="AR101" t="s">
        <v>1718</v>
      </c>
      <c r="AS101" t="s">
        <v>1718</v>
      </c>
      <c r="AT101" t="s">
        <v>1718</v>
      </c>
      <c r="AU101" t="s">
        <v>1718</v>
      </c>
      <c r="AV101" t="str">
        <f>VLOOKUP(D101,DATA_SISTEMA!$A$1:$Q$506,12,FALSE)</f>
        <v>JOSE LEONARDO ORTIZ</v>
      </c>
      <c r="AW101" t="str">
        <f>VLOOKUP(D101,DATA_SISTEMA!$A$1:$Q$506,11,FALSE)</f>
        <v>CHICLAYO</v>
      </c>
      <c r="AX101" t="str">
        <f>VLOOKUP(D101,DATA_SISTEMA!$A$1:$Q$506,10,FALSE)</f>
        <v>LAMBAYEQUE</v>
      </c>
      <c r="AY101" t="s">
        <v>1718</v>
      </c>
      <c r="AZ101" t="s">
        <v>5028</v>
      </c>
      <c r="BA101" t="s">
        <v>1718</v>
      </c>
      <c r="BB101" t="s">
        <v>5028</v>
      </c>
      <c r="BC101" t="s">
        <v>1718</v>
      </c>
      <c r="BD101" t="s">
        <v>5028</v>
      </c>
      <c r="BE101" t="s">
        <v>1718</v>
      </c>
      <c r="BF101" s="34" t="s">
        <v>2104</v>
      </c>
      <c r="BG101" s="26">
        <v>56</v>
      </c>
    </row>
    <row r="102" spans="1:59" x14ac:dyDescent="0.25">
      <c r="A102" s="4">
        <v>101</v>
      </c>
      <c r="B102" s="33" t="s">
        <v>1719</v>
      </c>
      <c r="C102" s="26" t="s">
        <v>1820</v>
      </c>
      <c r="D102" s="41" t="s">
        <v>4622</v>
      </c>
      <c r="E102" s="26" t="s">
        <v>748</v>
      </c>
      <c r="F102" s="36" t="s">
        <v>1718</v>
      </c>
      <c r="G102" s="26">
        <v>956659369</v>
      </c>
      <c r="H102" t="str">
        <f>VLOOKUP(D102,DATA_SISTEMA!$A$1:$Q$506,13,FALSE)</f>
        <v>CALLE 28 DE JULIO MZ D LT 07 HAB. URBANA LOS PINOS - LA VICTORIA</v>
      </c>
      <c r="I102" t="str">
        <f>VLOOKUP(D102,DATA_SISTEMA!$A$1:$Q$506,7,FALSE)</f>
        <v>1993-01-16</v>
      </c>
      <c r="J102" s="32" t="s">
        <v>1718</v>
      </c>
      <c r="K102" s="32" t="s">
        <v>1718</v>
      </c>
      <c r="L102" s="32" t="s">
        <v>1718</v>
      </c>
      <c r="M102">
        <v>173</v>
      </c>
      <c r="N102">
        <v>0</v>
      </c>
      <c r="O102" s="32" t="str">
        <f t="shared" si="1"/>
        <v>1010020261X</v>
      </c>
      <c r="P102" s="32" t="s">
        <v>1718</v>
      </c>
      <c r="Q102" s="32" t="s">
        <v>1718</v>
      </c>
      <c r="R102" s="32" t="s">
        <v>2110</v>
      </c>
      <c r="S102" s="32" t="s">
        <v>5031</v>
      </c>
      <c r="T102" t="str">
        <f>VLOOKUP(D102,DATA_SISTEMA!$A$1:$Q$506,9,FALSE)</f>
        <v>M</v>
      </c>
      <c r="U102" s="32" t="s">
        <v>2106</v>
      </c>
      <c r="V102" s="32" t="s">
        <v>1718</v>
      </c>
      <c r="W102" s="37" t="s">
        <v>5028</v>
      </c>
      <c r="X102" s="32" t="s">
        <v>4522</v>
      </c>
      <c r="Y102" s="32" t="s">
        <v>1718</v>
      </c>
      <c r="Z102" s="32" t="s">
        <v>1718</v>
      </c>
      <c r="AA102" s="32" t="s">
        <v>5028</v>
      </c>
      <c r="AB102" s="32" t="s">
        <v>1718</v>
      </c>
      <c r="AC102" s="32" t="s">
        <v>1718</v>
      </c>
      <c r="AD102" s="32" t="s">
        <v>1718</v>
      </c>
      <c r="AE102" s="32" t="s">
        <v>1718</v>
      </c>
      <c r="AF102" s="32" t="s">
        <v>1718</v>
      </c>
      <c r="AG102" s="32" t="s">
        <v>1718</v>
      </c>
      <c r="AH102" s="32" t="s">
        <v>2107</v>
      </c>
      <c r="AI102" s="26" t="s">
        <v>1370</v>
      </c>
      <c r="AJ102" s="26" t="s">
        <v>901</v>
      </c>
      <c r="AK102" s="26" t="s">
        <v>944</v>
      </c>
      <c r="AL102" s="26">
        <v>47660746</v>
      </c>
      <c r="AM102" t="s">
        <v>1718</v>
      </c>
      <c r="AN102" t="s">
        <v>1718</v>
      </c>
      <c r="AO102" t="s">
        <v>1718</v>
      </c>
      <c r="AP102" t="s">
        <v>1718</v>
      </c>
      <c r="AQ102" t="s">
        <v>1718</v>
      </c>
      <c r="AR102" t="s">
        <v>1718</v>
      </c>
      <c r="AS102" t="s">
        <v>1718</v>
      </c>
      <c r="AT102" t="s">
        <v>1718</v>
      </c>
      <c r="AU102" t="s">
        <v>1718</v>
      </c>
      <c r="AV102" t="str">
        <f>VLOOKUP(D102,DATA_SISTEMA!$A$1:$Q$506,12,FALSE)</f>
        <v>LA VICTORIA</v>
      </c>
      <c r="AW102" t="str">
        <f>VLOOKUP(D102,DATA_SISTEMA!$A$1:$Q$506,11,FALSE)</f>
        <v>CHICLAYO</v>
      </c>
      <c r="AX102" t="str">
        <f>VLOOKUP(D102,DATA_SISTEMA!$A$1:$Q$506,10,FALSE)</f>
        <v>LAMBAYEQUE</v>
      </c>
      <c r="AY102" t="s">
        <v>1718</v>
      </c>
      <c r="AZ102" t="s">
        <v>5028</v>
      </c>
      <c r="BA102" t="s">
        <v>1718</v>
      </c>
      <c r="BB102" t="s">
        <v>5028</v>
      </c>
      <c r="BC102" t="s">
        <v>1718</v>
      </c>
      <c r="BD102" t="s">
        <v>5028</v>
      </c>
      <c r="BE102" t="s">
        <v>1718</v>
      </c>
      <c r="BF102" s="34" t="s">
        <v>2104</v>
      </c>
      <c r="BG102" s="26">
        <v>56</v>
      </c>
    </row>
    <row r="103" spans="1:59" x14ac:dyDescent="0.25">
      <c r="A103" s="4">
        <v>102</v>
      </c>
      <c r="B103" s="33" t="s">
        <v>1719</v>
      </c>
      <c r="C103" s="26" t="s">
        <v>1821</v>
      </c>
      <c r="D103" s="41" t="s">
        <v>4623</v>
      </c>
      <c r="E103" s="26" t="s">
        <v>750</v>
      </c>
      <c r="F103" s="36" t="s">
        <v>1718</v>
      </c>
      <c r="G103" s="26">
        <v>952529823</v>
      </c>
      <c r="H103" t="str">
        <f>VLOOKUP(D103,DATA_SISTEMA!$A$1:$Q$506,13,FALSE)</f>
        <v>SAN ANTONIO MZ C LT 10</v>
      </c>
      <c r="I103" t="str">
        <f>VLOOKUP(D103,DATA_SISTEMA!$A$1:$Q$506,7,FALSE)</f>
        <v>1988-04-28</v>
      </c>
      <c r="J103" s="32" t="s">
        <v>1718</v>
      </c>
      <c r="K103" s="32" t="s">
        <v>1718</v>
      </c>
      <c r="L103" s="32" t="s">
        <v>1718</v>
      </c>
      <c r="M103">
        <v>173</v>
      </c>
      <c r="N103">
        <v>0</v>
      </c>
      <c r="O103" s="32" t="str">
        <f t="shared" si="1"/>
        <v>1020020261X</v>
      </c>
      <c r="P103" s="32" t="s">
        <v>1718</v>
      </c>
      <c r="Q103" s="32" t="s">
        <v>1718</v>
      </c>
      <c r="R103" s="32" t="s">
        <v>2110</v>
      </c>
      <c r="S103" s="32" t="s">
        <v>5031</v>
      </c>
      <c r="T103" t="str">
        <f>VLOOKUP(D103,DATA_SISTEMA!$A$1:$Q$506,9,FALSE)</f>
        <v>M</v>
      </c>
      <c r="U103" s="32" t="s">
        <v>2106</v>
      </c>
      <c r="V103" s="32" t="s">
        <v>1718</v>
      </c>
      <c r="W103" s="37" t="s">
        <v>5028</v>
      </c>
      <c r="X103" s="32" t="s">
        <v>4522</v>
      </c>
      <c r="Y103" s="32" t="s">
        <v>1718</v>
      </c>
      <c r="Z103" s="32" t="s">
        <v>1718</v>
      </c>
      <c r="AA103" s="32" t="s">
        <v>5028</v>
      </c>
      <c r="AB103" s="32" t="s">
        <v>1718</v>
      </c>
      <c r="AC103" s="32" t="s">
        <v>1718</v>
      </c>
      <c r="AD103" s="32" t="s">
        <v>1718</v>
      </c>
      <c r="AE103" s="32" t="s">
        <v>1718</v>
      </c>
      <c r="AF103" s="32" t="s">
        <v>1718</v>
      </c>
      <c r="AG103" s="32" t="s">
        <v>1718</v>
      </c>
      <c r="AH103" s="32" t="s">
        <v>2107</v>
      </c>
      <c r="AI103" s="26" t="s">
        <v>1399</v>
      </c>
      <c r="AJ103" s="26" t="s">
        <v>1004</v>
      </c>
      <c r="AK103" s="26" t="s">
        <v>1005</v>
      </c>
      <c r="AL103" s="26">
        <v>45194887</v>
      </c>
      <c r="AM103" t="s">
        <v>1718</v>
      </c>
      <c r="AN103" t="s">
        <v>1718</v>
      </c>
      <c r="AO103" t="s">
        <v>1718</v>
      </c>
      <c r="AP103" t="s">
        <v>1718</v>
      </c>
      <c r="AQ103" t="s">
        <v>1718</v>
      </c>
      <c r="AR103" t="s">
        <v>1718</v>
      </c>
      <c r="AS103" t="s">
        <v>1718</v>
      </c>
      <c r="AT103" t="s">
        <v>1718</v>
      </c>
      <c r="AU103" t="s">
        <v>1718</v>
      </c>
      <c r="AV103" t="str">
        <f>VLOOKUP(D103,DATA_SISTEMA!$A$1:$Q$506,12,FALSE)</f>
        <v>POMALCA</v>
      </c>
      <c r="AW103" t="str">
        <f>VLOOKUP(D103,DATA_SISTEMA!$A$1:$Q$506,11,FALSE)</f>
        <v>CHICLAYO</v>
      </c>
      <c r="AX103" t="str">
        <f>VLOOKUP(D103,DATA_SISTEMA!$A$1:$Q$506,10,FALSE)</f>
        <v>LAMBAYEQUE</v>
      </c>
      <c r="AY103" t="s">
        <v>1718</v>
      </c>
      <c r="AZ103" t="s">
        <v>5028</v>
      </c>
      <c r="BA103" t="s">
        <v>1718</v>
      </c>
      <c r="BB103" t="s">
        <v>5028</v>
      </c>
      <c r="BC103" t="s">
        <v>1718</v>
      </c>
      <c r="BD103" t="s">
        <v>5028</v>
      </c>
      <c r="BE103" t="s">
        <v>1718</v>
      </c>
      <c r="BF103" s="34" t="s">
        <v>2104</v>
      </c>
      <c r="BG103" s="26">
        <v>55</v>
      </c>
    </row>
    <row r="104" spans="1:59" x14ac:dyDescent="0.25">
      <c r="A104" s="4">
        <v>103</v>
      </c>
      <c r="B104" s="33" t="s">
        <v>1719</v>
      </c>
      <c r="C104" s="26" t="s">
        <v>1822</v>
      </c>
      <c r="D104" s="41" t="s">
        <v>4624</v>
      </c>
      <c r="E104" s="26" t="s">
        <v>752</v>
      </c>
      <c r="F104" s="36" t="s">
        <v>1718</v>
      </c>
      <c r="G104" s="26">
        <v>941981267</v>
      </c>
      <c r="H104" t="str">
        <f>VLOOKUP(D104,DATA_SISTEMA!$A$1:$Q$506,13,FALSE)</f>
        <v>ANTENOR ORREGO 814</v>
      </c>
      <c r="I104" t="str">
        <f>VLOOKUP(D104,DATA_SISTEMA!$A$1:$Q$506,7,FALSE)</f>
        <v>1990-06-27</v>
      </c>
      <c r="J104" s="32" t="s">
        <v>1718</v>
      </c>
      <c r="K104" s="32" t="s">
        <v>1718</v>
      </c>
      <c r="L104" s="32" t="s">
        <v>1718</v>
      </c>
      <c r="M104">
        <v>173</v>
      </c>
      <c r="N104">
        <v>0</v>
      </c>
      <c r="O104" s="32" t="str">
        <f t="shared" si="1"/>
        <v>1030020261X</v>
      </c>
      <c r="P104" s="32" t="s">
        <v>1718</v>
      </c>
      <c r="Q104" s="32" t="s">
        <v>1718</v>
      </c>
      <c r="R104" s="32" t="s">
        <v>2110</v>
      </c>
      <c r="S104" s="32" t="s">
        <v>5031</v>
      </c>
      <c r="T104" t="str">
        <f>VLOOKUP(D104,DATA_SISTEMA!$A$1:$Q$506,9,FALSE)</f>
        <v>F</v>
      </c>
      <c r="U104" s="32" t="s">
        <v>2106</v>
      </c>
      <c r="V104" s="32" t="s">
        <v>1718</v>
      </c>
      <c r="W104" s="37" t="s">
        <v>5028</v>
      </c>
      <c r="X104" s="32" t="s">
        <v>4522</v>
      </c>
      <c r="Y104" s="32" t="s">
        <v>1718</v>
      </c>
      <c r="Z104" s="32" t="s">
        <v>1718</v>
      </c>
      <c r="AA104" s="32" t="s">
        <v>5028</v>
      </c>
      <c r="AB104" s="32" t="s">
        <v>1718</v>
      </c>
      <c r="AC104" s="32" t="s">
        <v>1718</v>
      </c>
      <c r="AD104" s="32" t="s">
        <v>1718</v>
      </c>
      <c r="AE104" s="32" t="s">
        <v>1718</v>
      </c>
      <c r="AF104" s="32" t="s">
        <v>1718</v>
      </c>
      <c r="AG104" s="32" t="s">
        <v>1718</v>
      </c>
      <c r="AH104" s="32" t="s">
        <v>2107</v>
      </c>
      <c r="AI104" s="26" t="s">
        <v>1400</v>
      </c>
      <c r="AJ104" s="26" t="s">
        <v>1006</v>
      </c>
      <c r="AK104" s="26" t="s">
        <v>1007</v>
      </c>
      <c r="AL104" s="26">
        <v>46413153</v>
      </c>
      <c r="AM104" t="s">
        <v>1718</v>
      </c>
      <c r="AN104" t="s">
        <v>1718</v>
      </c>
      <c r="AO104" t="s">
        <v>1718</v>
      </c>
      <c r="AP104" t="s">
        <v>1718</v>
      </c>
      <c r="AQ104" t="s">
        <v>1718</v>
      </c>
      <c r="AR104" t="s">
        <v>1718</v>
      </c>
      <c r="AS104" t="s">
        <v>1718</v>
      </c>
      <c r="AT104" t="s">
        <v>1718</v>
      </c>
      <c r="AU104" t="s">
        <v>1718</v>
      </c>
      <c r="AV104" t="str">
        <f>VLOOKUP(D104,DATA_SISTEMA!$A$1:$Q$506,12,FALSE)</f>
        <v>LA VICTORIA</v>
      </c>
      <c r="AW104" t="str">
        <f>VLOOKUP(D104,DATA_SISTEMA!$A$1:$Q$506,11,FALSE)</f>
        <v>CHICLAYO</v>
      </c>
      <c r="AX104" t="str">
        <f>VLOOKUP(D104,DATA_SISTEMA!$A$1:$Q$506,10,FALSE)</f>
        <v>LAMBAYEQUE</v>
      </c>
      <c r="AY104" t="s">
        <v>1718</v>
      </c>
      <c r="AZ104" t="s">
        <v>5028</v>
      </c>
      <c r="BA104" t="s">
        <v>1718</v>
      </c>
      <c r="BB104" t="s">
        <v>5028</v>
      </c>
      <c r="BC104" t="s">
        <v>1718</v>
      </c>
      <c r="BD104" t="s">
        <v>5028</v>
      </c>
      <c r="BE104" t="s">
        <v>1718</v>
      </c>
      <c r="BF104" s="34" t="s">
        <v>2104</v>
      </c>
      <c r="BG104" s="26">
        <v>55</v>
      </c>
    </row>
    <row r="105" spans="1:59" x14ac:dyDescent="0.25">
      <c r="A105" s="4">
        <v>104</v>
      </c>
      <c r="B105" s="33" t="s">
        <v>1719</v>
      </c>
      <c r="C105" s="26" t="s">
        <v>1823</v>
      </c>
      <c r="D105" s="41" t="s">
        <v>4625</v>
      </c>
      <c r="E105" s="26" t="s">
        <v>754</v>
      </c>
      <c r="F105" s="36" t="s">
        <v>1718</v>
      </c>
      <c r="G105" s="26">
        <v>963679166</v>
      </c>
      <c r="H105" t="str">
        <f>VLOOKUP(D105,DATA_SISTEMA!$A$1:$Q$506,13,FALSE)</f>
        <v>CALLE CESAR VALLEJO MZ Q1 LT 24</v>
      </c>
      <c r="I105" t="str">
        <f>VLOOKUP(D105,DATA_SISTEMA!$A$1:$Q$506,7,FALSE)</f>
        <v>1988-09-23</v>
      </c>
      <c r="J105" s="32" t="s">
        <v>1718</v>
      </c>
      <c r="K105" s="32" t="s">
        <v>1718</v>
      </c>
      <c r="L105" s="32" t="s">
        <v>1718</v>
      </c>
      <c r="M105">
        <v>173</v>
      </c>
      <c r="N105">
        <v>0</v>
      </c>
      <c r="O105" s="32" t="str">
        <f t="shared" si="1"/>
        <v>1040020261X</v>
      </c>
      <c r="P105" s="32" t="s">
        <v>1718</v>
      </c>
      <c r="Q105" s="32" t="s">
        <v>1718</v>
      </c>
      <c r="R105" s="32" t="s">
        <v>2110</v>
      </c>
      <c r="S105" s="32" t="s">
        <v>5031</v>
      </c>
      <c r="T105" t="str">
        <f>VLOOKUP(D105,DATA_SISTEMA!$A$1:$Q$506,9,FALSE)</f>
        <v>M</v>
      </c>
      <c r="U105" s="32" t="s">
        <v>2106</v>
      </c>
      <c r="V105" s="32" t="s">
        <v>1718</v>
      </c>
      <c r="W105" s="37" t="s">
        <v>5028</v>
      </c>
      <c r="X105" s="32" t="s">
        <v>4522</v>
      </c>
      <c r="Y105" s="32" t="s">
        <v>1718</v>
      </c>
      <c r="Z105" s="32" t="s">
        <v>1718</v>
      </c>
      <c r="AA105" s="32" t="s">
        <v>5028</v>
      </c>
      <c r="AB105" s="32" t="s">
        <v>1718</v>
      </c>
      <c r="AC105" s="32" t="s">
        <v>1718</v>
      </c>
      <c r="AD105" s="32" t="s">
        <v>1718</v>
      </c>
      <c r="AE105" s="32" t="s">
        <v>1718</v>
      </c>
      <c r="AF105" s="32" t="s">
        <v>1718</v>
      </c>
      <c r="AG105" s="32" t="s">
        <v>1718</v>
      </c>
      <c r="AH105" s="32" t="s">
        <v>2107</v>
      </c>
      <c r="AI105" s="26" t="s">
        <v>1401</v>
      </c>
      <c r="AJ105" s="26" t="s">
        <v>1008</v>
      </c>
      <c r="AK105" s="26" t="s">
        <v>925</v>
      </c>
      <c r="AL105" s="26">
        <v>45465030</v>
      </c>
      <c r="AM105" t="s">
        <v>1718</v>
      </c>
      <c r="AN105" t="s">
        <v>1718</v>
      </c>
      <c r="AO105" t="s">
        <v>1718</v>
      </c>
      <c r="AP105" t="s">
        <v>1718</v>
      </c>
      <c r="AQ105" t="s">
        <v>1718</v>
      </c>
      <c r="AR105" t="s">
        <v>1718</v>
      </c>
      <c r="AS105" t="s">
        <v>1718</v>
      </c>
      <c r="AT105" t="s">
        <v>1718</v>
      </c>
      <c r="AU105" t="s">
        <v>1718</v>
      </c>
      <c r="AV105" t="str">
        <f>VLOOKUP(D105,DATA_SISTEMA!$A$1:$Q$506,12,FALSE)</f>
        <v>FERREÑAFE</v>
      </c>
      <c r="AW105" t="str">
        <f>VLOOKUP(D105,DATA_SISTEMA!$A$1:$Q$506,11,FALSE)</f>
        <v>FERREÑAFE</v>
      </c>
      <c r="AX105" t="str">
        <f>VLOOKUP(D105,DATA_SISTEMA!$A$1:$Q$506,10,FALSE)</f>
        <v>LAMBAYEQUE</v>
      </c>
      <c r="AY105" t="s">
        <v>1718</v>
      </c>
      <c r="AZ105" t="s">
        <v>5028</v>
      </c>
      <c r="BA105" t="s">
        <v>1718</v>
      </c>
      <c r="BB105" t="s">
        <v>5028</v>
      </c>
      <c r="BC105" t="s">
        <v>1718</v>
      </c>
      <c r="BD105" t="s">
        <v>5028</v>
      </c>
      <c r="BE105" t="s">
        <v>1718</v>
      </c>
      <c r="BF105" s="34" t="s">
        <v>2104</v>
      </c>
      <c r="BG105" s="26">
        <v>54</v>
      </c>
    </row>
    <row r="106" spans="1:59" x14ac:dyDescent="0.25">
      <c r="A106" s="4">
        <v>105</v>
      </c>
      <c r="B106" s="33" t="s">
        <v>1719</v>
      </c>
      <c r="C106" s="26" t="s">
        <v>1824</v>
      </c>
      <c r="D106" s="41" t="s">
        <v>4626</v>
      </c>
      <c r="E106" s="26" t="s">
        <v>756</v>
      </c>
      <c r="F106" s="36" t="s">
        <v>1718</v>
      </c>
      <c r="G106" s="26">
        <v>915987269</v>
      </c>
      <c r="H106" t="str">
        <f>VLOOKUP(D106,DATA_SISTEMA!$A$1:$Q$506,13,FALSE)</f>
        <v>CALLE VIRU - LA VICTORIA - CHICLAYO</v>
      </c>
      <c r="I106" t="str">
        <f>VLOOKUP(D106,DATA_SISTEMA!$A$1:$Q$506,7,FALSE)</f>
        <v>1979-04-10</v>
      </c>
      <c r="J106" s="32" t="s">
        <v>1718</v>
      </c>
      <c r="K106" s="32" t="s">
        <v>1718</v>
      </c>
      <c r="L106" s="32" t="s">
        <v>1718</v>
      </c>
      <c r="M106">
        <v>173</v>
      </c>
      <c r="N106">
        <v>0</v>
      </c>
      <c r="O106" s="32" t="str">
        <f t="shared" si="1"/>
        <v>1050020261X</v>
      </c>
      <c r="P106" s="32" t="s">
        <v>1718</v>
      </c>
      <c r="Q106" s="32" t="s">
        <v>1718</v>
      </c>
      <c r="R106" s="32" t="s">
        <v>2110</v>
      </c>
      <c r="S106" s="32" t="s">
        <v>5031</v>
      </c>
      <c r="T106" t="str">
        <f>VLOOKUP(D106,DATA_SISTEMA!$A$1:$Q$506,9,FALSE)</f>
        <v>M</v>
      </c>
      <c r="U106" s="32" t="s">
        <v>2106</v>
      </c>
      <c r="V106" s="32" t="s">
        <v>1718</v>
      </c>
      <c r="W106" s="37" t="s">
        <v>5028</v>
      </c>
      <c r="X106" s="32" t="s">
        <v>4522</v>
      </c>
      <c r="Y106" s="32" t="s">
        <v>1718</v>
      </c>
      <c r="Z106" s="32" t="s">
        <v>1718</v>
      </c>
      <c r="AA106" s="32" t="s">
        <v>5028</v>
      </c>
      <c r="AB106" s="32" t="s">
        <v>1718</v>
      </c>
      <c r="AC106" s="32" t="s">
        <v>1718</v>
      </c>
      <c r="AD106" s="32" t="s">
        <v>1718</v>
      </c>
      <c r="AE106" s="32" t="s">
        <v>1718</v>
      </c>
      <c r="AF106" s="32" t="s">
        <v>1718</v>
      </c>
      <c r="AG106" s="32" t="s">
        <v>1718</v>
      </c>
      <c r="AH106" s="32" t="s">
        <v>2107</v>
      </c>
      <c r="AI106" s="26" t="s">
        <v>1402</v>
      </c>
      <c r="AJ106" s="26" t="s">
        <v>901</v>
      </c>
      <c r="AK106" s="26" t="s">
        <v>1009</v>
      </c>
      <c r="AL106" s="26">
        <v>80214918</v>
      </c>
      <c r="AM106" t="s">
        <v>1718</v>
      </c>
      <c r="AN106" t="s">
        <v>1718</v>
      </c>
      <c r="AO106" t="s">
        <v>1718</v>
      </c>
      <c r="AP106" t="s">
        <v>1718</v>
      </c>
      <c r="AQ106" t="s">
        <v>1718</v>
      </c>
      <c r="AR106" t="s">
        <v>1718</v>
      </c>
      <c r="AS106" t="s">
        <v>1718</v>
      </c>
      <c r="AT106" t="s">
        <v>1718</v>
      </c>
      <c r="AU106" t="s">
        <v>1718</v>
      </c>
      <c r="AV106" t="str">
        <f>VLOOKUP(D106,DATA_SISTEMA!$A$1:$Q$506,12,FALSE)</f>
        <v>LA VICTORIA</v>
      </c>
      <c r="AW106" t="str">
        <f>VLOOKUP(D106,DATA_SISTEMA!$A$1:$Q$506,11,FALSE)</f>
        <v>CHICLAYO</v>
      </c>
      <c r="AX106" t="str">
        <f>VLOOKUP(D106,DATA_SISTEMA!$A$1:$Q$506,10,FALSE)</f>
        <v>LAMBAYEQUE</v>
      </c>
      <c r="AY106" t="s">
        <v>1718</v>
      </c>
      <c r="AZ106" t="s">
        <v>5028</v>
      </c>
      <c r="BA106" t="s">
        <v>1718</v>
      </c>
      <c r="BB106" t="s">
        <v>5028</v>
      </c>
      <c r="BC106" t="s">
        <v>1718</v>
      </c>
      <c r="BD106" t="s">
        <v>5028</v>
      </c>
      <c r="BE106" t="s">
        <v>1718</v>
      </c>
      <c r="BF106" s="34" t="s">
        <v>2104</v>
      </c>
      <c r="BG106" s="26">
        <v>52.5</v>
      </c>
    </row>
    <row r="107" spans="1:59" x14ac:dyDescent="0.25">
      <c r="A107" s="4">
        <v>106</v>
      </c>
      <c r="B107" s="33" t="s">
        <v>1719</v>
      </c>
      <c r="C107" s="26" t="s">
        <v>1825</v>
      </c>
      <c r="D107" s="41" t="s">
        <v>4627</v>
      </c>
      <c r="E107" s="26" t="s">
        <v>758</v>
      </c>
      <c r="F107" s="36" t="s">
        <v>1718</v>
      </c>
      <c r="G107" s="26">
        <v>978090860</v>
      </c>
      <c r="H107" t="str">
        <f>VLOOKUP(D107,DATA_SISTEMA!$A$1:$Q$506,13,FALSE)</f>
        <v>MZ C LTE 7 URB FELIPE SATIAGO SALAVERRY</v>
      </c>
      <c r="I107" t="str">
        <f>VLOOKUP(D107,DATA_SISTEMA!$A$1:$Q$506,7,FALSE)</f>
        <v>1996-08-30</v>
      </c>
      <c r="J107" s="32" t="s">
        <v>1718</v>
      </c>
      <c r="K107" s="32" t="s">
        <v>1718</v>
      </c>
      <c r="L107" s="32" t="s">
        <v>1718</v>
      </c>
      <c r="M107">
        <v>173</v>
      </c>
      <c r="N107">
        <v>0</v>
      </c>
      <c r="O107" s="32" t="str">
        <f t="shared" si="1"/>
        <v>1060020261X</v>
      </c>
      <c r="P107" s="32" t="s">
        <v>1718</v>
      </c>
      <c r="Q107" s="32" t="s">
        <v>1718</v>
      </c>
      <c r="R107" s="32" t="s">
        <v>2110</v>
      </c>
      <c r="S107" s="32" t="s">
        <v>5031</v>
      </c>
      <c r="T107" t="str">
        <f>VLOOKUP(D107,DATA_SISTEMA!$A$1:$Q$506,9,FALSE)</f>
        <v>F</v>
      </c>
      <c r="U107" s="32" t="s">
        <v>2106</v>
      </c>
      <c r="V107" s="32" t="s">
        <v>1718</v>
      </c>
      <c r="W107" s="37" t="s">
        <v>5028</v>
      </c>
      <c r="X107" s="32" t="s">
        <v>4522</v>
      </c>
      <c r="Y107" s="32" t="s">
        <v>1718</v>
      </c>
      <c r="Z107" s="32" t="s">
        <v>1718</v>
      </c>
      <c r="AA107" s="32" t="s">
        <v>5028</v>
      </c>
      <c r="AB107" s="32" t="s">
        <v>1718</v>
      </c>
      <c r="AC107" s="32" t="s">
        <v>1718</v>
      </c>
      <c r="AD107" s="32" t="s">
        <v>1718</v>
      </c>
      <c r="AE107" s="32" t="s">
        <v>1718</v>
      </c>
      <c r="AF107" s="32" t="s">
        <v>1718</v>
      </c>
      <c r="AG107" s="32" t="s">
        <v>1718</v>
      </c>
      <c r="AH107" s="32" t="s">
        <v>2107</v>
      </c>
      <c r="AI107" s="26" t="s">
        <v>1403</v>
      </c>
      <c r="AJ107" s="26" t="s">
        <v>1010</v>
      </c>
      <c r="AK107" s="26" t="s">
        <v>1011</v>
      </c>
      <c r="AL107" s="26">
        <v>76475807</v>
      </c>
      <c r="AM107" t="s">
        <v>1718</v>
      </c>
      <c r="AN107" t="s">
        <v>1718</v>
      </c>
      <c r="AO107" t="s">
        <v>1718</v>
      </c>
      <c r="AP107" t="s">
        <v>1718</v>
      </c>
      <c r="AQ107" t="s">
        <v>1718</v>
      </c>
      <c r="AR107" t="s">
        <v>1718</v>
      </c>
      <c r="AS107" t="s">
        <v>1718</v>
      </c>
      <c r="AT107" t="s">
        <v>1718</v>
      </c>
      <c r="AU107" t="s">
        <v>1718</v>
      </c>
      <c r="AV107" t="str">
        <f>VLOOKUP(D107,DATA_SISTEMA!$A$1:$Q$506,12,FALSE)</f>
        <v>CHICLAYO</v>
      </c>
      <c r="AW107" t="str">
        <f>VLOOKUP(D107,DATA_SISTEMA!$A$1:$Q$506,11,FALSE)</f>
        <v>CHICLAYO</v>
      </c>
      <c r="AX107" t="str">
        <f>VLOOKUP(D107,DATA_SISTEMA!$A$1:$Q$506,10,FALSE)</f>
        <v>LAMBAYEQUE</v>
      </c>
      <c r="AY107" t="s">
        <v>1718</v>
      </c>
      <c r="AZ107" t="s">
        <v>5028</v>
      </c>
      <c r="BA107" t="s">
        <v>1718</v>
      </c>
      <c r="BB107" t="s">
        <v>5028</v>
      </c>
      <c r="BC107" t="s">
        <v>1718</v>
      </c>
      <c r="BD107" t="s">
        <v>5028</v>
      </c>
      <c r="BE107" t="s">
        <v>1718</v>
      </c>
      <c r="BF107" s="34" t="s">
        <v>2104</v>
      </c>
      <c r="BG107" s="26">
        <v>50</v>
      </c>
    </row>
    <row r="108" spans="1:59" x14ac:dyDescent="0.25">
      <c r="A108" s="4">
        <v>107</v>
      </c>
      <c r="B108" s="33" t="s">
        <v>1719</v>
      </c>
      <c r="C108" s="26" t="s">
        <v>1826</v>
      </c>
      <c r="D108" s="41" t="s">
        <v>4628</v>
      </c>
      <c r="E108" s="26" t="s">
        <v>760</v>
      </c>
      <c r="F108" s="36" t="s">
        <v>1718</v>
      </c>
      <c r="G108" s="26">
        <v>994772362</v>
      </c>
      <c r="H108" t="str">
        <f>VLOOKUP(D108,DATA_SISTEMA!$A$1:$Q$506,13,FALSE)</f>
        <v>SECTOR LOS LAURELES RAMA CASTILLA MZ. C LT. 4</v>
      </c>
      <c r="I108" t="str">
        <f>VLOOKUP(D108,DATA_SISTEMA!$A$1:$Q$506,7,FALSE)</f>
        <v>1990-04-30</v>
      </c>
      <c r="J108" s="32" t="s">
        <v>1718</v>
      </c>
      <c r="K108" s="32" t="s">
        <v>1718</v>
      </c>
      <c r="L108" s="32" t="s">
        <v>1718</v>
      </c>
      <c r="M108">
        <v>173</v>
      </c>
      <c r="N108">
        <v>0</v>
      </c>
      <c r="O108" s="32" t="str">
        <f t="shared" si="1"/>
        <v>1070020261X</v>
      </c>
      <c r="P108" s="32" t="s">
        <v>1718</v>
      </c>
      <c r="Q108" s="32" t="s">
        <v>1718</v>
      </c>
      <c r="R108" s="32" t="s">
        <v>2110</v>
      </c>
      <c r="S108" s="32" t="s">
        <v>5031</v>
      </c>
      <c r="T108" t="str">
        <f>VLOOKUP(D108,DATA_SISTEMA!$A$1:$Q$506,9,FALSE)</f>
        <v>M</v>
      </c>
      <c r="U108" s="32" t="s">
        <v>2106</v>
      </c>
      <c r="V108" s="32" t="s">
        <v>1718</v>
      </c>
      <c r="W108" s="37" t="s">
        <v>5028</v>
      </c>
      <c r="X108" s="32" t="s">
        <v>4522</v>
      </c>
      <c r="Y108" s="32" t="s">
        <v>1718</v>
      </c>
      <c r="Z108" s="32" t="s">
        <v>1718</v>
      </c>
      <c r="AA108" s="32" t="s">
        <v>5028</v>
      </c>
      <c r="AB108" s="32" t="s">
        <v>1718</v>
      </c>
      <c r="AC108" s="32" t="s">
        <v>1718</v>
      </c>
      <c r="AD108" s="32" t="s">
        <v>1718</v>
      </c>
      <c r="AE108" s="32" t="s">
        <v>1718</v>
      </c>
      <c r="AF108" s="32" t="s">
        <v>1718</v>
      </c>
      <c r="AG108" s="32" t="s">
        <v>1718</v>
      </c>
      <c r="AH108" s="32" t="s">
        <v>2107</v>
      </c>
      <c r="AI108" s="26" t="s">
        <v>1404</v>
      </c>
      <c r="AJ108" s="26" t="s">
        <v>1012</v>
      </c>
      <c r="AK108" s="26" t="s">
        <v>1013</v>
      </c>
      <c r="AL108" s="26">
        <v>46329807</v>
      </c>
      <c r="AM108" t="s">
        <v>1718</v>
      </c>
      <c r="AN108" t="s">
        <v>1718</v>
      </c>
      <c r="AO108" t="s">
        <v>1718</v>
      </c>
      <c r="AP108" t="s">
        <v>1718</v>
      </c>
      <c r="AQ108" t="s">
        <v>1718</v>
      </c>
      <c r="AR108" t="s">
        <v>1718</v>
      </c>
      <c r="AS108" t="s">
        <v>1718</v>
      </c>
      <c r="AT108" t="s">
        <v>1718</v>
      </c>
      <c r="AU108" t="s">
        <v>1718</v>
      </c>
      <c r="AV108" t="str">
        <f>VLOOKUP(D108,DATA_SISTEMA!$A$1:$Q$506,12,FALSE)</f>
        <v>MONSEFU</v>
      </c>
      <c r="AW108" t="str">
        <f>VLOOKUP(D108,DATA_SISTEMA!$A$1:$Q$506,11,FALSE)</f>
        <v>CHICLAYO</v>
      </c>
      <c r="AX108" t="str">
        <f>VLOOKUP(D108,DATA_SISTEMA!$A$1:$Q$506,10,FALSE)</f>
        <v>LAMBAYEQUE</v>
      </c>
      <c r="AY108" t="s">
        <v>1718</v>
      </c>
      <c r="AZ108" t="s">
        <v>5028</v>
      </c>
      <c r="BA108" t="s">
        <v>1718</v>
      </c>
      <c r="BB108" t="s">
        <v>5028</v>
      </c>
      <c r="BC108" t="s">
        <v>1718</v>
      </c>
      <c r="BD108" t="s">
        <v>5028</v>
      </c>
      <c r="BE108" t="s">
        <v>1718</v>
      </c>
      <c r="BF108" s="34" t="s">
        <v>2104</v>
      </c>
      <c r="BG108" s="26">
        <v>48</v>
      </c>
    </row>
    <row r="109" spans="1:59" x14ac:dyDescent="0.25">
      <c r="A109" s="4">
        <v>108</v>
      </c>
      <c r="B109" s="33" t="s">
        <v>1719</v>
      </c>
      <c r="C109" s="20" t="s">
        <v>1827</v>
      </c>
      <c r="D109" s="42" t="s">
        <v>4629</v>
      </c>
      <c r="E109" s="20" t="s">
        <v>531</v>
      </c>
      <c r="F109" s="36" t="s">
        <v>1718</v>
      </c>
      <c r="G109" s="20">
        <v>984988901</v>
      </c>
      <c r="H109" t="str">
        <f>VLOOKUP(D109,DATA_SISTEMA!$A$1:$Q$506,13,FALSE)</f>
        <v>CALLE MACHU PICCHU N°1129</v>
      </c>
      <c r="I109" t="str">
        <f>VLOOKUP(D109,DATA_SISTEMA!$A$1:$Q$506,7,FALSE)</f>
        <v>2000-05-12</v>
      </c>
      <c r="J109" s="32" t="s">
        <v>1718</v>
      </c>
      <c r="K109" s="32" t="s">
        <v>1718</v>
      </c>
      <c r="L109" s="32" t="s">
        <v>1718</v>
      </c>
      <c r="M109">
        <v>287</v>
      </c>
      <c r="N109">
        <v>0</v>
      </c>
      <c r="O109" s="32" t="str">
        <f t="shared" si="1"/>
        <v>1080020261X</v>
      </c>
      <c r="P109" s="32" t="s">
        <v>1718</v>
      </c>
      <c r="Q109" s="32" t="s">
        <v>1718</v>
      </c>
      <c r="R109" s="32" t="s">
        <v>2110</v>
      </c>
      <c r="S109" s="32" t="s">
        <v>5031</v>
      </c>
      <c r="T109" t="str">
        <f>VLOOKUP(D109,DATA_SISTEMA!$A$1:$Q$506,9,FALSE)</f>
        <v>F</v>
      </c>
      <c r="U109" s="32" t="s">
        <v>2106</v>
      </c>
      <c r="V109" s="32" t="s">
        <v>1718</v>
      </c>
      <c r="W109" s="37" t="s">
        <v>5028</v>
      </c>
      <c r="X109" s="32" t="s">
        <v>4522</v>
      </c>
      <c r="Y109" s="32" t="s">
        <v>1718</v>
      </c>
      <c r="Z109" s="32" t="s">
        <v>1718</v>
      </c>
      <c r="AA109" s="32" t="s">
        <v>5028</v>
      </c>
      <c r="AB109" s="32" t="s">
        <v>1718</v>
      </c>
      <c r="AC109" s="32" t="s">
        <v>1718</v>
      </c>
      <c r="AD109" s="32" t="s">
        <v>1718</v>
      </c>
      <c r="AE109" s="32" t="s">
        <v>1718</v>
      </c>
      <c r="AF109" s="32" t="s">
        <v>1718</v>
      </c>
      <c r="AG109" s="32" t="s">
        <v>1718</v>
      </c>
      <c r="AH109" s="32" t="s">
        <v>2107</v>
      </c>
      <c r="AI109" s="20" t="s">
        <v>1405</v>
      </c>
      <c r="AJ109" s="20" t="s">
        <v>876</v>
      </c>
      <c r="AK109" s="20" t="s">
        <v>1014</v>
      </c>
      <c r="AL109" s="20">
        <v>77434930</v>
      </c>
      <c r="AM109" t="s">
        <v>1718</v>
      </c>
      <c r="AN109" t="s">
        <v>1718</v>
      </c>
      <c r="AO109" t="s">
        <v>1718</v>
      </c>
      <c r="AP109" t="s">
        <v>1718</v>
      </c>
      <c r="AQ109" t="s">
        <v>1718</v>
      </c>
      <c r="AR109" t="s">
        <v>1718</v>
      </c>
      <c r="AS109" t="s">
        <v>1718</v>
      </c>
      <c r="AT109" t="s">
        <v>1718</v>
      </c>
      <c r="AU109" t="s">
        <v>1718</v>
      </c>
      <c r="AV109" t="str">
        <f>VLOOKUP(D109,DATA_SISTEMA!$A$1:$Q$506,12,FALSE)</f>
        <v>LA VICTORIA</v>
      </c>
      <c r="AW109" t="str">
        <f>VLOOKUP(D109,DATA_SISTEMA!$A$1:$Q$506,11,FALSE)</f>
        <v>CHICLAYO</v>
      </c>
      <c r="AX109" t="str">
        <f>VLOOKUP(D109,DATA_SISTEMA!$A$1:$Q$506,10,FALSE)</f>
        <v>LAMBAYEQUE</v>
      </c>
      <c r="AY109" t="s">
        <v>1718</v>
      </c>
      <c r="AZ109" t="s">
        <v>5028</v>
      </c>
      <c r="BA109" t="s">
        <v>1718</v>
      </c>
      <c r="BB109" t="s">
        <v>5028</v>
      </c>
      <c r="BC109" t="s">
        <v>1718</v>
      </c>
      <c r="BD109" t="s">
        <v>5028</v>
      </c>
      <c r="BE109" t="s">
        <v>1718</v>
      </c>
      <c r="BF109" s="34" t="s">
        <v>2104</v>
      </c>
      <c r="BG109" s="20">
        <v>81.5</v>
      </c>
    </row>
    <row r="110" spans="1:59" x14ac:dyDescent="0.25">
      <c r="A110" s="4">
        <v>109</v>
      </c>
      <c r="B110" s="33" t="s">
        <v>1719</v>
      </c>
      <c r="C110" s="20" t="s">
        <v>1828</v>
      </c>
      <c r="D110" s="42" t="s">
        <v>4630</v>
      </c>
      <c r="E110" s="20" t="s">
        <v>534</v>
      </c>
      <c r="F110" s="36" t="s">
        <v>1718</v>
      </c>
      <c r="G110" s="20">
        <v>903391142</v>
      </c>
      <c r="H110" t="str">
        <f>VLOOKUP(D110,DATA_SISTEMA!$A$1:$Q$506,13,FALSE)</f>
        <v>AV. MARIANO CORNEJO 870</v>
      </c>
      <c r="I110" t="str">
        <f>VLOOKUP(D110,DATA_SISTEMA!$A$1:$Q$506,7,FALSE)</f>
        <v>1997-05-13</v>
      </c>
      <c r="J110" s="32" t="s">
        <v>1718</v>
      </c>
      <c r="K110" s="32" t="s">
        <v>1718</v>
      </c>
      <c r="L110" s="32" t="s">
        <v>1718</v>
      </c>
      <c r="M110">
        <v>287</v>
      </c>
      <c r="N110">
        <v>0</v>
      </c>
      <c r="O110" s="32" t="str">
        <f t="shared" si="1"/>
        <v>1090020261X</v>
      </c>
      <c r="P110" s="32" t="s">
        <v>1718</v>
      </c>
      <c r="Q110" s="32" t="s">
        <v>1718</v>
      </c>
      <c r="R110" s="32" t="s">
        <v>2110</v>
      </c>
      <c r="S110" s="32" t="s">
        <v>5031</v>
      </c>
      <c r="T110" t="str">
        <f>VLOOKUP(D110,DATA_SISTEMA!$A$1:$Q$506,9,FALSE)</f>
        <v>M</v>
      </c>
      <c r="U110" s="32" t="s">
        <v>2106</v>
      </c>
      <c r="V110" s="32" t="s">
        <v>1718</v>
      </c>
      <c r="W110" s="37" t="s">
        <v>5028</v>
      </c>
      <c r="X110" s="32" t="s">
        <v>4522</v>
      </c>
      <c r="Y110" s="32" t="s">
        <v>1718</v>
      </c>
      <c r="Z110" s="32" t="s">
        <v>1718</v>
      </c>
      <c r="AA110" s="32" t="s">
        <v>5028</v>
      </c>
      <c r="AB110" s="32" t="s">
        <v>1718</v>
      </c>
      <c r="AC110" s="32" t="s">
        <v>1718</v>
      </c>
      <c r="AD110" s="32" t="s">
        <v>1718</v>
      </c>
      <c r="AE110" s="32" t="s">
        <v>1718</v>
      </c>
      <c r="AF110" s="32" t="s">
        <v>1718</v>
      </c>
      <c r="AG110" s="32" t="s">
        <v>1718</v>
      </c>
      <c r="AH110" s="32" t="s">
        <v>2107</v>
      </c>
      <c r="AI110" s="20" t="s">
        <v>1406</v>
      </c>
      <c r="AJ110" s="20" t="s">
        <v>1015</v>
      </c>
      <c r="AK110" s="20" t="s">
        <v>891</v>
      </c>
      <c r="AL110" s="20">
        <v>71615638</v>
      </c>
      <c r="AM110" t="s">
        <v>1718</v>
      </c>
      <c r="AN110" t="s">
        <v>1718</v>
      </c>
      <c r="AO110" t="s">
        <v>1718</v>
      </c>
      <c r="AP110" t="s">
        <v>1718</v>
      </c>
      <c r="AQ110" t="s">
        <v>1718</v>
      </c>
      <c r="AR110" t="s">
        <v>1718</v>
      </c>
      <c r="AS110" t="s">
        <v>1718</v>
      </c>
      <c r="AT110" t="s">
        <v>1718</v>
      </c>
      <c r="AU110" t="s">
        <v>1718</v>
      </c>
      <c r="AV110" t="str">
        <f>VLOOKUP(D110,DATA_SISTEMA!$A$1:$Q$506,12,FALSE)</f>
        <v>JOSE LEONARDO ORTIZ</v>
      </c>
      <c r="AW110" t="str">
        <f>VLOOKUP(D110,DATA_SISTEMA!$A$1:$Q$506,11,FALSE)</f>
        <v>CHICLAYO</v>
      </c>
      <c r="AX110" t="str">
        <f>VLOOKUP(D110,DATA_SISTEMA!$A$1:$Q$506,10,FALSE)</f>
        <v>LAMBAYEQUE</v>
      </c>
      <c r="AY110" t="s">
        <v>1718</v>
      </c>
      <c r="AZ110" t="s">
        <v>5028</v>
      </c>
      <c r="BA110" t="s">
        <v>1718</v>
      </c>
      <c r="BB110" t="s">
        <v>5028</v>
      </c>
      <c r="BC110" t="s">
        <v>1718</v>
      </c>
      <c r="BD110" t="s">
        <v>5028</v>
      </c>
      <c r="BE110" t="s">
        <v>1718</v>
      </c>
      <c r="BF110" s="34" t="s">
        <v>2104</v>
      </c>
      <c r="BG110" s="20">
        <v>79</v>
      </c>
    </row>
    <row r="111" spans="1:59" x14ac:dyDescent="0.25">
      <c r="A111" s="4">
        <v>110</v>
      </c>
      <c r="B111" s="33" t="s">
        <v>1719</v>
      </c>
      <c r="C111" s="20" t="s">
        <v>1829</v>
      </c>
      <c r="D111" s="42" t="s">
        <v>4631</v>
      </c>
      <c r="E111" s="20" t="s">
        <v>536</v>
      </c>
      <c r="F111" s="36" t="s">
        <v>1718</v>
      </c>
      <c r="G111" s="20">
        <v>927610620</v>
      </c>
      <c r="H111" t="str">
        <f>VLOOKUP(D111,DATA_SISTEMA!$A$1:$Q$506,13,FALSE)</f>
        <v>CALLE VICTOR DOIG Y LORA N° 260</v>
      </c>
      <c r="I111" t="str">
        <f>VLOOKUP(D111,DATA_SISTEMA!$A$1:$Q$506,7,FALSE)</f>
        <v>2001-03-19</v>
      </c>
      <c r="J111" s="32" t="s">
        <v>1718</v>
      </c>
      <c r="K111" s="32" t="s">
        <v>1718</v>
      </c>
      <c r="L111" s="32" t="s">
        <v>1718</v>
      </c>
      <c r="M111">
        <v>287</v>
      </c>
      <c r="N111">
        <v>0</v>
      </c>
      <c r="O111" s="32" t="str">
        <f t="shared" si="1"/>
        <v>1100020261X</v>
      </c>
      <c r="P111" s="32" t="s">
        <v>1718</v>
      </c>
      <c r="Q111" s="32" t="s">
        <v>1718</v>
      </c>
      <c r="R111" s="32" t="s">
        <v>2110</v>
      </c>
      <c r="S111" s="32" t="s">
        <v>5031</v>
      </c>
      <c r="T111" t="str">
        <f>VLOOKUP(D111,DATA_SISTEMA!$A$1:$Q$506,9,FALSE)</f>
        <v>F</v>
      </c>
      <c r="U111" s="32" t="s">
        <v>2106</v>
      </c>
      <c r="V111" s="32" t="s">
        <v>1718</v>
      </c>
      <c r="W111" s="37" t="s">
        <v>5028</v>
      </c>
      <c r="X111" s="32" t="s">
        <v>4522</v>
      </c>
      <c r="Y111" s="32" t="s">
        <v>1718</v>
      </c>
      <c r="Z111" s="32" t="s">
        <v>1718</v>
      </c>
      <c r="AA111" s="32" t="s">
        <v>5028</v>
      </c>
      <c r="AB111" s="32" t="s">
        <v>1718</v>
      </c>
      <c r="AC111" s="32" t="s">
        <v>1718</v>
      </c>
      <c r="AD111" s="32" t="s">
        <v>1718</v>
      </c>
      <c r="AE111" s="32" t="s">
        <v>1718</v>
      </c>
      <c r="AF111" s="32" t="s">
        <v>1718</v>
      </c>
      <c r="AG111" s="32" t="s">
        <v>1718</v>
      </c>
      <c r="AH111" s="32" t="s">
        <v>2107</v>
      </c>
      <c r="AI111" s="20" t="s">
        <v>1407</v>
      </c>
      <c r="AJ111" s="20" t="s">
        <v>1016</v>
      </c>
      <c r="AK111" s="20" t="s">
        <v>1017</v>
      </c>
      <c r="AL111" s="20">
        <v>75915522</v>
      </c>
      <c r="AM111" t="s">
        <v>1718</v>
      </c>
      <c r="AN111" t="s">
        <v>1718</v>
      </c>
      <c r="AO111" t="s">
        <v>1718</v>
      </c>
      <c r="AP111" t="s">
        <v>1718</v>
      </c>
      <c r="AQ111" t="s">
        <v>1718</v>
      </c>
      <c r="AR111" t="s">
        <v>1718</v>
      </c>
      <c r="AS111" t="s">
        <v>1718</v>
      </c>
      <c r="AT111" t="s">
        <v>1718</v>
      </c>
      <c r="AU111" t="s">
        <v>1718</v>
      </c>
      <c r="AV111" t="str">
        <f>VLOOKUP(D111,DATA_SISTEMA!$A$1:$Q$506,12,FALSE)</f>
        <v>LAMBAYEQUE</v>
      </c>
      <c r="AW111" t="str">
        <f>VLOOKUP(D111,DATA_SISTEMA!$A$1:$Q$506,11,FALSE)</f>
        <v>LAMBAYEQUE</v>
      </c>
      <c r="AX111" t="str">
        <f>VLOOKUP(D111,DATA_SISTEMA!$A$1:$Q$506,10,FALSE)</f>
        <v>LAMBAYEQUE</v>
      </c>
      <c r="AY111" t="s">
        <v>1718</v>
      </c>
      <c r="AZ111" t="s">
        <v>5028</v>
      </c>
      <c r="BA111" t="s">
        <v>1718</v>
      </c>
      <c r="BB111" t="s">
        <v>5028</v>
      </c>
      <c r="BC111" t="s">
        <v>1718</v>
      </c>
      <c r="BD111" t="s">
        <v>5028</v>
      </c>
      <c r="BE111" t="s">
        <v>1718</v>
      </c>
      <c r="BF111" s="34" t="s">
        <v>2104</v>
      </c>
      <c r="BG111" s="20">
        <v>79</v>
      </c>
    </row>
    <row r="112" spans="1:59" x14ac:dyDescent="0.25">
      <c r="A112" s="4">
        <v>111</v>
      </c>
      <c r="B112" s="33" t="s">
        <v>1719</v>
      </c>
      <c r="C112" s="20" t="s">
        <v>1830</v>
      </c>
      <c r="D112" s="42" t="s">
        <v>4632</v>
      </c>
      <c r="E112" s="20" t="s">
        <v>538</v>
      </c>
      <c r="F112" s="36" t="s">
        <v>1718</v>
      </c>
      <c r="G112" s="20">
        <v>933199989</v>
      </c>
      <c r="H112" t="str">
        <f>VLOOKUP(D112,DATA_SISTEMA!$A$1:$Q$506,13,FALSE)</f>
        <v>AVENIDA LOS INCAS 191, CONDOMINIO ALAMEDA LOS INCAS, BLOCK C - 308</v>
      </c>
      <c r="I112" t="str">
        <f>VLOOKUP(D112,DATA_SISTEMA!$A$1:$Q$506,7,FALSE)</f>
        <v>2000-03-10</v>
      </c>
      <c r="J112" s="32" t="s">
        <v>1718</v>
      </c>
      <c r="K112" s="32" t="s">
        <v>1718</v>
      </c>
      <c r="L112" s="32" t="s">
        <v>1718</v>
      </c>
      <c r="M112">
        <v>287</v>
      </c>
      <c r="N112">
        <v>0</v>
      </c>
      <c r="O112" s="32" t="str">
        <f t="shared" si="1"/>
        <v>1110020261X</v>
      </c>
      <c r="P112" s="32" t="s">
        <v>1718</v>
      </c>
      <c r="Q112" s="32" t="s">
        <v>1718</v>
      </c>
      <c r="R112" s="32" t="s">
        <v>2110</v>
      </c>
      <c r="S112" s="32" t="s">
        <v>5031</v>
      </c>
      <c r="T112" t="str">
        <f>VLOOKUP(D112,DATA_SISTEMA!$A$1:$Q$506,9,FALSE)</f>
        <v>M</v>
      </c>
      <c r="U112" s="32" t="s">
        <v>2106</v>
      </c>
      <c r="V112" s="32" t="s">
        <v>1718</v>
      </c>
      <c r="W112" s="37" t="s">
        <v>5028</v>
      </c>
      <c r="X112" s="32" t="s">
        <v>4522</v>
      </c>
      <c r="Y112" s="32" t="s">
        <v>1718</v>
      </c>
      <c r="Z112" s="32" t="s">
        <v>1718</v>
      </c>
      <c r="AA112" s="32" t="s">
        <v>5028</v>
      </c>
      <c r="AB112" s="32" t="s">
        <v>1718</v>
      </c>
      <c r="AC112" s="32" t="s">
        <v>1718</v>
      </c>
      <c r="AD112" s="32" t="s">
        <v>1718</v>
      </c>
      <c r="AE112" s="32" t="s">
        <v>1718</v>
      </c>
      <c r="AF112" s="32" t="s">
        <v>1718</v>
      </c>
      <c r="AG112" s="32" t="s">
        <v>1718</v>
      </c>
      <c r="AH112" s="32" t="s">
        <v>2107</v>
      </c>
      <c r="AI112" s="20" t="s">
        <v>1408</v>
      </c>
      <c r="AJ112" s="20" t="s">
        <v>1018</v>
      </c>
      <c r="AK112" s="20" t="s">
        <v>1019</v>
      </c>
      <c r="AL112" s="20">
        <v>76055110</v>
      </c>
      <c r="AM112" t="s">
        <v>1718</v>
      </c>
      <c r="AN112" t="s">
        <v>1718</v>
      </c>
      <c r="AO112" t="s">
        <v>1718</v>
      </c>
      <c r="AP112" t="s">
        <v>1718</v>
      </c>
      <c r="AQ112" t="s">
        <v>1718</v>
      </c>
      <c r="AR112" t="s">
        <v>1718</v>
      </c>
      <c r="AS112" t="s">
        <v>1718</v>
      </c>
      <c r="AT112" t="s">
        <v>1718</v>
      </c>
      <c r="AU112" t="s">
        <v>1718</v>
      </c>
      <c r="AV112" t="str">
        <f>VLOOKUP(D112,DATA_SISTEMA!$A$1:$Q$506,12,FALSE)</f>
        <v>LA VICTORIA</v>
      </c>
      <c r="AW112" t="str">
        <f>VLOOKUP(D112,DATA_SISTEMA!$A$1:$Q$506,11,FALSE)</f>
        <v>CHICLAYO</v>
      </c>
      <c r="AX112" t="str">
        <f>VLOOKUP(D112,DATA_SISTEMA!$A$1:$Q$506,10,FALSE)</f>
        <v>LAMBAYEQUE</v>
      </c>
      <c r="AY112" t="s">
        <v>1718</v>
      </c>
      <c r="AZ112" t="s">
        <v>5028</v>
      </c>
      <c r="BA112" t="s">
        <v>1718</v>
      </c>
      <c r="BB112" t="s">
        <v>5028</v>
      </c>
      <c r="BC112" t="s">
        <v>1718</v>
      </c>
      <c r="BD112" t="s">
        <v>5028</v>
      </c>
      <c r="BE112" t="s">
        <v>1718</v>
      </c>
      <c r="BF112" s="34" t="s">
        <v>2104</v>
      </c>
      <c r="BG112" s="20">
        <v>78</v>
      </c>
    </row>
    <row r="113" spans="1:59" x14ac:dyDescent="0.25">
      <c r="A113" s="4">
        <v>112</v>
      </c>
      <c r="B113" s="33" t="s">
        <v>1719</v>
      </c>
      <c r="C113" s="20" t="s">
        <v>1831</v>
      </c>
      <c r="D113" s="42" t="s">
        <v>4633</v>
      </c>
      <c r="E113" s="20" t="s">
        <v>540</v>
      </c>
      <c r="F113" s="36" t="s">
        <v>1718</v>
      </c>
      <c r="G113" s="20">
        <v>978158802</v>
      </c>
      <c r="H113" t="str">
        <f>VLOOKUP(D113,DATA_SISTEMA!$A$1:$Q$506,13,FALSE)</f>
        <v>AV ORREGO 764 BLOCK AD 401-LA VICTORIA</v>
      </c>
      <c r="I113" t="str">
        <f>VLOOKUP(D113,DATA_SISTEMA!$A$1:$Q$506,7,FALSE)</f>
        <v>1971-05-04</v>
      </c>
      <c r="J113" s="32" t="s">
        <v>1718</v>
      </c>
      <c r="K113" s="32" t="s">
        <v>1718</v>
      </c>
      <c r="L113" s="32" t="s">
        <v>1718</v>
      </c>
      <c r="M113">
        <v>287</v>
      </c>
      <c r="N113">
        <v>0</v>
      </c>
      <c r="O113" s="32" t="str">
        <f t="shared" si="1"/>
        <v>1120020261X</v>
      </c>
      <c r="P113" s="32" t="s">
        <v>1718</v>
      </c>
      <c r="Q113" s="32" t="s">
        <v>1718</v>
      </c>
      <c r="R113" s="32" t="s">
        <v>2110</v>
      </c>
      <c r="S113" s="32" t="s">
        <v>5031</v>
      </c>
      <c r="T113" t="str">
        <f>VLOOKUP(D113,DATA_SISTEMA!$A$1:$Q$506,9,FALSE)</f>
        <v>F</v>
      </c>
      <c r="U113" s="32" t="s">
        <v>2106</v>
      </c>
      <c r="V113" s="32" t="s">
        <v>1718</v>
      </c>
      <c r="W113" s="37" t="s">
        <v>5028</v>
      </c>
      <c r="X113" s="32" t="s">
        <v>4522</v>
      </c>
      <c r="Y113" s="32" t="s">
        <v>1718</v>
      </c>
      <c r="Z113" s="32" t="s">
        <v>1718</v>
      </c>
      <c r="AA113" s="32" t="s">
        <v>5028</v>
      </c>
      <c r="AB113" s="32" t="s">
        <v>1718</v>
      </c>
      <c r="AC113" s="32" t="s">
        <v>1718</v>
      </c>
      <c r="AD113" s="32" t="s">
        <v>1718</v>
      </c>
      <c r="AE113" s="32" t="s">
        <v>1718</v>
      </c>
      <c r="AF113" s="32" t="s">
        <v>1718</v>
      </c>
      <c r="AG113" s="32" t="s">
        <v>1718</v>
      </c>
      <c r="AH113" s="32" t="s">
        <v>2107</v>
      </c>
      <c r="AI113" s="20" t="s">
        <v>1409</v>
      </c>
      <c r="AJ113" s="20" t="s">
        <v>1020</v>
      </c>
      <c r="AK113" s="20" t="s">
        <v>1021</v>
      </c>
      <c r="AL113" s="20">
        <v>16721931</v>
      </c>
      <c r="AM113" t="s">
        <v>1718</v>
      </c>
      <c r="AN113" t="s">
        <v>1718</v>
      </c>
      <c r="AO113" t="s">
        <v>1718</v>
      </c>
      <c r="AP113" t="s">
        <v>1718</v>
      </c>
      <c r="AQ113" t="s">
        <v>1718</v>
      </c>
      <c r="AR113" t="s">
        <v>1718</v>
      </c>
      <c r="AS113" t="s">
        <v>1718</v>
      </c>
      <c r="AT113" t="s">
        <v>1718</v>
      </c>
      <c r="AU113" t="s">
        <v>1718</v>
      </c>
      <c r="AV113" t="str">
        <f>VLOOKUP(D113,DATA_SISTEMA!$A$1:$Q$506,12,FALSE)</f>
        <v>JOSE LEONARDO ORTIZ</v>
      </c>
      <c r="AW113" t="str">
        <f>VLOOKUP(D113,DATA_SISTEMA!$A$1:$Q$506,11,FALSE)</f>
        <v>CHICLAYO</v>
      </c>
      <c r="AX113" t="str">
        <f>VLOOKUP(D113,DATA_SISTEMA!$A$1:$Q$506,10,FALSE)</f>
        <v>LAMBAYEQUE</v>
      </c>
      <c r="AY113" t="s">
        <v>1718</v>
      </c>
      <c r="AZ113" t="s">
        <v>5028</v>
      </c>
      <c r="BA113" t="s">
        <v>1718</v>
      </c>
      <c r="BB113" t="s">
        <v>5028</v>
      </c>
      <c r="BC113" t="s">
        <v>1718</v>
      </c>
      <c r="BD113" t="s">
        <v>5028</v>
      </c>
      <c r="BE113" t="s">
        <v>1718</v>
      </c>
      <c r="BF113" s="34" t="s">
        <v>2104</v>
      </c>
      <c r="BG113" s="20">
        <v>77.900000000000006</v>
      </c>
    </row>
    <row r="114" spans="1:59" x14ac:dyDescent="0.25">
      <c r="A114" s="4">
        <v>113</v>
      </c>
      <c r="B114" s="33" t="s">
        <v>1719</v>
      </c>
      <c r="C114" s="20" t="s">
        <v>1832</v>
      </c>
      <c r="D114" s="42" t="s">
        <v>4634</v>
      </c>
      <c r="E114" s="20" t="s">
        <v>542</v>
      </c>
      <c r="F114" s="36" t="s">
        <v>1718</v>
      </c>
      <c r="G114" s="20">
        <v>961470746</v>
      </c>
      <c r="H114" t="str">
        <f>VLOOKUP(D114,DATA_SISTEMA!$A$1:$Q$506,13,FALSE)</f>
        <v>MZ Q LOTE 26 PUEBLO JOVEN SANTO TORIBIO DE MOGROVEJO</v>
      </c>
      <c r="I114" t="str">
        <f>VLOOKUP(D114,DATA_SISTEMA!$A$1:$Q$506,7,FALSE)</f>
        <v>2002-04-01</v>
      </c>
      <c r="J114" s="32" t="s">
        <v>1718</v>
      </c>
      <c r="K114" s="32" t="s">
        <v>1718</v>
      </c>
      <c r="L114" s="32" t="s">
        <v>1718</v>
      </c>
      <c r="M114">
        <v>287</v>
      </c>
      <c r="N114">
        <v>0</v>
      </c>
      <c r="O114" s="32" t="str">
        <f t="shared" si="1"/>
        <v>1130020261X</v>
      </c>
      <c r="P114" s="32" t="s">
        <v>1718</v>
      </c>
      <c r="Q114" s="32" t="s">
        <v>1718</v>
      </c>
      <c r="R114" s="32" t="s">
        <v>2110</v>
      </c>
      <c r="S114" s="32" t="s">
        <v>5031</v>
      </c>
      <c r="T114" t="str">
        <f>VLOOKUP(D114,DATA_SISTEMA!$A$1:$Q$506,9,FALSE)</f>
        <v>M</v>
      </c>
      <c r="U114" s="32" t="s">
        <v>2106</v>
      </c>
      <c r="V114" s="32" t="s">
        <v>1718</v>
      </c>
      <c r="W114" s="37" t="s">
        <v>5028</v>
      </c>
      <c r="X114" s="32" t="s">
        <v>4522</v>
      </c>
      <c r="Y114" s="32" t="s">
        <v>1718</v>
      </c>
      <c r="Z114" s="32" t="s">
        <v>1718</v>
      </c>
      <c r="AA114" s="32" t="s">
        <v>5028</v>
      </c>
      <c r="AB114" s="32" t="s">
        <v>1718</v>
      </c>
      <c r="AC114" s="32" t="s">
        <v>1718</v>
      </c>
      <c r="AD114" s="32" t="s">
        <v>1718</v>
      </c>
      <c r="AE114" s="32" t="s">
        <v>1718</v>
      </c>
      <c r="AF114" s="32" t="s">
        <v>1718</v>
      </c>
      <c r="AG114" s="32" t="s">
        <v>1718</v>
      </c>
      <c r="AH114" s="32" t="s">
        <v>2107</v>
      </c>
      <c r="AI114" s="20" t="s">
        <v>1410</v>
      </c>
      <c r="AJ114" s="20" t="s">
        <v>1022</v>
      </c>
      <c r="AK114" s="20" t="s">
        <v>891</v>
      </c>
      <c r="AL114" s="20">
        <v>75860731</v>
      </c>
      <c r="AM114" t="s">
        <v>1718</v>
      </c>
      <c r="AN114" t="s">
        <v>1718</v>
      </c>
      <c r="AO114" t="s">
        <v>1718</v>
      </c>
      <c r="AP114" t="s">
        <v>1718</v>
      </c>
      <c r="AQ114" t="s">
        <v>1718</v>
      </c>
      <c r="AR114" t="s">
        <v>1718</v>
      </c>
      <c r="AS114" t="s">
        <v>1718</v>
      </c>
      <c r="AT114" t="s">
        <v>1718</v>
      </c>
      <c r="AU114" t="s">
        <v>1718</v>
      </c>
      <c r="AV114" t="str">
        <f>VLOOKUP(D114,DATA_SISTEMA!$A$1:$Q$506,12,FALSE)</f>
        <v>CHICLAYO</v>
      </c>
      <c r="AW114" t="str">
        <f>VLOOKUP(D114,DATA_SISTEMA!$A$1:$Q$506,11,FALSE)</f>
        <v>CHICLAYO</v>
      </c>
      <c r="AX114" t="str">
        <f>VLOOKUP(D114,DATA_SISTEMA!$A$1:$Q$506,10,FALSE)</f>
        <v>LAMBAYEQUE</v>
      </c>
      <c r="AY114" t="s">
        <v>1718</v>
      </c>
      <c r="AZ114" t="s">
        <v>5028</v>
      </c>
      <c r="BA114" t="s">
        <v>1718</v>
      </c>
      <c r="BB114" t="s">
        <v>5028</v>
      </c>
      <c r="BC114" t="s">
        <v>1718</v>
      </c>
      <c r="BD114" t="s">
        <v>5028</v>
      </c>
      <c r="BE114" t="s">
        <v>1718</v>
      </c>
      <c r="BF114" s="34" t="s">
        <v>2104</v>
      </c>
      <c r="BG114" s="20">
        <v>77.5</v>
      </c>
    </row>
    <row r="115" spans="1:59" x14ac:dyDescent="0.25">
      <c r="A115" s="4">
        <v>114</v>
      </c>
      <c r="B115" s="33" t="s">
        <v>1719</v>
      </c>
      <c r="C115" s="20" t="s">
        <v>1833</v>
      </c>
      <c r="D115" s="42" t="s">
        <v>4635</v>
      </c>
      <c r="E115" s="20" t="s">
        <v>544</v>
      </c>
      <c r="F115" s="36" t="s">
        <v>1718</v>
      </c>
      <c r="G115" s="20">
        <v>984987561</v>
      </c>
      <c r="H115" t="str">
        <f>VLOOKUP(D115,DATA_SISTEMA!$A$1:$Q$506,13,FALSE)</f>
        <v>A.H. CRUZ DEL ALGARROBO MZ. A, LT. 12</v>
      </c>
      <c r="I115" t="str">
        <f>VLOOKUP(D115,DATA_SISTEMA!$A$1:$Q$506,7,FALSE)</f>
        <v>2000-10-02</v>
      </c>
      <c r="J115" s="32" t="s">
        <v>1718</v>
      </c>
      <c r="K115" s="32" t="s">
        <v>1718</v>
      </c>
      <c r="L115" s="32" t="s">
        <v>1718</v>
      </c>
      <c r="M115">
        <v>287</v>
      </c>
      <c r="N115">
        <v>0</v>
      </c>
      <c r="O115" s="32" t="str">
        <f t="shared" si="1"/>
        <v>1140020261X</v>
      </c>
      <c r="P115" s="32" t="s">
        <v>1718</v>
      </c>
      <c r="Q115" s="32" t="s">
        <v>1718</v>
      </c>
      <c r="R115" s="32" t="s">
        <v>2110</v>
      </c>
      <c r="S115" s="32" t="s">
        <v>5031</v>
      </c>
      <c r="T115" t="str">
        <f>VLOOKUP(D115,DATA_SISTEMA!$A$1:$Q$506,9,FALSE)</f>
        <v>M</v>
      </c>
      <c r="U115" s="32" t="s">
        <v>2106</v>
      </c>
      <c r="V115" s="32" t="s">
        <v>1718</v>
      </c>
      <c r="W115" s="37" t="s">
        <v>5028</v>
      </c>
      <c r="X115" s="32" t="s">
        <v>4522</v>
      </c>
      <c r="Y115" s="32" t="s">
        <v>1718</v>
      </c>
      <c r="Z115" s="32" t="s">
        <v>1718</v>
      </c>
      <c r="AA115" s="32" t="s">
        <v>5028</v>
      </c>
      <c r="AB115" s="32" t="s">
        <v>1718</v>
      </c>
      <c r="AC115" s="32" t="s">
        <v>1718</v>
      </c>
      <c r="AD115" s="32" t="s">
        <v>1718</v>
      </c>
      <c r="AE115" s="32" t="s">
        <v>1718</v>
      </c>
      <c r="AF115" s="32" t="s">
        <v>1718</v>
      </c>
      <c r="AG115" s="32" t="s">
        <v>1718</v>
      </c>
      <c r="AH115" s="32" t="s">
        <v>2107</v>
      </c>
      <c r="AI115" s="20" t="s">
        <v>1411</v>
      </c>
      <c r="AJ115" s="20" t="s">
        <v>1023</v>
      </c>
      <c r="AK115" s="20" t="s">
        <v>1024</v>
      </c>
      <c r="AL115" s="20">
        <v>75826160</v>
      </c>
      <c r="AM115" t="s">
        <v>1718</v>
      </c>
      <c r="AN115" t="s">
        <v>1718</v>
      </c>
      <c r="AO115" t="s">
        <v>1718</v>
      </c>
      <c r="AP115" t="s">
        <v>1718</v>
      </c>
      <c r="AQ115" t="s">
        <v>1718</v>
      </c>
      <c r="AR115" t="s">
        <v>1718</v>
      </c>
      <c r="AS115" t="s">
        <v>1718</v>
      </c>
      <c r="AT115" t="s">
        <v>1718</v>
      </c>
      <c r="AU115" t="s">
        <v>1718</v>
      </c>
      <c r="AV115" t="str">
        <f>VLOOKUP(D115,DATA_SISTEMA!$A$1:$Q$506,12,FALSE)</f>
        <v>LAMBAYEQUE</v>
      </c>
      <c r="AW115" t="str">
        <f>VLOOKUP(D115,DATA_SISTEMA!$A$1:$Q$506,11,FALSE)</f>
        <v>LAMBAYEQUE</v>
      </c>
      <c r="AX115" t="str">
        <f>VLOOKUP(D115,DATA_SISTEMA!$A$1:$Q$506,10,FALSE)</f>
        <v>LAMBAYEQUE</v>
      </c>
      <c r="AY115" t="s">
        <v>1718</v>
      </c>
      <c r="AZ115" t="s">
        <v>5028</v>
      </c>
      <c r="BA115" t="s">
        <v>1718</v>
      </c>
      <c r="BB115" t="s">
        <v>5028</v>
      </c>
      <c r="BC115" t="s">
        <v>1718</v>
      </c>
      <c r="BD115" t="s">
        <v>5028</v>
      </c>
      <c r="BE115" t="s">
        <v>1718</v>
      </c>
      <c r="BF115" s="34" t="s">
        <v>2104</v>
      </c>
      <c r="BG115" s="20">
        <v>77.099999999999994</v>
      </c>
    </row>
    <row r="116" spans="1:59" x14ac:dyDescent="0.25">
      <c r="A116" s="4">
        <v>115</v>
      </c>
      <c r="B116" s="33" t="s">
        <v>1719</v>
      </c>
      <c r="C116" s="20" t="s">
        <v>1834</v>
      </c>
      <c r="D116" s="42" t="s">
        <v>4636</v>
      </c>
      <c r="E116" s="20" t="s">
        <v>546</v>
      </c>
      <c r="F116" s="36" t="s">
        <v>1718</v>
      </c>
      <c r="G116" s="20">
        <v>947868827</v>
      </c>
      <c r="H116" t="str">
        <f>VLOOKUP(D116,DATA_SISTEMA!$A$1:$Q$506,13,FALSE)</f>
        <v>MAYTA CAPAC 1184</v>
      </c>
      <c r="I116" t="str">
        <f>VLOOKUP(D116,DATA_SISTEMA!$A$1:$Q$506,7,FALSE)</f>
        <v>2004-04-16</v>
      </c>
      <c r="J116" s="32" t="s">
        <v>1718</v>
      </c>
      <c r="K116" s="32" t="s">
        <v>1718</v>
      </c>
      <c r="L116" s="32" t="s">
        <v>1718</v>
      </c>
      <c r="M116">
        <v>287</v>
      </c>
      <c r="N116">
        <v>0</v>
      </c>
      <c r="O116" s="32" t="str">
        <f t="shared" si="1"/>
        <v>1150020261X</v>
      </c>
      <c r="P116" s="32" t="s">
        <v>1718</v>
      </c>
      <c r="Q116" s="32" t="s">
        <v>1718</v>
      </c>
      <c r="R116" s="32" t="s">
        <v>2110</v>
      </c>
      <c r="S116" s="32" t="s">
        <v>5031</v>
      </c>
      <c r="T116" t="str">
        <f>VLOOKUP(D116,DATA_SISTEMA!$A$1:$Q$506,9,FALSE)</f>
        <v>M</v>
      </c>
      <c r="U116" s="32" t="s">
        <v>2106</v>
      </c>
      <c r="V116" s="32" t="s">
        <v>1718</v>
      </c>
      <c r="W116" s="37" t="s">
        <v>5028</v>
      </c>
      <c r="X116" s="32" t="s">
        <v>4522</v>
      </c>
      <c r="Y116" s="32" t="s">
        <v>1718</v>
      </c>
      <c r="Z116" s="32" t="s">
        <v>1718</v>
      </c>
      <c r="AA116" s="32" t="s">
        <v>5028</v>
      </c>
      <c r="AB116" s="32" t="s">
        <v>1718</v>
      </c>
      <c r="AC116" s="32" t="s">
        <v>1718</v>
      </c>
      <c r="AD116" s="32" t="s">
        <v>1718</v>
      </c>
      <c r="AE116" s="32" t="s">
        <v>1718</v>
      </c>
      <c r="AF116" s="32" t="s">
        <v>1718</v>
      </c>
      <c r="AG116" s="32" t="s">
        <v>1718</v>
      </c>
      <c r="AH116" s="32" t="s">
        <v>2107</v>
      </c>
      <c r="AI116" s="20" t="s">
        <v>1412</v>
      </c>
      <c r="AJ116" s="20" t="s">
        <v>1025</v>
      </c>
      <c r="AK116" s="20" t="s">
        <v>1026</v>
      </c>
      <c r="AL116" s="20">
        <v>73302661</v>
      </c>
      <c r="AM116" t="s">
        <v>1718</v>
      </c>
      <c r="AN116" t="s">
        <v>1718</v>
      </c>
      <c r="AO116" t="s">
        <v>1718</v>
      </c>
      <c r="AP116" t="s">
        <v>1718</v>
      </c>
      <c r="AQ116" t="s">
        <v>1718</v>
      </c>
      <c r="AR116" t="s">
        <v>1718</v>
      </c>
      <c r="AS116" t="s">
        <v>1718</v>
      </c>
      <c r="AT116" t="s">
        <v>1718</v>
      </c>
      <c r="AU116" t="s">
        <v>1718</v>
      </c>
      <c r="AV116" t="str">
        <f>VLOOKUP(D116,DATA_SISTEMA!$A$1:$Q$506,12,FALSE)</f>
        <v>LA VICTORIA</v>
      </c>
      <c r="AW116" t="str">
        <f>VLOOKUP(D116,DATA_SISTEMA!$A$1:$Q$506,11,FALSE)</f>
        <v>CHICLAYO</v>
      </c>
      <c r="AX116" t="str">
        <f>VLOOKUP(D116,DATA_SISTEMA!$A$1:$Q$506,10,FALSE)</f>
        <v>LAMBAYEQUE</v>
      </c>
      <c r="AY116" t="s">
        <v>1718</v>
      </c>
      <c r="AZ116" t="s">
        <v>5028</v>
      </c>
      <c r="BA116" t="s">
        <v>1718</v>
      </c>
      <c r="BB116" t="s">
        <v>5028</v>
      </c>
      <c r="BC116" t="s">
        <v>1718</v>
      </c>
      <c r="BD116" t="s">
        <v>5028</v>
      </c>
      <c r="BE116" t="s">
        <v>1718</v>
      </c>
      <c r="BF116" s="34" t="s">
        <v>2104</v>
      </c>
      <c r="BG116" s="20">
        <v>76.5</v>
      </c>
    </row>
    <row r="117" spans="1:59" x14ac:dyDescent="0.25">
      <c r="A117" s="4">
        <v>116</v>
      </c>
      <c r="B117" s="33" t="s">
        <v>1719</v>
      </c>
      <c r="C117" s="20" t="s">
        <v>1835</v>
      </c>
      <c r="D117" s="42" t="s">
        <v>4637</v>
      </c>
      <c r="E117" s="20" t="s">
        <v>548</v>
      </c>
      <c r="F117" s="36" t="s">
        <v>1718</v>
      </c>
      <c r="G117" s="20">
        <v>991102426</v>
      </c>
      <c r="H117" t="str">
        <f>VLOOKUP(D117,DATA_SISTEMA!$A$1:$Q$506,13,FALSE)</f>
        <v>CALLE PEDRO RUIZ MZ C LT 07-A P. JOVEN SANTA ROSA</v>
      </c>
      <c r="I117" t="str">
        <f>VLOOKUP(D117,DATA_SISTEMA!$A$1:$Q$506,7,FALSE)</f>
        <v>2002-06-29</v>
      </c>
      <c r="J117" s="32" t="s">
        <v>1718</v>
      </c>
      <c r="K117" s="32" t="s">
        <v>1718</v>
      </c>
      <c r="L117" s="32" t="s">
        <v>1718</v>
      </c>
      <c r="M117">
        <v>287</v>
      </c>
      <c r="N117">
        <v>0</v>
      </c>
      <c r="O117" s="32" t="str">
        <f t="shared" si="1"/>
        <v>1160020261X</v>
      </c>
      <c r="P117" s="32" t="s">
        <v>1718</v>
      </c>
      <c r="Q117" s="32" t="s">
        <v>1718</v>
      </c>
      <c r="R117" s="32" t="s">
        <v>2110</v>
      </c>
      <c r="S117" s="32" t="s">
        <v>5031</v>
      </c>
      <c r="T117" t="str">
        <f>VLOOKUP(D117,DATA_SISTEMA!$A$1:$Q$506,9,FALSE)</f>
        <v>F</v>
      </c>
      <c r="U117" s="32" t="s">
        <v>2106</v>
      </c>
      <c r="V117" s="32" t="s">
        <v>1718</v>
      </c>
      <c r="W117" s="37" t="s">
        <v>5028</v>
      </c>
      <c r="X117" s="32" t="s">
        <v>4522</v>
      </c>
      <c r="Y117" s="32" t="s">
        <v>1718</v>
      </c>
      <c r="Z117" s="32" t="s">
        <v>1718</v>
      </c>
      <c r="AA117" s="32" t="s">
        <v>5028</v>
      </c>
      <c r="AB117" s="32" t="s">
        <v>1718</v>
      </c>
      <c r="AC117" s="32" t="s">
        <v>1718</v>
      </c>
      <c r="AD117" s="32" t="s">
        <v>1718</v>
      </c>
      <c r="AE117" s="32" t="s">
        <v>1718</v>
      </c>
      <c r="AF117" s="32" t="s">
        <v>1718</v>
      </c>
      <c r="AG117" s="32" t="s">
        <v>1718</v>
      </c>
      <c r="AH117" s="32" t="s">
        <v>2107</v>
      </c>
      <c r="AI117" s="20" t="s">
        <v>1413</v>
      </c>
      <c r="AJ117" s="20" t="s">
        <v>1027</v>
      </c>
      <c r="AK117" s="20" t="s">
        <v>858</v>
      </c>
      <c r="AL117" s="20">
        <v>71521433</v>
      </c>
      <c r="AM117" t="s">
        <v>1718</v>
      </c>
      <c r="AN117" t="s">
        <v>1718</v>
      </c>
      <c r="AO117" t="s">
        <v>1718</v>
      </c>
      <c r="AP117" t="s">
        <v>1718</v>
      </c>
      <c r="AQ117" t="s">
        <v>1718</v>
      </c>
      <c r="AR117" t="s">
        <v>1718</v>
      </c>
      <c r="AS117" t="s">
        <v>1718</v>
      </c>
      <c r="AT117" t="s">
        <v>1718</v>
      </c>
      <c r="AU117" t="s">
        <v>1718</v>
      </c>
      <c r="AV117" t="str">
        <f>VLOOKUP(D117,DATA_SISTEMA!$A$1:$Q$506,12,FALSE)</f>
        <v>LAMBAYEQUE</v>
      </c>
      <c r="AW117" t="str">
        <f>VLOOKUP(D117,DATA_SISTEMA!$A$1:$Q$506,11,FALSE)</f>
        <v>LAMBAYEQUE</v>
      </c>
      <c r="AX117" t="str">
        <f>VLOOKUP(D117,DATA_SISTEMA!$A$1:$Q$506,10,FALSE)</f>
        <v>LAMBAYEQUE</v>
      </c>
      <c r="AY117" t="s">
        <v>1718</v>
      </c>
      <c r="AZ117" t="s">
        <v>5028</v>
      </c>
      <c r="BA117" t="s">
        <v>1718</v>
      </c>
      <c r="BB117" t="s">
        <v>5028</v>
      </c>
      <c r="BC117" t="s">
        <v>1718</v>
      </c>
      <c r="BD117" t="s">
        <v>5028</v>
      </c>
      <c r="BE117" t="s">
        <v>1718</v>
      </c>
      <c r="BF117" s="34" t="s">
        <v>2104</v>
      </c>
      <c r="BG117" s="20">
        <v>76</v>
      </c>
    </row>
    <row r="118" spans="1:59" x14ac:dyDescent="0.25">
      <c r="A118" s="4">
        <v>117</v>
      </c>
      <c r="B118" s="33" t="s">
        <v>1719</v>
      </c>
      <c r="C118" s="20" t="s">
        <v>1836</v>
      </c>
      <c r="D118" s="42" t="s">
        <v>4638</v>
      </c>
      <c r="E118" s="20" t="s">
        <v>550</v>
      </c>
      <c r="F118" s="36" t="s">
        <v>1718</v>
      </c>
      <c r="G118" s="20">
        <v>942890881</v>
      </c>
      <c r="H118" t="str">
        <f>VLOOKUP(D118,DATA_SISTEMA!$A$1:$Q$506,13,FALSE)</f>
        <v>JIRON SAN MARTIN 228</v>
      </c>
      <c r="I118" t="str">
        <f>VLOOKUP(D118,DATA_SISTEMA!$A$1:$Q$506,7,FALSE)</f>
        <v>2001-03-29</v>
      </c>
      <c r="J118" s="32" t="s">
        <v>1718</v>
      </c>
      <c r="K118" s="32" t="s">
        <v>1718</v>
      </c>
      <c r="L118" s="32" t="s">
        <v>1718</v>
      </c>
      <c r="M118">
        <v>287</v>
      </c>
      <c r="N118">
        <v>0</v>
      </c>
      <c r="O118" s="32" t="str">
        <f t="shared" si="1"/>
        <v>1170020261X</v>
      </c>
      <c r="P118" s="32" t="s">
        <v>1718</v>
      </c>
      <c r="Q118" s="32" t="s">
        <v>1718</v>
      </c>
      <c r="R118" s="32" t="s">
        <v>2110</v>
      </c>
      <c r="S118" s="32" t="s">
        <v>5031</v>
      </c>
      <c r="T118" t="str">
        <f>VLOOKUP(D118,DATA_SISTEMA!$A$1:$Q$506,9,FALSE)</f>
        <v>F</v>
      </c>
      <c r="U118" s="32" t="s">
        <v>2106</v>
      </c>
      <c r="V118" s="32" t="s">
        <v>1718</v>
      </c>
      <c r="W118" s="37" t="s">
        <v>5028</v>
      </c>
      <c r="X118" s="32" t="s">
        <v>4522</v>
      </c>
      <c r="Y118" s="32" t="s">
        <v>1718</v>
      </c>
      <c r="Z118" s="32" t="s">
        <v>1718</v>
      </c>
      <c r="AA118" s="32" t="s">
        <v>5028</v>
      </c>
      <c r="AB118" s="32" t="s">
        <v>1718</v>
      </c>
      <c r="AC118" s="32" t="s">
        <v>1718</v>
      </c>
      <c r="AD118" s="32" t="s">
        <v>1718</v>
      </c>
      <c r="AE118" s="32" t="s">
        <v>1718</v>
      </c>
      <c r="AF118" s="32" t="s">
        <v>1718</v>
      </c>
      <c r="AG118" s="32" t="s">
        <v>1718</v>
      </c>
      <c r="AH118" s="32" t="s">
        <v>2107</v>
      </c>
      <c r="AI118" s="20" t="s">
        <v>1414</v>
      </c>
      <c r="AJ118" s="20" t="s">
        <v>1028</v>
      </c>
      <c r="AK118" s="20" t="s">
        <v>901</v>
      </c>
      <c r="AL118" s="20">
        <v>72120310</v>
      </c>
      <c r="AM118" t="s">
        <v>1718</v>
      </c>
      <c r="AN118" t="s">
        <v>1718</v>
      </c>
      <c r="AO118" t="s">
        <v>1718</v>
      </c>
      <c r="AP118" t="s">
        <v>1718</v>
      </c>
      <c r="AQ118" t="s">
        <v>1718</v>
      </c>
      <c r="AR118" t="s">
        <v>1718</v>
      </c>
      <c r="AS118" t="s">
        <v>1718</v>
      </c>
      <c r="AT118" t="s">
        <v>1718</v>
      </c>
      <c r="AU118" t="s">
        <v>1718</v>
      </c>
      <c r="AV118" t="str">
        <f>VLOOKUP(D118,DATA_SISTEMA!$A$1:$Q$506,12,FALSE)</f>
        <v>CHOTA</v>
      </c>
      <c r="AW118" t="str">
        <f>VLOOKUP(D118,DATA_SISTEMA!$A$1:$Q$506,11,FALSE)</f>
        <v xml:space="preserve">CHOTA </v>
      </c>
      <c r="AX118" t="str">
        <f>VLOOKUP(D118,DATA_SISTEMA!$A$1:$Q$506,10,FALSE)</f>
        <v>CAJAMARCA</v>
      </c>
      <c r="AY118" t="s">
        <v>1718</v>
      </c>
      <c r="AZ118" t="s">
        <v>5028</v>
      </c>
      <c r="BA118" t="s">
        <v>1718</v>
      </c>
      <c r="BB118" t="s">
        <v>5028</v>
      </c>
      <c r="BC118" t="s">
        <v>1718</v>
      </c>
      <c r="BD118" t="s">
        <v>5028</v>
      </c>
      <c r="BE118" t="s">
        <v>1718</v>
      </c>
      <c r="BF118" s="34" t="s">
        <v>2104</v>
      </c>
      <c r="BG118" s="20">
        <v>76</v>
      </c>
    </row>
    <row r="119" spans="1:59" x14ac:dyDescent="0.25">
      <c r="A119" s="4">
        <v>118</v>
      </c>
      <c r="B119" s="33" t="s">
        <v>1719</v>
      </c>
      <c r="C119" s="20" t="s">
        <v>1837</v>
      </c>
      <c r="D119" s="42" t="s">
        <v>4639</v>
      </c>
      <c r="E119" s="20" t="s">
        <v>552</v>
      </c>
      <c r="F119" s="36" t="s">
        <v>1718</v>
      </c>
      <c r="G119" s="20">
        <v>912748022</v>
      </c>
      <c r="H119" t="str">
        <f>VLOOKUP(D119,DATA_SISTEMA!$A$1:$Q$506,13,FALSE)</f>
        <v>AV. INTI RAYMI 1206</v>
      </c>
      <c r="I119" t="str">
        <f>VLOOKUP(D119,DATA_SISTEMA!$A$1:$Q$506,7,FALSE)</f>
        <v>2000-11-28</v>
      </c>
      <c r="J119" s="32" t="s">
        <v>1718</v>
      </c>
      <c r="K119" s="32" t="s">
        <v>1718</v>
      </c>
      <c r="L119" s="32" t="s">
        <v>1718</v>
      </c>
      <c r="M119">
        <v>287</v>
      </c>
      <c r="N119">
        <v>0</v>
      </c>
      <c r="O119" s="32" t="str">
        <f t="shared" si="1"/>
        <v>1180020261X</v>
      </c>
      <c r="P119" s="32" t="s">
        <v>1718</v>
      </c>
      <c r="Q119" s="32" t="s">
        <v>1718</v>
      </c>
      <c r="R119" s="32" t="s">
        <v>2110</v>
      </c>
      <c r="S119" s="32" t="s">
        <v>5031</v>
      </c>
      <c r="T119" t="str">
        <f>VLOOKUP(D119,DATA_SISTEMA!$A$1:$Q$506,9,FALSE)</f>
        <v>F</v>
      </c>
      <c r="U119" s="32" t="s">
        <v>2106</v>
      </c>
      <c r="V119" s="32" t="s">
        <v>1718</v>
      </c>
      <c r="W119" s="37" t="s">
        <v>5028</v>
      </c>
      <c r="X119" s="32" t="s">
        <v>4522</v>
      </c>
      <c r="Y119" s="32" t="s">
        <v>1718</v>
      </c>
      <c r="Z119" s="32" t="s">
        <v>1718</v>
      </c>
      <c r="AA119" s="32" t="s">
        <v>5028</v>
      </c>
      <c r="AB119" s="32" t="s">
        <v>1718</v>
      </c>
      <c r="AC119" s="32" t="s">
        <v>1718</v>
      </c>
      <c r="AD119" s="32" t="s">
        <v>1718</v>
      </c>
      <c r="AE119" s="32" t="s">
        <v>1718</v>
      </c>
      <c r="AF119" s="32" t="s">
        <v>1718</v>
      </c>
      <c r="AG119" s="32" t="s">
        <v>1718</v>
      </c>
      <c r="AH119" s="32" t="s">
        <v>2107</v>
      </c>
      <c r="AI119" s="20" t="s">
        <v>1415</v>
      </c>
      <c r="AJ119" s="20" t="s">
        <v>870</v>
      </c>
      <c r="AK119" s="20" t="s">
        <v>1029</v>
      </c>
      <c r="AL119" s="20">
        <v>72032293</v>
      </c>
      <c r="AM119" t="s">
        <v>1718</v>
      </c>
      <c r="AN119" t="s">
        <v>1718</v>
      </c>
      <c r="AO119" t="s">
        <v>1718</v>
      </c>
      <c r="AP119" t="s">
        <v>1718</v>
      </c>
      <c r="AQ119" t="s">
        <v>1718</v>
      </c>
      <c r="AR119" t="s">
        <v>1718</v>
      </c>
      <c r="AS119" t="s">
        <v>1718</v>
      </c>
      <c r="AT119" t="s">
        <v>1718</v>
      </c>
      <c r="AU119" t="s">
        <v>1718</v>
      </c>
      <c r="AV119" t="str">
        <f>VLOOKUP(D119,DATA_SISTEMA!$A$1:$Q$506,12,FALSE)</f>
        <v>LA VICTORIA</v>
      </c>
      <c r="AW119" t="str">
        <f>VLOOKUP(D119,DATA_SISTEMA!$A$1:$Q$506,11,FALSE)</f>
        <v>CHICLAYO</v>
      </c>
      <c r="AX119" t="str">
        <f>VLOOKUP(D119,DATA_SISTEMA!$A$1:$Q$506,10,FALSE)</f>
        <v>LAMBAYEQUE</v>
      </c>
      <c r="AY119" t="s">
        <v>1718</v>
      </c>
      <c r="AZ119" t="s">
        <v>5028</v>
      </c>
      <c r="BA119" t="s">
        <v>1718</v>
      </c>
      <c r="BB119" t="s">
        <v>5028</v>
      </c>
      <c r="BC119" t="s">
        <v>1718</v>
      </c>
      <c r="BD119" t="s">
        <v>5028</v>
      </c>
      <c r="BE119" t="s">
        <v>1718</v>
      </c>
      <c r="BF119" s="34" t="s">
        <v>2104</v>
      </c>
      <c r="BG119" s="20">
        <v>75</v>
      </c>
    </row>
    <row r="120" spans="1:59" x14ac:dyDescent="0.25">
      <c r="A120" s="4">
        <v>119</v>
      </c>
      <c r="B120" s="33" t="s">
        <v>1719</v>
      </c>
      <c r="C120" s="20" t="s">
        <v>1838</v>
      </c>
      <c r="D120" s="42" t="s">
        <v>4640</v>
      </c>
      <c r="E120" s="20" t="s">
        <v>554</v>
      </c>
      <c r="F120" s="36" t="s">
        <v>1718</v>
      </c>
      <c r="G120" s="20">
        <v>971957636</v>
      </c>
      <c r="H120" t="str">
        <f>VLOOKUP(D120,DATA_SISTEMA!$A$1:$Q$506,13,FALSE)</f>
        <v>MARISCAL URETA 276</v>
      </c>
      <c r="I120" t="str">
        <f>VLOOKUP(D120,DATA_SISTEMA!$A$1:$Q$506,7,FALSE)</f>
        <v>2001-03-09</v>
      </c>
      <c r="J120" s="32" t="s">
        <v>1718</v>
      </c>
      <c r="K120" s="32" t="s">
        <v>1718</v>
      </c>
      <c r="L120" s="32" t="s">
        <v>1718</v>
      </c>
      <c r="M120">
        <v>287</v>
      </c>
      <c r="N120">
        <v>0</v>
      </c>
      <c r="O120" s="32" t="str">
        <f t="shared" si="1"/>
        <v>1190020261X</v>
      </c>
      <c r="P120" s="32" t="s">
        <v>1718</v>
      </c>
      <c r="Q120" s="32" t="s">
        <v>1718</v>
      </c>
      <c r="R120" s="32" t="s">
        <v>2110</v>
      </c>
      <c r="S120" s="32" t="s">
        <v>5031</v>
      </c>
      <c r="T120" t="str">
        <f>VLOOKUP(D120,DATA_SISTEMA!$A$1:$Q$506,9,FALSE)</f>
        <v>M</v>
      </c>
      <c r="U120" s="32" t="s">
        <v>2106</v>
      </c>
      <c r="V120" s="32" t="s">
        <v>1718</v>
      </c>
      <c r="W120" s="37" t="s">
        <v>5028</v>
      </c>
      <c r="X120" s="32" t="s">
        <v>4522</v>
      </c>
      <c r="Y120" s="32" t="s">
        <v>1718</v>
      </c>
      <c r="Z120" s="32" t="s">
        <v>1718</v>
      </c>
      <c r="AA120" s="32" t="s">
        <v>5028</v>
      </c>
      <c r="AB120" s="32" t="s">
        <v>1718</v>
      </c>
      <c r="AC120" s="32" t="s">
        <v>1718</v>
      </c>
      <c r="AD120" s="32" t="s">
        <v>1718</v>
      </c>
      <c r="AE120" s="32" t="s">
        <v>1718</v>
      </c>
      <c r="AF120" s="32" t="s">
        <v>1718</v>
      </c>
      <c r="AG120" s="32" t="s">
        <v>1718</v>
      </c>
      <c r="AH120" s="32" t="s">
        <v>2107</v>
      </c>
      <c r="AI120" s="20" t="s">
        <v>1416</v>
      </c>
      <c r="AJ120" s="20" t="s">
        <v>915</v>
      </c>
      <c r="AK120" s="20" t="s">
        <v>1030</v>
      </c>
      <c r="AL120" s="20">
        <v>75439954</v>
      </c>
      <c r="AM120" t="s">
        <v>1718</v>
      </c>
      <c r="AN120" t="s">
        <v>1718</v>
      </c>
      <c r="AO120" t="s">
        <v>1718</v>
      </c>
      <c r="AP120" t="s">
        <v>1718</v>
      </c>
      <c r="AQ120" t="s">
        <v>1718</v>
      </c>
      <c r="AR120" t="s">
        <v>1718</v>
      </c>
      <c r="AS120" t="s">
        <v>1718</v>
      </c>
      <c r="AT120" t="s">
        <v>1718</v>
      </c>
      <c r="AU120" t="s">
        <v>1718</v>
      </c>
      <c r="AV120" t="str">
        <f>VLOOKUP(D120,DATA_SISTEMA!$A$1:$Q$506,12,FALSE)</f>
        <v>SANTA ROSA</v>
      </c>
      <c r="AW120" t="str">
        <f>VLOOKUP(D120,DATA_SISTEMA!$A$1:$Q$506,11,FALSE)</f>
        <v>CHICLAYO</v>
      </c>
      <c r="AX120" t="str">
        <f>VLOOKUP(D120,DATA_SISTEMA!$A$1:$Q$506,10,FALSE)</f>
        <v>LAMBAYEQUE</v>
      </c>
      <c r="AY120" t="s">
        <v>1718</v>
      </c>
      <c r="AZ120" t="s">
        <v>5028</v>
      </c>
      <c r="BA120" t="s">
        <v>1718</v>
      </c>
      <c r="BB120" t="s">
        <v>5028</v>
      </c>
      <c r="BC120" t="s">
        <v>1718</v>
      </c>
      <c r="BD120" t="s">
        <v>5028</v>
      </c>
      <c r="BE120" t="s">
        <v>1718</v>
      </c>
      <c r="BF120" s="34" t="s">
        <v>2104</v>
      </c>
      <c r="BG120" s="20">
        <v>74.7</v>
      </c>
    </row>
    <row r="121" spans="1:59" x14ac:dyDescent="0.25">
      <c r="A121" s="4">
        <v>120</v>
      </c>
      <c r="B121" s="33" t="s">
        <v>1719</v>
      </c>
      <c r="C121" s="20" t="s">
        <v>1839</v>
      </c>
      <c r="D121" s="42" t="s">
        <v>4641</v>
      </c>
      <c r="E121" s="20" t="s">
        <v>556</v>
      </c>
      <c r="F121" s="36" t="s">
        <v>1718</v>
      </c>
      <c r="G121" s="20">
        <v>986494739</v>
      </c>
      <c r="H121" t="str">
        <f>VLOOKUP(D121,DATA_SISTEMA!$A$1:$Q$506,13,FALSE)</f>
        <v>CALLE BAGUA 338 URB. JOSE QUIÑONES GONZALES</v>
      </c>
      <c r="I121" t="str">
        <f>VLOOKUP(D121,DATA_SISTEMA!$A$1:$Q$506,7,FALSE)</f>
        <v>1999-05-29</v>
      </c>
      <c r="J121" s="32" t="s">
        <v>1718</v>
      </c>
      <c r="K121" s="32" t="s">
        <v>1718</v>
      </c>
      <c r="L121" s="32" t="s">
        <v>1718</v>
      </c>
      <c r="M121">
        <v>287</v>
      </c>
      <c r="N121">
        <v>0</v>
      </c>
      <c r="O121" s="32" t="str">
        <f t="shared" si="1"/>
        <v>1200020261X</v>
      </c>
      <c r="P121" s="32" t="s">
        <v>1718</v>
      </c>
      <c r="Q121" s="32" t="s">
        <v>1718</v>
      </c>
      <c r="R121" s="32" t="s">
        <v>2110</v>
      </c>
      <c r="S121" s="32" t="s">
        <v>5031</v>
      </c>
      <c r="T121" t="str">
        <f>VLOOKUP(D121,DATA_SISTEMA!$A$1:$Q$506,9,FALSE)</f>
        <v>F</v>
      </c>
      <c r="U121" s="32" t="s">
        <v>2106</v>
      </c>
      <c r="V121" s="32" t="s">
        <v>1718</v>
      </c>
      <c r="W121" s="37" t="s">
        <v>5028</v>
      </c>
      <c r="X121" s="32" t="s">
        <v>4522</v>
      </c>
      <c r="Y121" s="32" t="s">
        <v>1718</v>
      </c>
      <c r="Z121" s="32" t="s">
        <v>1718</v>
      </c>
      <c r="AA121" s="32" t="s">
        <v>5028</v>
      </c>
      <c r="AB121" s="32" t="s">
        <v>1718</v>
      </c>
      <c r="AC121" s="32" t="s">
        <v>1718</v>
      </c>
      <c r="AD121" s="32" t="s">
        <v>1718</v>
      </c>
      <c r="AE121" s="32" t="s">
        <v>1718</v>
      </c>
      <c r="AF121" s="32" t="s">
        <v>1718</v>
      </c>
      <c r="AG121" s="32" t="s">
        <v>1718</v>
      </c>
      <c r="AH121" s="32" t="s">
        <v>2107</v>
      </c>
      <c r="AI121" s="20" t="s">
        <v>1417</v>
      </c>
      <c r="AJ121" s="20" t="s">
        <v>1031</v>
      </c>
      <c r="AK121" s="20" t="s">
        <v>1031</v>
      </c>
      <c r="AL121" s="20">
        <v>71576811</v>
      </c>
      <c r="AM121" t="s">
        <v>1718</v>
      </c>
      <c r="AN121" t="s">
        <v>1718</v>
      </c>
      <c r="AO121" t="s">
        <v>1718</v>
      </c>
      <c r="AP121" t="s">
        <v>1718</v>
      </c>
      <c r="AQ121" t="s">
        <v>1718</v>
      </c>
      <c r="AR121" t="s">
        <v>1718</v>
      </c>
      <c r="AS121" t="s">
        <v>1718</v>
      </c>
      <c r="AT121" t="s">
        <v>1718</v>
      </c>
      <c r="AU121" t="s">
        <v>1718</v>
      </c>
      <c r="AV121" t="str">
        <f>VLOOKUP(D121,DATA_SISTEMA!$A$1:$Q$506,12,FALSE)</f>
        <v>LAMBAYEQUE</v>
      </c>
      <c r="AW121" t="str">
        <f>VLOOKUP(D121,DATA_SISTEMA!$A$1:$Q$506,11,FALSE)</f>
        <v>LAMBAYEQUE</v>
      </c>
      <c r="AX121" t="str">
        <f>VLOOKUP(D121,DATA_SISTEMA!$A$1:$Q$506,10,FALSE)</f>
        <v>LAMBAYEQUE</v>
      </c>
      <c r="AY121" t="s">
        <v>1718</v>
      </c>
      <c r="AZ121" t="s">
        <v>5028</v>
      </c>
      <c r="BA121" t="s">
        <v>1718</v>
      </c>
      <c r="BB121" t="s">
        <v>5028</v>
      </c>
      <c r="BC121" t="s">
        <v>1718</v>
      </c>
      <c r="BD121" t="s">
        <v>5028</v>
      </c>
      <c r="BE121" t="s">
        <v>1718</v>
      </c>
      <c r="BF121" s="34" t="s">
        <v>2104</v>
      </c>
      <c r="BG121" s="20">
        <v>74</v>
      </c>
    </row>
    <row r="122" spans="1:59" x14ac:dyDescent="0.25">
      <c r="A122" s="4">
        <v>121</v>
      </c>
      <c r="B122" s="33" t="s">
        <v>1719</v>
      </c>
      <c r="C122" s="20" t="s">
        <v>1840</v>
      </c>
      <c r="D122" s="42" t="s">
        <v>4642</v>
      </c>
      <c r="E122" s="20" t="s">
        <v>558</v>
      </c>
      <c r="F122" s="36" t="s">
        <v>1718</v>
      </c>
      <c r="G122" s="20">
        <v>945805328</v>
      </c>
      <c r="H122" t="str">
        <f>VLOOKUP(D122,DATA_SISTEMA!$A$1:$Q$506,13,FALSE)</f>
        <v>MZ A3 LOTE 27 GALILEA SOL DE LAS LOMAS CHICLAYO</v>
      </c>
      <c r="I122" t="str">
        <f>VLOOKUP(D122,DATA_SISTEMA!$A$1:$Q$506,7,FALSE)</f>
        <v>1994-02-05</v>
      </c>
      <c r="J122" s="32" t="s">
        <v>1718</v>
      </c>
      <c r="K122" s="32" t="s">
        <v>1718</v>
      </c>
      <c r="L122" s="32" t="s">
        <v>1718</v>
      </c>
      <c r="M122">
        <v>287</v>
      </c>
      <c r="N122">
        <v>0</v>
      </c>
      <c r="O122" s="32" t="str">
        <f t="shared" si="1"/>
        <v>1210020261X</v>
      </c>
      <c r="P122" s="32" t="s">
        <v>1718</v>
      </c>
      <c r="Q122" s="32" t="s">
        <v>1718</v>
      </c>
      <c r="R122" s="32" t="s">
        <v>2110</v>
      </c>
      <c r="S122" s="32" t="s">
        <v>5031</v>
      </c>
      <c r="T122" t="str">
        <f>VLOOKUP(D122,DATA_SISTEMA!$A$1:$Q$506,9,FALSE)</f>
        <v>M</v>
      </c>
      <c r="U122" s="32" t="s">
        <v>2106</v>
      </c>
      <c r="V122" s="32" t="s">
        <v>1718</v>
      </c>
      <c r="W122" s="37" t="s">
        <v>5028</v>
      </c>
      <c r="X122" s="32" t="s">
        <v>4522</v>
      </c>
      <c r="Y122" s="32" t="s">
        <v>1718</v>
      </c>
      <c r="Z122" s="32" t="s">
        <v>1718</v>
      </c>
      <c r="AA122" s="32" t="s">
        <v>5028</v>
      </c>
      <c r="AB122" s="32" t="s">
        <v>1718</v>
      </c>
      <c r="AC122" s="32" t="s">
        <v>1718</v>
      </c>
      <c r="AD122" s="32" t="s">
        <v>1718</v>
      </c>
      <c r="AE122" s="32" t="s">
        <v>1718</v>
      </c>
      <c r="AF122" s="32" t="s">
        <v>1718</v>
      </c>
      <c r="AG122" s="32" t="s">
        <v>1718</v>
      </c>
      <c r="AH122" s="32" t="s">
        <v>2107</v>
      </c>
      <c r="AI122" s="20" t="s">
        <v>1418</v>
      </c>
      <c r="AJ122" s="20" t="s">
        <v>1032</v>
      </c>
      <c r="AK122" s="20" t="s">
        <v>1033</v>
      </c>
      <c r="AL122" s="20">
        <v>70843479</v>
      </c>
      <c r="AM122" t="s">
        <v>1718</v>
      </c>
      <c r="AN122" t="s">
        <v>1718</v>
      </c>
      <c r="AO122" t="s">
        <v>1718</v>
      </c>
      <c r="AP122" t="s">
        <v>1718</v>
      </c>
      <c r="AQ122" t="s">
        <v>1718</v>
      </c>
      <c r="AR122" t="s">
        <v>1718</v>
      </c>
      <c r="AS122" t="s">
        <v>1718</v>
      </c>
      <c r="AT122" t="s">
        <v>1718</v>
      </c>
      <c r="AU122" t="s">
        <v>1718</v>
      </c>
      <c r="AV122" t="str">
        <f>VLOOKUP(D122,DATA_SISTEMA!$A$1:$Q$506,12,FALSE)</f>
        <v>CHICLAYO</v>
      </c>
      <c r="AW122" t="str">
        <f>VLOOKUP(D122,DATA_SISTEMA!$A$1:$Q$506,11,FALSE)</f>
        <v>CHICLAYO</v>
      </c>
      <c r="AX122" t="str">
        <f>VLOOKUP(D122,DATA_SISTEMA!$A$1:$Q$506,10,FALSE)</f>
        <v>LAMBAYEQUE</v>
      </c>
      <c r="AY122" t="s">
        <v>1718</v>
      </c>
      <c r="AZ122" t="s">
        <v>5028</v>
      </c>
      <c r="BA122" t="s">
        <v>1718</v>
      </c>
      <c r="BB122" t="s">
        <v>5028</v>
      </c>
      <c r="BC122" t="s">
        <v>1718</v>
      </c>
      <c r="BD122" t="s">
        <v>5028</v>
      </c>
      <c r="BE122" t="s">
        <v>1718</v>
      </c>
      <c r="BF122" s="34" t="s">
        <v>2104</v>
      </c>
      <c r="BG122" s="20">
        <v>73</v>
      </c>
    </row>
    <row r="123" spans="1:59" x14ac:dyDescent="0.25">
      <c r="A123" s="4">
        <v>122</v>
      </c>
      <c r="B123" s="33" t="s">
        <v>1719</v>
      </c>
      <c r="C123" s="20" t="s">
        <v>1841</v>
      </c>
      <c r="D123" s="42" t="s">
        <v>4643</v>
      </c>
      <c r="E123" s="20" t="s">
        <v>560</v>
      </c>
      <c r="F123" s="36" t="s">
        <v>1718</v>
      </c>
      <c r="G123" s="20">
        <v>960785256</v>
      </c>
      <c r="H123" t="str">
        <f>VLOOKUP(D123,DATA_SISTEMA!$A$1:$Q$506,13,FALSE)</f>
        <v>CALLE UNIÓN N°109 URBANIZACIÓN SAN EDUARDO CHICLAYO - LAMBAYEQUE</v>
      </c>
      <c r="I123" t="str">
        <f>VLOOKUP(D123,DATA_SISTEMA!$A$1:$Q$506,7,FALSE)</f>
        <v>1979-03-22</v>
      </c>
      <c r="J123" s="32" t="s">
        <v>1718</v>
      </c>
      <c r="K123" s="32" t="s">
        <v>1718</v>
      </c>
      <c r="L123" s="32" t="s">
        <v>1718</v>
      </c>
      <c r="M123">
        <v>287</v>
      </c>
      <c r="N123">
        <v>0</v>
      </c>
      <c r="O123" s="32" t="str">
        <f t="shared" si="1"/>
        <v>1220020261X</v>
      </c>
      <c r="P123" s="32" t="s">
        <v>1718</v>
      </c>
      <c r="Q123" s="32" t="s">
        <v>1718</v>
      </c>
      <c r="R123" s="32" t="s">
        <v>2110</v>
      </c>
      <c r="S123" s="32" t="s">
        <v>5031</v>
      </c>
      <c r="T123" t="str">
        <f>VLOOKUP(D123,DATA_SISTEMA!$A$1:$Q$506,9,FALSE)</f>
        <v>M</v>
      </c>
      <c r="U123" s="32" t="s">
        <v>2106</v>
      </c>
      <c r="V123" s="32" t="s">
        <v>1718</v>
      </c>
      <c r="W123" s="37" t="s">
        <v>5028</v>
      </c>
      <c r="X123" s="32" t="s">
        <v>4522</v>
      </c>
      <c r="Y123" s="32" t="s">
        <v>1718</v>
      </c>
      <c r="Z123" s="32" t="s">
        <v>1718</v>
      </c>
      <c r="AA123" s="32" t="s">
        <v>5028</v>
      </c>
      <c r="AB123" s="32" t="s">
        <v>1718</v>
      </c>
      <c r="AC123" s="32" t="s">
        <v>1718</v>
      </c>
      <c r="AD123" s="32" t="s">
        <v>1718</v>
      </c>
      <c r="AE123" s="32" t="s">
        <v>1718</v>
      </c>
      <c r="AF123" s="32" t="s">
        <v>1718</v>
      </c>
      <c r="AG123" s="32" t="s">
        <v>1718</v>
      </c>
      <c r="AH123" s="32" t="s">
        <v>2107</v>
      </c>
      <c r="AI123" s="20" t="s">
        <v>1419</v>
      </c>
      <c r="AJ123" s="20" t="s">
        <v>1034</v>
      </c>
      <c r="AK123" s="20" t="s">
        <v>1035</v>
      </c>
      <c r="AL123" s="20">
        <v>40481231</v>
      </c>
      <c r="AM123" t="s">
        <v>1718</v>
      </c>
      <c r="AN123" t="s">
        <v>1718</v>
      </c>
      <c r="AO123" t="s">
        <v>1718</v>
      </c>
      <c r="AP123" t="s">
        <v>1718</v>
      </c>
      <c r="AQ123" t="s">
        <v>1718</v>
      </c>
      <c r="AR123" t="s">
        <v>1718</v>
      </c>
      <c r="AS123" t="s">
        <v>1718</v>
      </c>
      <c r="AT123" t="s">
        <v>1718</v>
      </c>
      <c r="AU123" t="s">
        <v>1718</v>
      </c>
      <c r="AV123" t="str">
        <f>VLOOKUP(D123,DATA_SISTEMA!$A$1:$Q$506,12,FALSE)</f>
        <v>CHICLAYO</v>
      </c>
      <c r="AW123" t="str">
        <f>VLOOKUP(D123,DATA_SISTEMA!$A$1:$Q$506,11,FALSE)</f>
        <v>CHICLAYO</v>
      </c>
      <c r="AX123" t="str">
        <f>VLOOKUP(D123,DATA_SISTEMA!$A$1:$Q$506,10,FALSE)</f>
        <v>LAMBAYEQUE</v>
      </c>
      <c r="AY123" t="s">
        <v>1718</v>
      </c>
      <c r="AZ123" t="s">
        <v>5028</v>
      </c>
      <c r="BA123" t="s">
        <v>1718</v>
      </c>
      <c r="BB123" t="s">
        <v>5028</v>
      </c>
      <c r="BC123" t="s">
        <v>1718</v>
      </c>
      <c r="BD123" t="s">
        <v>5028</v>
      </c>
      <c r="BE123" t="s">
        <v>1718</v>
      </c>
      <c r="BF123" s="34" t="s">
        <v>2104</v>
      </c>
      <c r="BG123" s="20">
        <v>72.5</v>
      </c>
    </row>
    <row r="124" spans="1:59" x14ac:dyDescent="0.25">
      <c r="A124" s="4">
        <v>123</v>
      </c>
      <c r="B124" s="33" t="s">
        <v>1719</v>
      </c>
      <c r="C124" s="20" t="s">
        <v>1842</v>
      </c>
      <c r="D124" s="42" t="s">
        <v>4644</v>
      </c>
      <c r="E124" s="20" t="s">
        <v>562</v>
      </c>
      <c r="F124" s="36" t="s">
        <v>1718</v>
      </c>
      <c r="G124" s="20">
        <v>947160444</v>
      </c>
      <c r="H124" t="str">
        <f>VLOOKUP(D124,DATA_SISTEMA!$A$1:$Q$506,13,FALSE)</f>
        <v>AVENIDA LOS INCAS 191-193 CONDOMINIO ALAMEDA LOS INKAS BLOCK C 308</v>
      </c>
      <c r="I124" t="str">
        <f>VLOOKUP(D124,DATA_SISTEMA!$A$1:$Q$506,7,FALSE)</f>
        <v>1997-04-02</v>
      </c>
      <c r="J124" s="32" t="s">
        <v>1718</v>
      </c>
      <c r="K124" s="32" t="s">
        <v>1718</v>
      </c>
      <c r="L124" s="32" t="s">
        <v>1718</v>
      </c>
      <c r="M124">
        <v>287</v>
      </c>
      <c r="N124">
        <v>0</v>
      </c>
      <c r="O124" s="32" t="str">
        <f t="shared" si="1"/>
        <v>1230020261X</v>
      </c>
      <c r="P124" s="32" t="s">
        <v>1718</v>
      </c>
      <c r="Q124" s="32" t="s">
        <v>1718</v>
      </c>
      <c r="R124" s="32" t="s">
        <v>2110</v>
      </c>
      <c r="S124" s="32" t="s">
        <v>5031</v>
      </c>
      <c r="T124" t="str">
        <f>VLOOKUP(D124,DATA_SISTEMA!$A$1:$Q$506,9,FALSE)</f>
        <v>F</v>
      </c>
      <c r="U124" s="32" t="s">
        <v>2106</v>
      </c>
      <c r="V124" s="32" t="s">
        <v>1718</v>
      </c>
      <c r="W124" s="37" t="s">
        <v>5028</v>
      </c>
      <c r="X124" s="32" t="s">
        <v>4522</v>
      </c>
      <c r="Y124" s="32" t="s">
        <v>1718</v>
      </c>
      <c r="Z124" s="32" t="s">
        <v>1718</v>
      </c>
      <c r="AA124" s="32" t="s">
        <v>5028</v>
      </c>
      <c r="AB124" s="32" t="s">
        <v>1718</v>
      </c>
      <c r="AC124" s="32" t="s">
        <v>1718</v>
      </c>
      <c r="AD124" s="32" t="s">
        <v>1718</v>
      </c>
      <c r="AE124" s="32" t="s">
        <v>1718</v>
      </c>
      <c r="AF124" s="32" t="s">
        <v>1718</v>
      </c>
      <c r="AG124" s="32" t="s">
        <v>1718</v>
      </c>
      <c r="AH124" s="32" t="s">
        <v>2107</v>
      </c>
      <c r="AI124" s="20" t="s">
        <v>1420</v>
      </c>
      <c r="AJ124" s="20" t="s">
        <v>1018</v>
      </c>
      <c r="AK124" s="20" t="s">
        <v>1019</v>
      </c>
      <c r="AL124" s="20">
        <v>76085949</v>
      </c>
      <c r="AM124" t="s">
        <v>1718</v>
      </c>
      <c r="AN124" t="s">
        <v>1718</v>
      </c>
      <c r="AO124" t="s">
        <v>1718</v>
      </c>
      <c r="AP124" t="s">
        <v>1718</v>
      </c>
      <c r="AQ124" t="s">
        <v>1718</v>
      </c>
      <c r="AR124" t="s">
        <v>1718</v>
      </c>
      <c r="AS124" t="s">
        <v>1718</v>
      </c>
      <c r="AT124" t="s">
        <v>1718</v>
      </c>
      <c r="AU124" t="s">
        <v>1718</v>
      </c>
      <c r="AV124" t="str">
        <f>VLOOKUP(D124,DATA_SISTEMA!$A$1:$Q$506,12,FALSE)</f>
        <v>CHICLAYO</v>
      </c>
      <c r="AW124" t="str">
        <f>VLOOKUP(D124,DATA_SISTEMA!$A$1:$Q$506,11,FALSE)</f>
        <v>CHICLAYO</v>
      </c>
      <c r="AX124" t="str">
        <f>VLOOKUP(D124,DATA_SISTEMA!$A$1:$Q$506,10,FALSE)</f>
        <v>LAMBAYEQUE</v>
      </c>
      <c r="AY124" t="s">
        <v>1718</v>
      </c>
      <c r="AZ124" t="s">
        <v>5028</v>
      </c>
      <c r="BA124" t="s">
        <v>1718</v>
      </c>
      <c r="BB124" t="s">
        <v>5028</v>
      </c>
      <c r="BC124" t="s">
        <v>1718</v>
      </c>
      <c r="BD124" t="s">
        <v>5028</v>
      </c>
      <c r="BE124" t="s">
        <v>1718</v>
      </c>
      <c r="BF124" s="34" t="s">
        <v>2104</v>
      </c>
      <c r="BG124" s="20">
        <v>72</v>
      </c>
    </row>
    <row r="125" spans="1:59" x14ac:dyDescent="0.25">
      <c r="A125" s="4">
        <v>124</v>
      </c>
      <c r="B125" s="33" t="s">
        <v>1719</v>
      </c>
      <c r="C125" s="20" t="s">
        <v>1843</v>
      </c>
      <c r="D125" s="42" t="s">
        <v>4645</v>
      </c>
      <c r="E125" s="20" t="s">
        <v>564</v>
      </c>
      <c r="F125" s="36" t="s">
        <v>1718</v>
      </c>
      <c r="G125" s="20">
        <v>979469504</v>
      </c>
      <c r="H125" t="str">
        <f>VLOOKUP(D125,DATA_SISTEMA!$A$1:$Q$506,13,FALSE)</f>
        <v>ROOSEVELT 1897</v>
      </c>
      <c r="I125" t="str">
        <f>VLOOKUP(D125,DATA_SISTEMA!$A$1:$Q$506,7,FALSE)</f>
        <v>1999-05-15</v>
      </c>
      <c r="J125" s="32" t="s">
        <v>1718</v>
      </c>
      <c r="K125" s="32" t="s">
        <v>1718</v>
      </c>
      <c r="L125" s="32" t="s">
        <v>1718</v>
      </c>
      <c r="M125">
        <v>287</v>
      </c>
      <c r="N125">
        <v>0</v>
      </c>
      <c r="O125" s="32" t="str">
        <f t="shared" si="1"/>
        <v>1240020261X</v>
      </c>
      <c r="P125" s="32" t="s">
        <v>1718</v>
      </c>
      <c r="Q125" s="32" t="s">
        <v>1718</v>
      </c>
      <c r="R125" s="32" t="s">
        <v>2110</v>
      </c>
      <c r="S125" s="32" t="s">
        <v>5031</v>
      </c>
      <c r="T125" t="str">
        <f>VLOOKUP(D125,DATA_SISTEMA!$A$1:$Q$506,9,FALSE)</f>
        <v>F</v>
      </c>
      <c r="U125" s="32" t="s">
        <v>2106</v>
      </c>
      <c r="V125" s="32" t="s">
        <v>1718</v>
      </c>
      <c r="W125" s="37" t="s">
        <v>5028</v>
      </c>
      <c r="X125" s="32" t="s">
        <v>4522</v>
      </c>
      <c r="Y125" s="32" t="s">
        <v>1718</v>
      </c>
      <c r="Z125" s="32" t="s">
        <v>1718</v>
      </c>
      <c r="AA125" s="32" t="s">
        <v>5028</v>
      </c>
      <c r="AB125" s="32" t="s">
        <v>1718</v>
      </c>
      <c r="AC125" s="32" t="s">
        <v>1718</v>
      </c>
      <c r="AD125" s="32" t="s">
        <v>1718</v>
      </c>
      <c r="AE125" s="32" t="s">
        <v>1718</v>
      </c>
      <c r="AF125" s="32" t="s">
        <v>1718</v>
      </c>
      <c r="AG125" s="32" t="s">
        <v>1718</v>
      </c>
      <c r="AH125" s="32" t="s">
        <v>2107</v>
      </c>
      <c r="AI125" s="20" t="s">
        <v>1421</v>
      </c>
      <c r="AJ125" s="20" t="s">
        <v>1036</v>
      </c>
      <c r="AK125" s="20" t="s">
        <v>954</v>
      </c>
      <c r="AL125" s="20">
        <v>73104437</v>
      </c>
      <c r="AM125" t="s">
        <v>1718</v>
      </c>
      <c r="AN125" t="s">
        <v>1718</v>
      </c>
      <c r="AO125" t="s">
        <v>1718</v>
      </c>
      <c r="AP125" t="s">
        <v>1718</v>
      </c>
      <c r="AQ125" t="s">
        <v>1718</v>
      </c>
      <c r="AR125" t="s">
        <v>1718</v>
      </c>
      <c r="AS125" t="s">
        <v>1718</v>
      </c>
      <c r="AT125" t="s">
        <v>1718</v>
      </c>
      <c r="AU125" t="s">
        <v>1718</v>
      </c>
      <c r="AV125" t="str">
        <f>VLOOKUP(D125,DATA_SISTEMA!$A$1:$Q$506,12,FALSE)</f>
        <v>JOSE LEONARDO ORTIZ</v>
      </c>
      <c r="AW125" t="str">
        <f>VLOOKUP(D125,DATA_SISTEMA!$A$1:$Q$506,11,FALSE)</f>
        <v>CHICLAYO</v>
      </c>
      <c r="AX125" t="str">
        <f>VLOOKUP(D125,DATA_SISTEMA!$A$1:$Q$506,10,FALSE)</f>
        <v>LAMBAYEQUE</v>
      </c>
      <c r="AY125" t="s">
        <v>1718</v>
      </c>
      <c r="AZ125" t="s">
        <v>5028</v>
      </c>
      <c r="BA125" t="s">
        <v>1718</v>
      </c>
      <c r="BB125" t="s">
        <v>5028</v>
      </c>
      <c r="BC125" t="s">
        <v>1718</v>
      </c>
      <c r="BD125" t="s">
        <v>5028</v>
      </c>
      <c r="BE125" t="s">
        <v>1718</v>
      </c>
      <c r="BF125" s="34" t="s">
        <v>2104</v>
      </c>
      <c r="BG125" s="20">
        <v>71.5</v>
      </c>
    </row>
    <row r="126" spans="1:59" x14ac:dyDescent="0.25">
      <c r="A126" s="4">
        <v>125</v>
      </c>
      <c r="B126" s="33" t="s">
        <v>1719</v>
      </c>
      <c r="C126" s="20" t="s">
        <v>1844</v>
      </c>
      <c r="D126" s="42" t="s">
        <v>4646</v>
      </c>
      <c r="E126" s="20" t="s">
        <v>566</v>
      </c>
      <c r="F126" s="36" t="s">
        <v>1718</v>
      </c>
      <c r="G126" s="20">
        <v>956995046</v>
      </c>
      <c r="H126" t="str">
        <f>VLOOKUP(D126,DATA_SISTEMA!$A$1:$Q$506,13,FALSE)</f>
        <v>CASERIO HUAMANTANGA</v>
      </c>
      <c r="I126" t="str">
        <f>VLOOKUP(D126,DATA_SISTEMA!$A$1:$Q$506,7,FALSE)</f>
        <v>1999-10-31</v>
      </c>
      <c r="J126" s="32" t="s">
        <v>1718</v>
      </c>
      <c r="K126" s="32" t="s">
        <v>1718</v>
      </c>
      <c r="L126" s="32" t="s">
        <v>1718</v>
      </c>
      <c r="M126">
        <v>287</v>
      </c>
      <c r="N126">
        <v>0</v>
      </c>
      <c r="O126" s="32" t="str">
        <f t="shared" si="1"/>
        <v>1250020261X</v>
      </c>
      <c r="P126" s="32" t="s">
        <v>1718</v>
      </c>
      <c r="Q126" s="32" t="s">
        <v>1718</v>
      </c>
      <c r="R126" s="32" t="s">
        <v>2110</v>
      </c>
      <c r="S126" s="32" t="s">
        <v>5031</v>
      </c>
      <c r="T126" t="str">
        <f>VLOOKUP(D126,DATA_SISTEMA!$A$1:$Q$506,9,FALSE)</f>
        <v>M</v>
      </c>
      <c r="U126" s="32" t="s">
        <v>2106</v>
      </c>
      <c r="V126" s="32" t="s">
        <v>1718</v>
      </c>
      <c r="W126" s="37" t="s">
        <v>5028</v>
      </c>
      <c r="X126" s="32" t="s">
        <v>4522</v>
      </c>
      <c r="Y126" s="32" t="s">
        <v>1718</v>
      </c>
      <c r="Z126" s="32" t="s">
        <v>1718</v>
      </c>
      <c r="AA126" s="32" t="s">
        <v>5028</v>
      </c>
      <c r="AB126" s="32" t="s">
        <v>1718</v>
      </c>
      <c r="AC126" s="32" t="s">
        <v>1718</v>
      </c>
      <c r="AD126" s="32" t="s">
        <v>1718</v>
      </c>
      <c r="AE126" s="32" t="s">
        <v>1718</v>
      </c>
      <c r="AF126" s="32" t="s">
        <v>1718</v>
      </c>
      <c r="AG126" s="32" t="s">
        <v>1718</v>
      </c>
      <c r="AH126" s="32" t="s">
        <v>2107</v>
      </c>
      <c r="AI126" s="20" t="s">
        <v>1422</v>
      </c>
      <c r="AJ126" s="20" t="s">
        <v>949</v>
      </c>
      <c r="AK126" s="20" t="s">
        <v>894</v>
      </c>
      <c r="AL126" s="20">
        <v>75923762</v>
      </c>
      <c r="AM126" t="s">
        <v>1718</v>
      </c>
      <c r="AN126" t="s">
        <v>1718</v>
      </c>
      <c r="AO126" t="s">
        <v>1718</v>
      </c>
      <c r="AP126" t="s">
        <v>1718</v>
      </c>
      <c r="AQ126" t="s">
        <v>1718</v>
      </c>
      <c r="AR126" t="s">
        <v>1718</v>
      </c>
      <c r="AS126" t="s">
        <v>1718</v>
      </c>
      <c r="AT126" t="s">
        <v>1718</v>
      </c>
      <c r="AU126" t="s">
        <v>1718</v>
      </c>
      <c r="AV126" t="str">
        <f>VLOOKUP(D126,DATA_SISTEMA!$A$1:$Q$506,12,FALSE)</f>
        <v>LAMBAYEQUE</v>
      </c>
      <c r="AW126" t="str">
        <f>VLOOKUP(D126,DATA_SISTEMA!$A$1:$Q$506,11,FALSE)</f>
        <v>LAMBAYEQUE</v>
      </c>
      <c r="AX126" t="str">
        <f>VLOOKUP(D126,DATA_SISTEMA!$A$1:$Q$506,10,FALSE)</f>
        <v>LAMBAYEQUE</v>
      </c>
      <c r="AY126" t="s">
        <v>1718</v>
      </c>
      <c r="AZ126" t="s">
        <v>5028</v>
      </c>
      <c r="BA126" t="s">
        <v>1718</v>
      </c>
      <c r="BB126" t="s">
        <v>5028</v>
      </c>
      <c r="BC126" t="s">
        <v>1718</v>
      </c>
      <c r="BD126" t="s">
        <v>5028</v>
      </c>
      <c r="BE126" t="s">
        <v>1718</v>
      </c>
      <c r="BF126" s="34" t="s">
        <v>2104</v>
      </c>
      <c r="BG126" s="20">
        <v>70.3</v>
      </c>
    </row>
    <row r="127" spans="1:59" x14ac:dyDescent="0.25">
      <c r="A127" s="4">
        <v>126</v>
      </c>
      <c r="B127" s="33" t="s">
        <v>1719</v>
      </c>
      <c r="C127" s="20" t="s">
        <v>1845</v>
      </c>
      <c r="D127" s="42" t="s">
        <v>4647</v>
      </c>
      <c r="E127" s="20" t="s">
        <v>568</v>
      </c>
      <c r="F127" s="36" t="s">
        <v>1718</v>
      </c>
      <c r="G127" s="20">
        <v>950497989</v>
      </c>
      <c r="H127" t="str">
        <f>VLOOKUP(D127,DATA_SISTEMA!$A$1:$Q$506,13,FALSE)</f>
        <v>CALLE SAN NTONIO N° 123</v>
      </c>
      <c r="I127" t="str">
        <f>VLOOKUP(D127,DATA_SISTEMA!$A$1:$Q$506,7,FALSE)</f>
        <v>1990-06-24</v>
      </c>
      <c r="J127" s="32" t="s">
        <v>1718</v>
      </c>
      <c r="K127" s="32" t="s">
        <v>1718</v>
      </c>
      <c r="L127" s="32" t="s">
        <v>1718</v>
      </c>
      <c r="M127">
        <v>287</v>
      </c>
      <c r="N127">
        <v>0</v>
      </c>
      <c r="O127" s="32" t="str">
        <f t="shared" si="1"/>
        <v>1260020261X</v>
      </c>
      <c r="P127" s="32" t="s">
        <v>1718</v>
      </c>
      <c r="Q127" s="32" t="s">
        <v>1718</v>
      </c>
      <c r="R127" s="32" t="s">
        <v>2110</v>
      </c>
      <c r="S127" s="32" t="s">
        <v>5031</v>
      </c>
      <c r="T127" t="str">
        <f>VLOOKUP(D127,DATA_SISTEMA!$A$1:$Q$506,9,FALSE)</f>
        <v>F</v>
      </c>
      <c r="U127" s="32" t="s">
        <v>2106</v>
      </c>
      <c r="V127" s="32" t="s">
        <v>1718</v>
      </c>
      <c r="W127" s="37" t="s">
        <v>5028</v>
      </c>
      <c r="X127" s="32" t="s">
        <v>4522</v>
      </c>
      <c r="Y127" s="32" t="s">
        <v>1718</v>
      </c>
      <c r="Z127" s="32" t="s">
        <v>1718</v>
      </c>
      <c r="AA127" s="32" t="s">
        <v>5028</v>
      </c>
      <c r="AB127" s="32" t="s">
        <v>1718</v>
      </c>
      <c r="AC127" s="32" t="s">
        <v>1718</v>
      </c>
      <c r="AD127" s="32" t="s">
        <v>1718</v>
      </c>
      <c r="AE127" s="32" t="s">
        <v>1718</v>
      </c>
      <c r="AF127" s="32" t="s">
        <v>1718</v>
      </c>
      <c r="AG127" s="32" t="s">
        <v>1718</v>
      </c>
      <c r="AH127" s="32" t="s">
        <v>2107</v>
      </c>
      <c r="AI127" s="20" t="s">
        <v>1423</v>
      </c>
      <c r="AJ127" s="20" t="s">
        <v>885</v>
      </c>
      <c r="AK127" s="20" t="s">
        <v>888</v>
      </c>
      <c r="AL127" s="20">
        <v>47203374</v>
      </c>
      <c r="AM127" t="s">
        <v>1718</v>
      </c>
      <c r="AN127" t="s">
        <v>1718</v>
      </c>
      <c r="AO127" t="s">
        <v>1718</v>
      </c>
      <c r="AP127" t="s">
        <v>1718</v>
      </c>
      <c r="AQ127" t="s">
        <v>1718</v>
      </c>
      <c r="AR127" t="s">
        <v>1718</v>
      </c>
      <c r="AS127" t="s">
        <v>1718</v>
      </c>
      <c r="AT127" t="s">
        <v>1718</v>
      </c>
      <c r="AU127" t="s">
        <v>1718</v>
      </c>
      <c r="AV127" t="str">
        <f>VLOOKUP(D127,DATA_SISTEMA!$A$1:$Q$506,12,FALSE)</f>
        <v>MORROPE</v>
      </c>
      <c r="AW127" t="str">
        <f>VLOOKUP(D127,DATA_SISTEMA!$A$1:$Q$506,11,FALSE)</f>
        <v>LAMBAYEQUE</v>
      </c>
      <c r="AX127" t="str">
        <f>VLOOKUP(D127,DATA_SISTEMA!$A$1:$Q$506,10,FALSE)</f>
        <v>LAMBAYEQUE</v>
      </c>
      <c r="AY127" t="s">
        <v>1718</v>
      </c>
      <c r="AZ127" t="s">
        <v>5028</v>
      </c>
      <c r="BA127" t="s">
        <v>1718</v>
      </c>
      <c r="BB127" t="s">
        <v>5028</v>
      </c>
      <c r="BC127" t="s">
        <v>1718</v>
      </c>
      <c r="BD127" t="s">
        <v>5028</v>
      </c>
      <c r="BE127" t="s">
        <v>1718</v>
      </c>
      <c r="BF127" s="34" t="s">
        <v>2104</v>
      </c>
      <c r="BG127" s="20">
        <v>70</v>
      </c>
    </row>
    <row r="128" spans="1:59" x14ac:dyDescent="0.25">
      <c r="A128" s="4">
        <v>127</v>
      </c>
      <c r="B128" s="33" t="s">
        <v>1719</v>
      </c>
      <c r="C128" s="20" t="s">
        <v>1846</v>
      </c>
      <c r="D128" s="42" t="s">
        <v>4648</v>
      </c>
      <c r="E128" s="20" t="s">
        <v>570</v>
      </c>
      <c r="F128" s="36" t="s">
        <v>1718</v>
      </c>
      <c r="G128" s="20">
        <v>979800079</v>
      </c>
      <c r="H128" t="str">
        <f>VLOOKUP(D128,DATA_SISTEMA!$A$1:$Q$506,13,FALSE)</f>
        <v>CALLE SAN FELIPE 321 - PPJJ NUEVO SAN LORENZO</v>
      </c>
      <c r="I128" t="str">
        <f>VLOOKUP(D128,DATA_SISTEMA!$A$1:$Q$506,7,FALSE)</f>
        <v>1990-12-11</v>
      </c>
      <c r="J128" s="32" t="s">
        <v>1718</v>
      </c>
      <c r="K128" s="32" t="s">
        <v>1718</v>
      </c>
      <c r="L128" s="32" t="s">
        <v>1718</v>
      </c>
      <c r="M128">
        <v>287</v>
      </c>
      <c r="N128">
        <v>0</v>
      </c>
      <c r="O128" s="32" t="str">
        <f t="shared" si="1"/>
        <v>1270020261X</v>
      </c>
      <c r="P128" s="32" t="s">
        <v>1718</v>
      </c>
      <c r="Q128" s="32" t="s">
        <v>1718</v>
      </c>
      <c r="R128" s="32" t="s">
        <v>2110</v>
      </c>
      <c r="S128" s="32" t="s">
        <v>5031</v>
      </c>
      <c r="T128" t="str">
        <f>VLOOKUP(D128,DATA_SISTEMA!$A$1:$Q$506,9,FALSE)</f>
        <v>F</v>
      </c>
      <c r="U128" s="32" t="s">
        <v>2106</v>
      </c>
      <c r="V128" s="32" t="s">
        <v>1718</v>
      </c>
      <c r="W128" s="37" t="s">
        <v>5028</v>
      </c>
      <c r="X128" s="32" t="s">
        <v>4522</v>
      </c>
      <c r="Y128" s="32" t="s">
        <v>1718</v>
      </c>
      <c r="Z128" s="32" t="s">
        <v>1718</v>
      </c>
      <c r="AA128" s="32" t="s">
        <v>5028</v>
      </c>
      <c r="AB128" s="32" t="s">
        <v>1718</v>
      </c>
      <c r="AC128" s="32" t="s">
        <v>1718</v>
      </c>
      <c r="AD128" s="32" t="s">
        <v>1718</v>
      </c>
      <c r="AE128" s="32" t="s">
        <v>1718</v>
      </c>
      <c r="AF128" s="32" t="s">
        <v>1718</v>
      </c>
      <c r="AG128" s="32" t="s">
        <v>1718</v>
      </c>
      <c r="AH128" s="32" t="s">
        <v>2107</v>
      </c>
      <c r="AI128" s="20" t="s">
        <v>1424</v>
      </c>
      <c r="AJ128" s="20" t="s">
        <v>1020</v>
      </c>
      <c r="AK128" s="20" t="s">
        <v>1037</v>
      </c>
      <c r="AL128" s="20">
        <v>46872048</v>
      </c>
      <c r="AM128" t="s">
        <v>1718</v>
      </c>
      <c r="AN128" t="s">
        <v>1718</v>
      </c>
      <c r="AO128" t="s">
        <v>1718</v>
      </c>
      <c r="AP128" t="s">
        <v>1718</v>
      </c>
      <c r="AQ128" t="s">
        <v>1718</v>
      </c>
      <c r="AR128" t="s">
        <v>1718</v>
      </c>
      <c r="AS128" t="s">
        <v>1718</v>
      </c>
      <c r="AT128" t="s">
        <v>1718</v>
      </c>
      <c r="AU128" t="s">
        <v>1718</v>
      </c>
      <c r="AV128" t="str">
        <f>VLOOKUP(D128,DATA_SISTEMA!$A$1:$Q$506,12,FALSE)</f>
        <v>JOSE LEONARDO ORTIZ</v>
      </c>
      <c r="AW128" t="str">
        <f>VLOOKUP(D128,DATA_SISTEMA!$A$1:$Q$506,11,FALSE)</f>
        <v>CHICLAYO</v>
      </c>
      <c r="AX128" t="str">
        <f>VLOOKUP(D128,DATA_SISTEMA!$A$1:$Q$506,10,FALSE)</f>
        <v>LAMBAYEQUE</v>
      </c>
      <c r="AY128" t="s">
        <v>1718</v>
      </c>
      <c r="AZ128" t="s">
        <v>5028</v>
      </c>
      <c r="BA128" t="s">
        <v>1718</v>
      </c>
      <c r="BB128" t="s">
        <v>5028</v>
      </c>
      <c r="BC128" t="s">
        <v>1718</v>
      </c>
      <c r="BD128" t="s">
        <v>5028</v>
      </c>
      <c r="BE128" t="s">
        <v>1718</v>
      </c>
      <c r="BF128" s="34" t="s">
        <v>2104</v>
      </c>
      <c r="BG128" s="20">
        <v>69.900000000000006</v>
      </c>
    </row>
    <row r="129" spans="1:59" x14ac:dyDescent="0.25">
      <c r="A129" s="4">
        <v>128</v>
      </c>
      <c r="B129" s="33" t="s">
        <v>1719</v>
      </c>
      <c r="C129" s="20" t="s">
        <v>1847</v>
      </c>
      <c r="D129" s="42" t="s">
        <v>4649</v>
      </c>
      <c r="E129" s="20" t="s">
        <v>572</v>
      </c>
      <c r="F129" s="36" t="s">
        <v>1718</v>
      </c>
      <c r="G129" s="20">
        <v>970755382</v>
      </c>
      <c r="H129" t="str">
        <f>VLOOKUP(D129,DATA_SISTEMA!$A$1:$Q$506,13,FALSE)</f>
        <v>AV. MIGUEL GRA N°647-URB. SANTA VICTORIA-CHICLAYO</v>
      </c>
      <c r="I129" t="str">
        <f>VLOOKUP(D129,DATA_SISTEMA!$A$1:$Q$506,7,FALSE)</f>
        <v>1996-04-22</v>
      </c>
      <c r="J129" s="32" t="s">
        <v>1718</v>
      </c>
      <c r="K129" s="32" t="s">
        <v>1718</v>
      </c>
      <c r="L129" s="32" t="s">
        <v>1718</v>
      </c>
      <c r="M129">
        <v>287</v>
      </c>
      <c r="N129">
        <v>0</v>
      </c>
      <c r="O129" s="32" t="str">
        <f t="shared" si="1"/>
        <v>1280020261X</v>
      </c>
      <c r="P129" s="32" t="s">
        <v>1718</v>
      </c>
      <c r="Q129" s="32" t="s">
        <v>1718</v>
      </c>
      <c r="R129" s="32" t="s">
        <v>2110</v>
      </c>
      <c r="S129" s="32" t="s">
        <v>5031</v>
      </c>
      <c r="T129" t="str">
        <f>VLOOKUP(D129,DATA_SISTEMA!$A$1:$Q$506,9,FALSE)</f>
        <v>F</v>
      </c>
      <c r="U129" s="32" t="s">
        <v>2106</v>
      </c>
      <c r="V129" s="32" t="s">
        <v>1718</v>
      </c>
      <c r="W129" s="37" t="s">
        <v>5028</v>
      </c>
      <c r="X129" s="32" t="s">
        <v>4522</v>
      </c>
      <c r="Y129" s="32" t="s">
        <v>1718</v>
      </c>
      <c r="Z129" s="32" t="s">
        <v>1718</v>
      </c>
      <c r="AA129" s="32" t="s">
        <v>5028</v>
      </c>
      <c r="AB129" s="32" t="s">
        <v>1718</v>
      </c>
      <c r="AC129" s="32" t="s">
        <v>1718</v>
      </c>
      <c r="AD129" s="32" t="s">
        <v>1718</v>
      </c>
      <c r="AE129" s="32" t="s">
        <v>1718</v>
      </c>
      <c r="AF129" s="32" t="s">
        <v>1718</v>
      </c>
      <c r="AG129" s="32" t="s">
        <v>1718</v>
      </c>
      <c r="AH129" s="32" t="s">
        <v>2107</v>
      </c>
      <c r="AI129" s="20" t="s">
        <v>1425</v>
      </c>
      <c r="AJ129" s="20" t="s">
        <v>1038</v>
      </c>
      <c r="AK129" s="20" t="s">
        <v>1039</v>
      </c>
      <c r="AL129" s="20">
        <v>73465205</v>
      </c>
      <c r="AM129" t="s">
        <v>1718</v>
      </c>
      <c r="AN129" t="s">
        <v>1718</v>
      </c>
      <c r="AO129" t="s">
        <v>1718</v>
      </c>
      <c r="AP129" t="s">
        <v>1718</v>
      </c>
      <c r="AQ129" t="s">
        <v>1718</v>
      </c>
      <c r="AR129" t="s">
        <v>1718</v>
      </c>
      <c r="AS129" t="s">
        <v>1718</v>
      </c>
      <c r="AT129" t="s">
        <v>1718</v>
      </c>
      <c r="AU129" t="s">
        <v>1718</v>
      </c>
      <c r="AV129" t="str">
        <f>VLOOKUP(D129,DATA_SISTEMA!$A$1:$Q$506,12,FALSE)</f>
        <v>CHICLAYO</v>
      </c>
      <c r="AW129" t="str">
        <f>VLOOKUP(D129,DATA_SISTEMA!$A$1:$Q$506,11,FALSE)</f>
        <v>CHICLAYO</v>
      </c>
      <c r="AX129" t="str">
        <f>VLOOKUP(D129,DATA_SISTEMA!$A$1:$Q$506,10,FALSE)</f>
        <v>LAMBAYEQUE</v>
      </c>
      <c r="AY129" t="s">
        <v>1718</v>
      </c>
      <c r="AZ129" t="s">
        <v>5028</v>
      </c>
      <c r="BA129" t="s">
        <v>1718</v>
      </c>
      <c r="BB129" t="s">
        <v>5028</v>
      </c>
      <c r="BC129" t="s">
        <v>1718</v>
      </c>
      <c r="BD129" t="s">
        <v>5028</v>
      </c>
      <c r="BE129" t="s">
        <v>1718</v>
      </c>
      <c r="BF129" s="34" t="s">
        <v>2104</v>
      </c>
      <c r="BG129" s="20">
        <v>69.099999999999994</v>
      </c>
    </row>
    <row r="130" spans="1:59" x14ac:dyDescent="0.25">
      <c r="A130" s="4">
        <v>129</v>
      </c>
      <c r="B130" s="33" t="s">
        <v>1719</v>
      </c>
      <c r="C130" s="20" t="s">
        <v>1848</v>
      </c>
      <c r="D130" s="42" t="s">
        <v>4650</v>
      </c>
      <c r="E130" s="20" t="s">
        <v>574</v>
      </c>
      <c r="F130" s="36" t="s">
        <v>1718</v>
      </c>
      <c r="G130" s="20">
        <v>999368378</v>
      </c>
      <c r="H130" t="str">
        <f>VLOOKUP(D130,DATA_SISTEMA!$A$1:$Q$506,13,FALSE)</f>
        <v>JR. ARMANDO DE LOS RÍOS 230 - 4 CENTRO CUTERVO</v>
      </c>
      <c r="I130" t="str">
        <f>VLOOKUP(D130,DATA_SISTEMA!$A$1:$Q$506,7,FALSE)</f>
        <v>1982-11-17</v>
      </c>
      <c r="J130" s="32" t="s">
        <v>1718</v>
      </c>
      <c r="K130" s="32" t="s">
        <v>1718</v>
      </c>
      <c r="L130" s="32" t="s">
        <v>1718</v>
      </c>
      <c r="M130">
        <v>287</v>
      </c>
      <c r="N130">
        <v>0</v>
      </c>
      <c r="O130" s="32" t="str">
        <f t="shared" si="1"/>
        <v>1290020261X</v>
      </c>
      <c r="P130" s="32" t="s">
        <v>1718</v>
      </c>
      <c r="Q130" s="32" t="s">
        <v>1718</v>
      </c>
      <c r="R130" s="32" t="s">
        <v>2110</v>
      </c>
      <c r="S130" s="32" t="s">
        <v>5031</v>
      </c>
      <c r="T130" t="str">
        <f>VLOOKUP(D130,DATA_SISTEMA!$A$1:$Q$506,9,FALSE)</f>
        <v>M</v>
      </c>
      <c r="U130" s="32" t="s">
        <v>2106</v>
      </c>
      <c r="V130" s="32" t="s">
        <v>1718</v>
      </c>
      <c r="W130" s="37" t="s">
        <v>5028</v>
      </c>
      <c r="X130" s="32" t="s">
        <v>4522</v>
      </c>
      <c r="Y130" s="32" t="s">
        <v>1718</v>
      </c>
      <c r="Z130" s="32" t="s">
        <v>1718</v>
      </c>
      <c r="AA130" s="32" t="s">
        <v>5028</v>
      </c>
      <c r="AB130" s="32" t="s">
        <v>1718</v>
      </c>
      <c r="AC130" s="32" t="s">
        <v>1718</v>
      </c>
      <c r="AD130" s="32" t="s">
        <v>1718</v>
      </c>
      <c r="AE130" s="32" t="s">
        <v>1718</v>
      </c>
      <c r="AF130" s="32" t="s">
        <v>1718</v>
      </c>
      <c r="AG130" s="32" t="s">
        <v>1718</v>
      </c>
      <c r="AH130" s="32" t="s">
        <v>2107</v>
      </c>
      <c r="AI130" s="20" t="s">
        <v>1426</v>
      </c>
      <c r="AJ130" s="20" t="s">
        <v>1041</v>
      </c>
      <c r="AK130" s="20" t="s">
        <v>947</v>
      </c>
      <c r="AL130" s="20">
        <v>41937598</v>
      </c>
      <c r="AM130" t="s">
        <v>1718</v>
      </c>
      <c r="AN130" t="s">
        <v>1718</v>
      </c>
      <c r="AO130" t="s">
        <v>1718</v>
      </c>
      <c r="AP130" t="s">
        <v>1718</v>
      </c>
      <c r="AQ130" t="s">
        <v>1718</v>
      </c>
      <c r="AR130" t="s">
        <v>1718</v>
      </c>
      <c r="AS130" t="s">
        <v>1718</v>
      </c>
      <c r="AT130" t="s">
        <v>1718</v>
      </c>
      <c r="AU130" t="s">
        <v>1718</v>
      </c>
      <c r="AV130" t="str">
        <f>VLOOKUP(D130,DATA_SISTEMA!$A$1:$Q$506,12,FALSE)</f>
        <v>CUTERVO</v>
      </c>
      <c r="AW130" t="str">
        <f>VLOOKUP(D130,DATA_SISTEMA!$A$1:$Q$506,11,FALSE)</f>
        <v>CUTERVO</v>
      </c>
      <c r="AX130" t="str">
        <f>VLOOKUP(D130,DATA_SISTEMA!$A$1:$Q$506,10,FALSE)</f>
        <v>CAJAMARCA</v>
      </c>
      <c r="AY130" t="s">
        <v>1718</v>
      </c>
      <c r="AZ130" t="s">
        <v>5028</v>
      </c>
      <c r="BA130" t="s">
        <v>1718</v>
      </c>
      <c r="BB130" t="s">
        <v>5028</v>
      </c>
      <c r="BC130" t="s">
        <v>1718</v>
      </c>
      <c r="BD130" t="s">
        <v>5028</v>
      </c>
      <c r="BE130" t="s">
        <v>1718</v>
      </c>
      <c r="BF130" s="34" t="s">
        <v>2104</v>
      </c>
      <c r="BG130" s="20">
        <v>68.5</v>
      </c>
    </row>
    <row r="131" spans="1:59" x14ac:dyDescent="0.25">
      <c r="A131" s="4">
        <v>130</v>
      </c>
      <c r="B131" s="33" t="s">
        <v>1719</v>
      </c>
      <c r="C131" s="20" t="s">
        <v>1849</v>
      </c>
      <c r="D131" s="42" t="s">
        <v>4651</v>
      </c>
      <c r="E131" s="20" t="s">
        <v>576</v>
      </c>
      <c r="F131" s="36" t="s">
        <v>1718</v>
      </c>
      <c r="G131" s="20">
        <v>920692447</v>
      </c>
      <c r="H131" t="str">
        <f>VLOOKUP(D131,DATA_SISTEMA!$A$1:$Q$506,13,FALSE)</f>
        <v>MANCO CAPAC Nº 531 URB. SAN JUAN</v>
      </c>
      <c r="I131" t="str">
        <f>VLOOKUP(D131,DATA_SISTEMA!$A$1:$Q$506,7,FALSE)</f>
        <v>1999-01-29</v>
      </c>
      <c r="J131" s="32" t="s">
        <v>1718</v>
      </c>
      <c r="K131" s="32" t="s">
        <v>1718</v>
      </c>
      <c r="L131" s="32" t="s">
        <v>1718</v>
      </c>
      <c r="M131">
        <v>287</v>
      </c>
      <c r="N131">
        <v>0</v>
      </c>
      <c r="O131" s="32" t="str">
        <f t="shared" ref="O131:O194" si="2">_xlfn.CONCAT(A131,"0020261X")</f>
        <v>1300020261X</v>
      </c>
      <c r="P131" s="32" t="s">
        <v>1718</v>
      </c>
      <c r="Q131" s="32" t="s">
        <v>1718</v>
      </c>
      <c r="R131" s="32" t="s">
        <v>2110</v>
      </c>
      <c r="S131" s="32" t="s">
        <v>5031</v>
      </c>
      <c r="T131" t="str">
        <f>VLOOKUP(D131,DATA_SISTEMA!$A$1:$Q$506,9,FALSE)</f>
        <v>F</v>
      </c>
      <c r="U131" s="32" t="s">
        <v>2106</v>
      </c>
      <c r="V131" s="32" t="s">
        <v>1718</v>
      </c>
      <c r="W131" s="37" t="s">
        <v>5028</v>
      </c>
      <c r="X131" s="32" t="s">
        <v>4522</v>
      </c>
      <c r="Y131" s="32" t="s">
        <v>1718</v>
      </c>
      <c r="Z131" s="32" t="s">
        <v>1718</v>
      </c>
      <c r="AA131" s="32" t="s">
        <v>5028</v>
      </c>
      <c r="AB131" s="32" t="s">
        <v>1718</v>
      </c>
      <c r="AC131" s="32" t="s">
        <v>1718</v>
      </c>
      <c r="AD131" s="32" t="s">
        <v>1718</v>
      </c>
      <c r="AE131" s="32" t="s">
        <v>1718</v>
      </c>
      <c r="AF131" s="32" t="s">
        <v>1718</v>
      </c>
      <c r="AG131" s="32" t="s">
        <v>1718</v>
      </c>
      <c r="AH131" s="32" t="s">
        <v>2107</v>
      </c>
      <c r="AI131" s="20" t="s">
        <v>1427</v>
      </c>
      <c r="AJ131" s="20" t="s">
        <v>858</v>
      </c>
      <c r="AK131" s="20" t="s">
        <v>913</v>
      </c>
      <c r="AL131" s="20">
        <v>74072585</v>
      </c>
      <c r="AM131" t="s">
        <v>1718</v>
      </c>
      <c r="AN131" t="s">
        <v>1718</v>
      </c>
      <c r="AO131" t="s">
        <v>1718</v>
      </c>
      <c r="AP131" t="s">
        <v>1718</v>
      </c>
      <c r="AQ131" t="s">
        <v>1718</v>
      </c>
      <c r="AR131" t="s">
        <v>1718</v>
      </c>
      <c r="AS131" t="s">
        <v>1718</v>
      </c>
      <c r="AT131" t="s">
        <v>1718</v>
      </c>
      <c r="AU131" t="s">
        <v>1718</v>
      </c>
      <c r="AV131" t="str">
        <f>VLOOKUP(D131,DATA_SISTEMA!$A$1:$Q$506,12,FALSE)</f>
        <v>CHICLAYO</v>
      </c>
      <c r="AW131" t="str">
        <f>VLOOKUP(D131,DATA_SISTEMA!$A$1:$Q$506,11,FALSE)</f>
        <v>CHICLAYO</v>
      </c>
      <c r="AX131" t="str">
        <f>VLOOKUP(D131,DATA_SISTEMA!$A$1:$Q$506,10,FALSE)</f>
        <v>LAMBAYEQUE</v>
      </c>
      <c r="AY131" t="s">
        <v>1718</v>
      </c>
      <c r="AZ131" t="s">
        <v>5028</v>
      </c>
      <c r="BA131" t="s">
        <v>1718</v>
      </c>
      <c r="BB131" t="s">
        <v>5028</v>
      </c>
      <c r="BC131" t="s">
        <v>1718</v>
      </c>
      <c r="BD131" t="s">
        <v>5028</v>
      </c>
      <c r="BE131" t="s">
        <v>1718</v>
      </c>
      <c r="BF131" s="34" t="s">
        <v>2104</v>
      </c>
      <c r="BG131" s="20">
        <v>68.3</v>
      </c>
    </row>
    <row r="132" spans="1:59" x14ac:dyDescent="0.25">
      <c r="A132" s="4">
        <v>131</v>
      </c>
      <c r="B132" s="33" t="s">
        <v>1719</v>
      </c>
      <c r="C132" s="20" t="s">
        <v>1850</v>
      </c>
      <c r="D132" s="42" t="s">
        <v>4652</v>
      </c>
      <c r="E132" s="20" t="s">
        <v>578</v>
      </c>
      <c r="F132" s="36" t="s">
        <v>1718</v>
      </c>
      <c r="G132" s="20">
        <v>916528098</v>
      </c>
      <c r="H132" t="str">
        <f>VLOOKUP(D132,DATA_SISTEMA!$A$1:$Q$506,13,FALSE)</f>
        <v>MZ A3 LOTE 27 - GALILEA SOL DE LAS LOMAS - CHICLAYO</v>
      </c>
      <c r="I132" t="str">
        <f>VLOOKUP(D132,DATA_SISTEMA!$A$1:$Q$506,7,FALSE)</f>
        <v>1998-08-21</v>
      </c>
      <c r="J132" s="32" t="s">
        <v>1718</v>
      </c>
      <c r="K132" s="32" t="s">
        <v>1718</v>
      </c>
      <c r="L132" s="32" t="s">
        <v>1718</v>
      </c>
      <c r="M132">
        <v>287</v>
      </c>
      <c r="N132">
        <v>0</v>
      </c>
      <c r="O132" s="32" t="str">
        <f t="shared" si="2"/>
        <v>1310020261X</v>
      </c>
      <c r="P132" s="32" t="s">
        <v>1718</v>
      </c>
      <c r="Q132" s="32" t="s">
        <v>1718</v>
      </c>
      <c r="R132" s="32" t="s">
        <v>2110</v>
      </c>
      <c r="S132" s="32" t="s">
        <v>5031</v>
      </c>
      <c r="T132" t="str">
        <f>VLOOKUP(D132,DATA_SISTEMA!$A$1:$Q$506,9,FALSE)</f>
        <v>F</v>
      </c>
      <c r="U132" s="32" t="s">
        <v>2106</v>
      </c>
      <c r="V132" s="32" t="s">
        <v>1718</v>
      </c>
      <c r="W132" s="37" t="s">
        <v>5028</v>
      </c>
      <c r="X132" s="32" t="s">
        <v>4522</v>
      </c>
      <c r="Y132" s="32" t="s">
        <v>1718</v>
      </c>
      <c r="Z132" s="32" t="s">
        <v>1718</v>
      </c>
      <c r="AA132" s="32" t="s">
        <v>5028</v>
      </c>
      <c r="AB132" s="32" t="s">
        <v>1718</v>
      </c>
      <c r="AC132" s="32" t="s">
        <v>1718</v>
      </c>
      <c r="AD132" s="32" t="s">
        <v>1718</v>
      </c>
      <c r="AE132" s="32" t="s">
        <v>1718</v>
      </c>
      <c r="AF132" s="32" t="s">
        <v>1718</v>
      </c>
      <c r="AG132" s="32" t="s">
        <v>1718</v>
      </c>
      <c r="AH132" s="32" t="s">
        <v>2107</v>
      </c>
      <c r="AI132" s="20" t="s">
        <v>1428</v>
      </c>
      <c r="AJ132" s="20" t="s">
        <v>900</v>
      </c>
      <c r="AK132" s="20" t="s">
        <v>940</v>
      </c>
      <c r="AL132" s="20">
        <v>74952726</v>
      </c>
      <c r="AM132" t="s">
        <v>1718</v>
      </c>
      <c r="AN132" t="s">
        <v>1718</v>
      </c>
      <c r="AO132" t="s">
        <v>1718</v>
      </c>
      <c r="AP132" t="s">
        <v>1718</v>
      </c>
      <c r="AQ132" t="s">
        <v>1718</v>
      </c>
      <c r="AR132" t="s">
        <v>1718</v>
      </c>
      <c r="AS132" t="s">
        <v>1718</v>
      </c>
      <c r="AT132" t="s">
        <v>1718</v>
      </c>
      <c r="AU132" t="s">
        <v>1718</v>
      </c>
      <c r="AV132" t="str">
        <f>VLOOKUP(D132,DATA_SISTEMA!$A$1:$Q$506,12,FALSE)</f>
        <v>CHICLAYO</v>
      </c>
      <c r="AW132" t="str">
        <f>VLOOKUP(D132,DATA_SISTEMA!$A$1:$Q$506,11,FALSE)</f>
        <v>CHICLAYO</v>
      </c>
      <c r="AX132" t="str">
        <f>VLOOKUP(D132,DATA_SISTEMA!$A$1:$Q$506,10,FALSE)</f>
        <v>LAMBAYEQUE</v>
      </c>
      <c r="AY132" t="s">
        <v>1718</v>
      </c>
      <c r="AZ132" t="s">
        <v>5028</v>
      </c>
      <c r="BA132" t="s">
        <v>1718</v>
      </c>
      <c r="BB132" t="s">
        <v>5028</v>
      </c>
      <c r="BC132" t="s">
        <v>1718</v>
      </c>
      <c r="BD132" t="s">
        <v>5028</v>
      </c>
      <c r="BE132" t="s">
        <v>1718</v>
      </c>
      <c r="BF132" s="34" t="s">
        <v>2104</v>
      </c>
      <c r="BG132" s="20">
        <v>68</v>
      </c>
    </row>
    <row r="133" spans="1:59" x14ac:dyDescent="0.25">
      <c r="A133" s="4">
        <v>132</v>
      </c>
      <c r="B133" s="33" t="s">
        <v>1719</v>
      </c>
      <c r="C133" s="20" t="s">
        <v>1851</v>
      </c>
      <c r="D133" s="42" t="s">
        <v>4653</v>
      </c>
      <c r="E133" s="20" t="s">
        <v>580</v>
      </c>
      <c r="F133" s="36" t="s">
        <v>1718</v>
      </c>
      <c r="G133" s="20">
        <v>954733874</v>
      </c>
      <c r="H133" t="str">
        <f>VLOOKUP(D133,DATA_SISTEMA!$A$1:$Q$506,13,FALSE)</f>
        <v>MANZANA D, LOTE 9, PJ. SAN JUAN - SIMÓN BOLIVAR - CHICLAYO</v>
      </c>
      <c r="I133" t="str">
        <f>VLOOKUP(D133,DATA_SISTEMA!$A$1:$Q$506,7,FALSE)</f>
        <v>1996-05-13</v>
      </c>
      <c r="J133" s="32" t="s">
        <v>1718</v>
      </c>
      <c r="K133" s="32" t="s">
        <v>1718</v>
      </c>
      <c r="L133" s="32" t="s">
        <v>1718</v>
      </c>
      <c r="M133">
        <v>287</v>
      </c>
      <c r="N133">
        <v>0</v>
      </c>
      <c r="O133" s="32" t="str">
        <f t="shared" si="2"/>
        <v>1320020261X</v>
      </c>
      <c r="P133" s="32" t="s">
        <v>1718</v>
      </c>
      <c r="Q133" s="32" t="s">
        <v>1718</v>
      </c>
      <c r="R133" s="32" t="s">
        <v>2110</v>
      </c>
      <c r="S133" s="32" t="s">
        <v>5031</v>
      </c>
      <c r="T133" t="str">
        <f>VLOOKUP(D133,DATA_SISTEMA!$A$1:$Q$506,9,FALSE)</f>
        <v>M</v>
      </c>
      <c r="U133" s="32" t="s">
        <v>2106</v>
      </c>
      <c r="V133" s="32" t="s">
        <v>1718</v>
      </c>
      <c r="W133" s="37" t="s">
        <v>5028</v>
      </c>
      <c r="X133" s="32" t="s">
        <v>4522</v>
      </c>
      <c r="Y133" s="32" t="s">
        <v>1718</v>
      </c>
      <c r="Z133" s="32" t="s">
        <v>1718</v>
      </c>
      <c r="AA133" s="32" t="s">
        <v>5028</v>
      </c>
      <c r="AB133" s="32" t="s">
        <v>1718</v>
      </c>
      <c r="AC133" s="32" t="s">
        <v>1718</v>
      </c>
      <c r="AD133" s="32" t="s">
        <v>1718</v>
      </c>
      <c r="AE133" s="32" t="s">
        <v>1718</v>
      </c>
      <c r="AF133" s="32" t="s">
        <v>1718</v>
      </c>
      <c r="AG133" s="32" t="s">
        <v>1718</v>
      </c>
      <c r="AH133" s="32" t="s">
        <v>2107</v>
      </c>
      <c r="AI133" s="20" t="s">
        <v>1429</v>
      </c>
      <c r="AJ133" s="20" t="s">
        <v>934</v>
      </c>
      <c r="AK133" s="20" t="s">
        <v>1042</v>
      </c>
      <c r="AL133" s="20">
        <v>75771350</v>
      </c>
      <c r="AM133" t="s">
        <v>1718</v>
      </c>
      <c r="AN133" t="s">
        <v>1718</v>
      </c>
      <c r="AO133" t="s">
        <v>1718</v>
      </c>
      <c r="AP133" t="s">
        <v>1718</v>
      </c>
      <c r="AQ133" t="s">
        <v>1718</v>
      </c>
      <c r="AR133" t="s">
        <v>1718</v>
      </c>
      <c r="AS133" t="s">
        <v>1718</v>
      </c>
      <c r="AT133" t="s">
        <v>1718</v>
      </c>
      <c r="AU133" t="s">
        <v>1718</v>
      </c>
      <c r="AV133" t="str">
        <f>VLOOKUP(D133,DATA_SISTEMA!$A$1:$Q$506,12,FALSE)</f>
        <v>CHICLAYO</v>
      </c>
      <c r="AW133" t="str">
        <f>VLOOKUP(D133,DATA_SISTEMA!$A$1:$Q$506,11,FALSE)</f>
        <v>CHICLAYO</v>
      </c>
      <c r="AX133" t="str">
        <f>VLOOKUP(D133,DATA_SISTEMA!$A$1:$Q$506,10,FALSE)</f>
        <v>LAMBAYEQUE</v>
      </c>
      <c r="AY133" t="s">
        <v>1718</v>
      </c>
      <c r="AZ133" t="s">
        <v>5028</v>
      </c>
      <c r="BA133" t="s">
        <v>1718</v>
      </c>
      <c r="BB133" t="s">
        <v>5028</v>
      </c>
      <c r="BC133" t="s">
        <v>1718</v>
      </c>
      <c r="BD133" t="s">
        <v>5028</v>
      </c>
      <c r="BE133" t="s">
        <v>1718</v>
      </c>
      <c r="BF133" s="34" t="s">
        <v>2104</v>
      </c>
      <c r="BG133" s="20">
        <v>68</v>
      </c>
    </row>
    <row r="134" spans="1:59" x14ac:dyDescent="0.25">
      <c r="A134" s="4">
        <v>133</v>
      </c>
      <c r="B134" s="33" t="s">
        <v>1719</v>
      </c>
      <c r="C134" s="20" t="s">
        <v>1852</v>
      </c>
      <c r="D134" s="42" t="s">
        <v>4654</v>
      </c>
      <c r="E134" s="20" t="s">
        <v>582</v>
      </c>
      <c r="F134" s="36" t="s">
        <v>1718</v>
      </c>
      <c r="G134" s="20">
        <v>996818414</v>
      </c>
      <c r="H134" t="str">
        <f>VLOOKUP(D134,DATA_SISTEMA!$A$1:$Q$506,13,FALSE)</f>
        <v>CALLE LOS OBREROS MZ. B LOTE 06 - PP.JJ. JUAN PABLO PEREGRINO - CHICLAYO.</v>
      </c>
      <c r="I134" t="str">
        <f>VLOOKUP(D134,DATA_SISTEMA!$A$1:$Q$506,7,FALSE)</f>
        <v>1994-06-22</v>
      </c>
      <c r="J134" s="32" t="s">
        <v>1718</v>
      </c>
      <c r="K134" s="32" t="s">
        <v>1718</v>
      </c>
      <c r="L134" s="32" t="s">
        <v>1718</v>
      </c>
      <c r="M134">
        <v>287</v>
      </c>
      <c r="N134">
        <v>0</v>
      </c>
      <c r="O134" s="32" t="str">
        <f t="shared" si="2"/>
        <v>1330020261X</v>
      </c>
      <c r="P134" s="32" t="s">
        <v>1718</v>
      </c>
      <c r="Q134" s="32" t="s">
        <v>1718</v>
      </c>
      <c r="R134" s="32" t="s">
        <v>2110</v>
      </c>
      <c r="S134" s="32" t="s">
        <v>5031</v>
      </c>
      <c r="T134" t="str">
        <f>VLOOKUP(D134,DATA_SISTEMA!$A$1:$Q$506,9,FALSE)</f>
        <v>F</v>
      </c>
      <c r="U134" s="32" t="s">
        <v>2106</v>
      </c>
      <c r="V134" s="32" t="s">
        <v>1718</v>
      </c>
      <c r="W134" s="37" t="s">
        <v>5028</v>
      </c>
      <c r="X134" s="32" t="s">
        <v>4522</v>
      </c>
      <c r="Y134" s="32" t="s">
        <v>1718</v>
      </c>
      <c r="Z134" s="32" t="s">
        <v>1718</v>
      </c>
      <c r="AA134" s="32" t="s">
        <v>5028</v>
      </c>
      <c r="AB134" s="32" t="s">
        <v>1718</v>
      </c>
      <c r="AC134" s="32" t="s">
        <v>1718</v>
      </c>
      <c r="AD134" s="32" t="s">
        <v>1718</v>
      </c>
      <c r="AE134" s="32" t="s">
        <v>1718</v>
      </c>
      <c r="AF134" s="32" t="s">
        <v>1718</v>
      </c>
      <c r="AG134" s="32" t="s">
        <v>1718</v>
      </c>
      <c r="AH134" s="32" t="s">
        <v>2107</v>
      </c>
      <c r="AI134" s="20" t="s">
        <v>1430</v>
      </c>
      <c r="AJ134" s="20" t="s">
        <v>1043</v>
      </c>
      <c r="AK134" s="20" t="s">
        <v>1044</v>
      </c>
      <c r="AL134" s="20">
        <v>48285822</v>
      </c>
      <c r="AM134" t="s">
        <v>1718</v>
      </c>
      <c r="AN134" t="s">
        <v>1718</v>
      </c>
      <c r="AO134" t="s">
        <v>1718</v>
      </c>
      <c r="AP134" t="s">
        <v>1718</v>
      </c>
      <c r="AQ134" t="s">
        <v>1718</v>
      </c>
      <c r="AR134" t="s">
        <v>1718</v>
      </c>
      <c r="AS134" t="s">
        <v>1718</v>
      </c>
      <c r="AT134" t="s">
        <v>1718</v>
      </c>
      <c r="AU134" t="s">
        <v>1718</v>
      </c>
      <c r="AV134" t="str">
        <f>VLOOKUP(D134,DATA_SISTEMA!$A$1:$Q$506,12,FALSE)</f>
        <v>CHICLAYO</v>
      </c>
      <c r="AW134" t="str">
        <f>VLOOKUP(D134,DATA_SISTEMA!$A$1:$Q$506,11,FALSE)</f>
        <v>CHICLAYO</v>
      </c>
      <c r="AX134" t="str">
        <f>VLOOKUP(D134,DATA_SISTEMA!$A$1:$Q$506,10,FALSE)</f>
        <v>LAMBAYEQUE</v>
      </c>
      <c r="AY134" t="s">
        <v>1718</v>
      </c>
      <c r="AZ134" t="s">
        <v>5028</v>
      </c>
      <c r="BA134" t="s">
        <v>1718</v>
      </c>
      <c r="BB134" t="s">
        <v>5028</v>
      </c>
      <c r="BC134" t="s">
        <v>1718</v>
      </c>
      <c r="BD134" t="s">
        <v>5028</v>
      </c>
      <c r="BE134" t="s">
        <v>1718</v>
      </c>
      <c r="BF134" s="34" t="s">
        <v>2104</v>
      </c>
      <c r="BG134" s="20">
        <v>67.900000000000006</v>
      </c>
    </row>
    <row r="135" spans="1:59" x14ac:dyDescent="0.25">
      <c r="A135" s="4">
        <v>134</v>
      </c>
      <c r="B135" s="33" t="s">
        <v>1719</v>
      </c>
      <c r="C135" s="20" t="s">
        <v>1853</v>
      </c>
      <c r="D135" s="42" t="s">
        <v>4655</v>
      </c>
      <c r="E135" s="20" t="s">
        <v>584</v>
      </c>
      <c r="F135" s="36" t="s">
        <v>1718</v>
      </c>
      <c r="G135" s="20">
        <v>981602489</v>
      </c>
      <c r="H135" t="str">
        <f>VLOOKUP(D135,DATA_SISTEMA!$A$1:$Q$506,13,FALSE)</f>
        <v>CALLE AUGUSTO B. LEGUIA NRO. 785 - TUCUME-LAMBAYEQUE</v>
      </c>
      <c r="I135" t="str">
        <f>VLOOKUP(D135,DATA_SISTEMA!$A$1:$Q$506,7,FALSE)</f>
        <v>1987-11-09</v>
      </c>
      <c r="J135" s="32" t="s">
        <v>1718</v>
      </c>
      <c r="K135" s="32" t="s">
        <v>1718</v>
      </c>
      <c r="L135" s="32" t="s">
        <v>1718</v>
      </c>
      <c r="M135">
        <v>287</v>
      </c>
      <c r="N135">
        <v>0</v>
      </c>
      <c r="O135" s="32" t="str">
        <f t="shared" si="2"/>
        <v>1340020261X</v>
      </c>
      <c r="P135" s="32" t="s">
        <v>1718</v>
      </c>
      <c r="Q135" s="32" t="s">
        <v>1718</v>
      </c>
      <c r="R135" s="32" t="s">
        <v>2110</v>
      </c>
      <c r="S135" s="32" t="s">
        <v>5031</v>
      </c>
      <c r="T135" t="str">
        <f>VLOOKUP(D135,DATA_SISTEMA!$A$1:$Q$506,9,FALSE)</f>
        <v>M</v>
      </c>
      <c r="U135" s="32" t="s">
        <v>2106</v>
      </c>
      <c r="V135" s="32" t="s">
        <v>1718</v>
      </c>
      <c r="W135" s="37" t="s">
        <v>5028</v>
      </c>
      <c r="X135" s="32" t="s">
        <v>4522</v>
      </c>
      <c r="Y135" s="32" t="s">
        <v>1718</v>
      </c>
      <c r="Z135" s="32" t="s">
        <v>1718</v>
      </c>
      <c r="AA135" s="32" t="s">
        <v>5028</v>
      </c>
      <c r="AB135" s="32" t="s">
        <v>1718</v>
      </c>
      <c r="AC135" s="32" t="s">
        <v>1718</v>
      </c>
      <c r="AD135" s="32" t="s">
        <v>1718</v>
      </c>
      <c r="AE135" s="32" t="s">
        <v>1718</v>
      </c>
      <c r="AF135" s="32" t="s">
        <v>1718</v>
      </c>
      <c r="AG135" s="32" t="s">
        <v>1718</v>
      </c>
      <c r="AH135" s="32" t="s">
        <v>2107</v>
      </c>
      <c r="AI135" s="20" t="s">
        <v>1431</v>
      </c>
      <c r="AJ135" s="20" t="s">
        <v>898</v>
      </c>
      <c r="AK135" s="20" t="s">
        <v>1045</v>
      </c>
      <c r="AL135" s="20">
        <v>45099926</v>
      </c>
      <c r="AM135" t="s">
        <v>1718</v>
      </c>
      <c r="AN135" t="s">
        <v>1718</v>
      </c>
      <c r="AO135" t="s">
        <v>1718</v>
      </c>
      <c r="AP135" t="s">
        <v>1718</v>
      </c>
      <c r="AQ135" t="s">
        <v>1718</v>
      </c>
      <c r="AR135" t="s">
        <v>1718</v>
      </c>
      <c r="AS135" t="s">
        <v>1718</v>
      </c>
      <c r="AT135" t="s">
        <v>1718</v>
      </c>
      <c r="AU135" t="s">
        <v>1718</v>
      </c>
      <c r="AV135" t="str">
        <f>VLOOKUP(D135,DATA_SISTEMA!$A$1:$Q$506,12,FALSE)</f>
        <v>TUCUME</v>
      </c>
      <c r="AW135" t="str">
        <f>VLOOKUP(D135,DATA_SISTEMA!$A$1:$Q$506,11,FALSE)</f>
        <v>LAMBAYEQUE</v>
      </c>
      <c r="AX135" t="str">
        <f>VLOOKUP(D135,DATA_SISTEMA!$A$1:$Q$506,10,FALSE)</f>
        <v>LAMBAYEQUE</v>
      </c>
      <c r="AY135" t="s">
        <v>1718</v>
      </c>
      <c r="AZ135" t="s">
        <v>5028</v>
      </c>
      <c r="BA135" t="s">
        <v>1718</v>
      </c>
      <c r="BB135" t="s">
        <v>5028</v>
      </c>
      <c r="BC135" t="s">
        <v>1718</v>
      </c>
      <c r="BD135" t="s">
        <v>5028</v>
      </c>
      <c r="BE135" t="s">
        <v>1718</v>
      </c>
      <c r="BF135" s="34" t="s">
        <v>2104</v>
      </c>
      <c r="BG135" s="20">
        <v>67.8</v>
      </c>
    </row>
    <row r="136" spans="1:59" x14ac:dyDescent="0.25">
      <c r="A136" s="4">
        <v>135</v>
      </c>
      <c r="B136" s="33" t="s">
        <v>1719</v>
      </c>
      <c r="C136" s="20" t="s">
        <v>1854</v>
      </c>
      <c r="D136" s="42" t="s">
        <v>4656</v>
      </c>
      <c r="E136" s="20" t="s">
        <v>586</v>
      </c>
      <c r="F136" s="36" t="s">
        <v>1718</v>
      </c>
      <c r="G136" s="20">
        <v>927639299</v>
      </c>
      <c r="H136" t="str">
        <f>VLOOKUP(D136,DATA_SISTEMA!$A$1:$Q$506,13,FALSE)</f>
        <v>CASUARINAS I ETAPA MAZ E LOTE 43</v>
      </c>
      <c r="I136" t="str">
        <f>VLOOKUP(D136,DATA_SISTEMA!$A$1:$Q$506,7,FALSE)</f>
        <v>2001-06-12</v>
      </c>
      <c r="J136" s="32" t="s">
        <v>1718</v>
      </c>
      <c r="K136" s="32" t="s">
        <v>1718</v>
      </c>
      <c r="L136" s="32" t="s">
        <v>1718</v>
      </c>
      <c r="M136">
        <v>287</v>
      </c>
      <c r="N136">
        <v>0</v>
      </c>
      <c r="O136" s="32" t="str">
        <f t="shared" si="2"/>
        <v>1350020261X</v>
      </c>
      <c r="P136" s="32" t="s">
        <v>1718</v>
      </c>
      <c r="Q136" s="32" t="s">
        <v>1718</v>
      </c>
      <c r="R136" s="32" t="s">
        <v>2110</v>
      </c>
      <c r="S136" s="32" t="s">
        <v>5031</v>
      </c>
      <c r="T136" t="str">
        <f>VLOOKUP(D136,DATA_SISTEMA!$A$1:$Q$506,9,FALSE)</f>
        <v>F</v>
      </c>
      <c r="U136" s="32" t="s">
        <v>2106</v>
      </c>
      <c r="V136" s="32" t="s">
        <v>1718</v>
      </c>
      <c r="W136" s="37" t="s">
        <v>5028</v>
      </c>
      <c r="X136" s="32" t="s">
        <v>4522</v>
      </c>
      <c r="Y136" s="32" t="s">
        <v>1718</v>
      </c>
      <c r="Z136" s="32" t="s">
        <v>1718</v>
      </c>
      <c r="AA136" s="32" t="s">
        <v>5028</v>
      </c>
      <c r="AB136" s="32" t="s">
        <v>1718</v>
      </c>
      <c r="AC136" s="32" t="s">
        <v>1718</v>
      </c>
      <c r="AD136" s="32" t="s">
        <v>1718</v>
      </c>
      <c r="AE136" s="32" t="s">
        <v>1718</v>
      </c>
      <c r="AF136" s="32" t="s">
        <v>1718</v>
      </c>
      <c r="AG136" s="32" t="s">
        <v>1718</v>
      </c>
      <c r="AH136" s="32" t="s">
        <v>2107</v>
      </c>
      <c r="AI136" s="20" t="s">
        <v>1432</v>
      </c>
      <c r="AJ136" s="20" t="s">
        <v>916</v>
      </c>
      <c r="AK136" s="20" t="s">
        <v>934</v>
      </c>
      <c r="AL136" s="20">
        <v>71448388</v>
      </c>
      <c r="AM136" t="s">
        <v>1718</v>
      </c>
      <c r="AN136" t="s">
        <v>1718</v>
      </c>
      <c r="AO136" t="s">
        <v>1718</v>
      </c>
      <c r="AP136" t="s">
        <v>1718</v>
      </c>
      <c r="AQ136" t="s">
        <v>1718</v>
      </c>
      <c r="AR136" t="s">
        <v>1718</v>
      </c>
      <c r="AS136" t="s">
        <v>1718</v>
      </c>
      <c r="AT136" t="s">
        <v>1718</v>
      </c>
      <c r="AU136" t="s">
        <v>1718</v>
      </c>
      <c r="AV136" t="str">
        <f>VLOOKUP(D136,DATA_SISTEMA!$A$1:$Q$506,12,FALSE)</f>
        <v>TUMAN</v>
      </c>
      <c r="AW136" t="str">
        <f>VLOOKUP(D136,DATA_SISTEMA!$A$1:$Q$506,11,FALSE)</f>
        <v>CHICLAYO</v>
      </c>
      <c r="AX136" t="str">
        <f>VLOOKUP(D136,DATA_SISTEMA!$A$1:$Q$506,10,FALSE)</f>
        <v>LAMBAYEQUE</v>
      </c>
      <c r="AY136" t="s">
        <v>1718</v>
      </c>
      <c r="AZ136" t="s">
        <v>5028</v>
      </c>
      <c r="BA136" t="s">
        <v>1718</v>
      </c>
      <c r="BB136" t="s">
        <v>5028</v>
      </c>
      <c r="BC136" t="s">
        <v>1718</v>
      </c>
      <c r="BD136" t="s">
        <v>5028</v>
      </c>
      <c r="BE136" t="s">
        <v>1718</v>
      </c>
      <c r="BF136" s="34" t="s">
        <v>2104</v>
      </c>
      <c r="BG136" s="20">
        <v>67.7</v>
      </c>
    </row>
    <row r="137" spans="1:59" x14ac:dyDescent="0.25">
      <c r="A137" s="4">
        <v>136</v>
      </c>
      <c r="B137" s="33" t="s">
        <v>1719</v>
      </c>
      <c r="C137" s="20" t="s">
        <v>1855</v>
      </c>
      <c r="D137" s="42" t="s">
        <v>4657</v>
      </c>
      <c r="E137" s="20" t="s">
        <v>588</v>
      </c>
      <c r="F137" s="36" t="s">
        <v>1718</v>
      </c>
      <c r="G137" s="20">
        <v>988812535</v>
      </c>
      <c r="H137" t="str">
        <f>VLOOKUP(D137,DATA_SISTEMA!$A$1:$Q$506,13,FALSE)</f>
        <v>AV. AGUSTIN VALLEJOS ZAVALA N° 269 - URB. EL PARAISO</v>
      </c>
      <c r="I137" t="str">
        <f>VLOOKUP(D137,DATA_SISTEMA!$A$1:$Q$506,7,FALSE)</f>
        <v>1994-03-13</v>
      </c>
      <c r="J137" s="32" t="s">
        <v>1718</v>
      </c>
      <c r="K137" s="32" t="s">
        <v>1718</v>
      </c>
      <c r="L137" s="32" t="s">
        <v>1718</v>
      </c>
      <c r="M137">
        <v>287</v>
      </c>
      <c r="N137">
        <v>0</v>
      </c>
      <c r="O137" s="32" t="str">
        <f t="shared" si="2"/>
        <v>1360020261X</v>
      </c>
      <c r="P137" s="32" t="s">
        <v>1718</v>
      </c>
      <c r="Q137" s="32" t="s">
        <v>1718</v>
      </c>
      <c r="R137" s="32" t="s">
        <v>2110</v>
      </c>
      <c r="S137" s="32" t="s">
        <v>5031</v>
      </c>
      <c r="T137" t="str">
        <f>VLOOKUP(D137,DATA_SISTEMA!$A$1:$Q$506,9,FALSE)</f>
        <v>F</v>
      </c>
      <c r="U137" s="32" t="s">
        <v>2106</v>
      </c>
      <c r="V137" s="32" t="s">
        <v>1718</v>
      </c>
      <c r="W137" s="37" t="s">
        <v>5028</v>
      </c>
      <c r="X137" s="32" t="s">
        <v>4522</v>
      </c>
      <c r="Y137" s="32" t="s">
        <v>1718</v>
      </c>
      <c r="Z137" s="32" t="s">
        <v>1718</v>
      </c>
      <c r="AA137" s="32" t="s">
        <v>5028</v>
      </c>
      <c r="AB137" s="32" t="s">
        <v>1718</v>
      </c>
      <c r="AC137" s="32" t="s">
        <v>1718</v>
      </c>
      <c r="AD137" s="32" t="s">
        <v>1718</v>
      </c>
      <c r="AE137" s="32" t="s">
        <v>1718</v>
      </c>
      <c r="AF137" s="32" t="s">
        <v>1718</v>
      </c>
      <c r="AG137" s="32" t="s">
        <v>1718</v>
      </c>
      <c r="AH137" s="32" t="s">
        <v>2107</v>
      </c>
      <c r="AI137" s="20" t="s">
        <v>1433</v>
      </c>
      <c r="AJ137" s="20" t="s">
        <v>900</v>
      </c>
      <c r="AK137" s="20" t="s">
        <v>1046</v>
      </c>
      <c r="AL137" s="20">
        <v>48171415</v>
      </c>
      <c r="AM137" t="s">
        <v>1718</v>
      </c>
      <c r="AN137" t="s">
        <v>1718</v>
      </c>
      <c r="AO137" t="s">
        <v>1718</v>
      </c>
      <c r="AP137" t="s">
        <v>1718</v>
      </c>
      <c r="AQ137" t="s">
        <v>1718</v>
      </c>
      <c r="AR137" t="s">
        <v>1718</v>
      </c>
      <c r="AS137" t="s">
        <v>1718</v>
      </c>
      <c r="AT137" t="s">
        <v>1718</v>
      </c>
      <c r="AU137" t="s">
        <v>1718</v>
      </c>
      <c r="AV137" t="str">
        <f>VLOOKUP(D137,DATA_SISTEMA!$A$1:$Q$506,12,FALSE)</f>
        <v>CHICLAYO</v>
      </c>
      <c r="AW137" t="str">
        <f>VLOOKUP(D137,DATA_SISTEMA!$A$1:$Q$506,11,FALSE)</f>
        <v>CHICLAYO</v>
      </c>
      <c r="AX137" t="str">
        <f>VLOOKUP(D137,DATA_SISTEMA!$A$1:$Q$506,10,FALSE)</f>
        <v>LAMBAYEQUE</v>
      </c>
      <c r="AY137" t="s">
        <v>1718</v>
      </c>
      <c r="AZ137" t="s">
        <v>5028</v>
      </c>
      <c r="BA137" t="s">
        <v>1718</v>
      </c>
      <c r="BB137" t="s">
        <v>5028</v>
      </c>
      <c r="BC137" t="s">
        <v>1718</v>
      </c>
      <c r="BD137" t="s">
        <v>5028</v>
      </c>
      <c r="BE137" t="s">
        <v>1718</v>
      </c>
      <c r="BF137" s="34" t="s">
        <v>2104</v>
      </c>
      <c r="BG137" s="20">
        <v>67.5</v>
      </c>
    </row>
    <row r="138" spans="1:59" x14ac:dyDescent="0.25">
      <c r="A138" s="4">
        <v>137</v>
      </c>
      <c r="B138" s="33" t="s">
        <v>1719</v>
      </c>
      <c r="C138" s="20" t="s">
        <v>1856</v>
      </c>
      <c r="D138" s="42" t="s">
        <v>4658</v>
      </c>
      <c r="E138" s="20" t="s">
        <v>590</v>
      </c>
      <c r="F138" s="36" t="s">
        <v>1718</v>
      </c>
      <c r="G138" s="20">
        <v>902356275</v>
      </c>
      <c r="H138" t="str">
        <f>VLOOKUP(D138,DATA_SISTEMA!$A$1:$Q$506,13,FALSE)</f>
        <v>LOS DIAMANTES 145</v>
      </c>
      <c r="I138" t="str">
        <f>VLOOKUP(D138,DATA_SISTEMA!$A$1:$Q$506,7,FALSE)</f>
        <v>1989-10-02</v>
      </c>
      <c r="J138" s="32" t="s">
        <v>1718</v>
      </c>
      <c r="K138" s="32" t="s">
        <v>1718</v>
      </c>
      <c r="L138" s="32" t="s">
        <v>1718</v>
      </c>
      <c r="M138">
        <v>287</v>
      </c>
      <c r="N138">
        <v>0</v>
      </c>
      <c r="O138" s="32" t="str">
        <f t="shared" si="2"/>
        <v>1370020261X</v>
      </c>
      <c r="P138" s="32" t="s">
        <v>1718</v>
      </c>
      <c r="Q138" s="32" t="s">
        <v>1718</v>
      </c>
      <c r="R138" s="32" t="s">
        <v>2110</v>
      </c>
      <c r="S138" s="32" t="s">
        <v>5031</v>
      </c>
      <c r="T138" t="str">
        <f>VLOOKUP(D138,DATA_SISTEMA!$A$1:$Q$506,9,FALSE)</f>
        <v>F</v>
      </c>
      <c r="U138" s="32" t="s">
        <v>2106</v>
      </c>
      <c r="V138" s="32" t="s">
        <v>1718</v>
      </c>
      <c r="W138" s="37" t="s">
        <v>5028</v>
      </c>
      <c r="X138" s="32" t="s">
        <v>4522</v>
      </c>
      <c r="Y138" s="32" t="s">
        <v>1718</v>
      </c>
      <c r="Z138" s="32" t="s">
        <v>1718</v>
      </c>
      <c r="AA138" s="32" t="s">
        <v>5028</v>
      </c>
      <c r="AB138" s="32" t="s">
        <v>1718</v>
      </c>
      <c r="AC138" s="32" t="s">
        <v>1718</v>
      </c>
      <c r="AD138" s="32" t="s">
        <v>1718</v>
      </c>
      <c r="AE138" s="32" t="s">
        <v>1718</v>
      </c>
      <c r="AF138" s="32" t="s">
        <v>1718</v>
      </c>
      <c r="AG138" s="32" t="s">
        <v>1718</v>
      </c>
      <c r="AH138" s="32" t="s">
        <v>2107</v>
      </c>
      <c r="AI138" s="20" t="s">
        <v>1434</v>
      </c>
      <c r="AJ138" s="20" t="s">
        <v>930</v>
      </c>
      <c r="AK138" s="20" t="s">
        <v>1047</v>
      </c>
      <c r="AL138" s="20">
        <v>46087150</v>
      </c>
      <c r="AM138" t="s">
        <v>1718</v>
      </c>
      <c r="AN138" t="s">
        <v>1718</v>
      </c>
      <c r="AO138" t="s">
        <v>1718</v>
      </c>
      <c r="AP138" t="s">
        <v>1718</v>
      </c>
      <c r="AQ138" t="s">
        <v>1718</v>
      </c>
      <c r="AR138" t="s">
        <v>1718</v>
      </c>
      <c r="AS138" t="s">
        <v>1718</v>
      </c>
      <c r="AT138" t="s">
        <v>1718</v>
      </c>
      <c r="AU138" t="s">
        <v>1718</v>
      </c>
      <c r="AV138" t="str">
        <f>VLOOKUP(D138,DATA_SISTEMA!$A$1:$Q$506,12,FALSE)</f>
        <v>CHICLAYO</v>
      </c>
      <c r="AW138" t="str">
        <f>VLOOKUP(D138,DATA_SISTEMA!$A$1:$Q$506,11,FALSE)</f>
        <v>CHICLAYO</v>
      </c>
      <c r="AX138" t="str">
        <f>VLOOKUP(D138,DATA_SISTEMA!$A$1:$Q$506,10,FALSE)</f>
        <v>LAMBAYEQUE</v>
      </c>
      <c r="AY138" t="s">
        <v>1718</v>
      </c>
      <c r="AZ138" t="s">
        <v>5028</v>
      </c>
      <c r="BA138" t="s">
        <v>1718</v>
      </c>
      <c r="BB138" t="s">
        <v>5028</v>
      </c>
      <c r="BC138" t="s">
        <v>1718</v>
      </c>
      <c r="BD138" t="s">
        <v>5028</v>
      </c>
      <c r="BE138" t="s">
        <v>1718</v>
      </c>
      <c r="BF138" s="34" t="s">
        <v>2104</v>
      </c>
      <c r="BG138" s="20">
        <v>66.8</v>
      </c>
    </row>
    <row r="139" spans="1:59" x14ac:dyDescent="0.25">
      <c r="A139" s="4">
        <v>138</v>
      </c>
      <c r="B139" s="33" t="s">
        <v>1719</v>
      </c>
      <c r="C139" s="20" t="s">
        <v>1857</v>
      </c>
      <c r="D139" s="42" t="s">
        <v>4659</v>
      </c>
      <c r="E139" s="20" t="s">
        <v>592</v>
      </c>
      <c r="F139" s="36" t="s">
        <v>1718</v>
      </c>
      <c r="G139" s="20">
        <v>963929946</v>
      </c>
      <c r="H139" t="str">
        <f>VLOOKUP(D139,DATA_SISTEMA!$A$1:$Q$506,13,FALSE)</f>
        <v>HERALDOS NEGROS 135</v>
      </c>
      <c r="I139" t="str">
        <f>VLOOKUP(D139,DATA_SISTEMA!$A$1:$Q$506,7,FALSE)</f>
        <v>2000-01-18</v>
      </c>
      <c r="J139" s="32" t="s">
        <v>1718</v>
      </c>
      <c r="K139" s="32" t="s">
        <v>1718</v>
      </c>
      <c r="L139" s="32" t="s">
        <v>1718</v>
      </c>
      <c r="M139">
        <v>287</v>
      </c>
      <c r="N139">
        <v>0</v>
      </c>
      <c r="O139" s="32" t="str">
        <f t="shared" si="2"/>
        <v>1380020261X</v>
      </c>
      <c r="P139" s="32" t="s">
        <v>1718</v>
      </c>
      <c r="Q139" s="32" t="s">
        <v>1718</v>
      </c>
      <c r="R139" s="32" t="s">
        <v>2110</v>
      </c>
      <c r="S139" s="32" t="s">
        <v>5031</v>
      </c>
      <c r="T139" t="str">
        <f>VLOOKUP(D139,DATA_SISTEMA!$A$1:$Q$506,9,FALSE)</f>
        <v>M</v>
      </c>
      <c r="U139" s="32" t="s">
        <v>2106</v>
      </c>
      <c r="V139" s="32" t="s">
        <v>1718</v>
      </c>
      <c r="W139" s="37" t="s">
        <v>5028</v>
      </c>
      <c r="X139" s="32" t="s">
        <v>4522</v>
      </c>
      <c r="Y139" s="32" t="s">
        <v>1718</v>
      </c>
      <c r="Z139" s="32" t="s">
        <v>1718</v>
      </c>
      <c r="AA139" s="32" t="s">
        <v>5028</v>
      </c>
      <c r="AB139" s="32" t="s">
        <v>1718</v>
      </c>
      <c r="AC139" s="32" t="s">
        <v>1718</v>
      </c>
      <c r="AD139" s="32" t="s">
        <v>1718</v>
      </c>
      <c r="AE139" s="32" t="s">
        <v>1718</v>
      </c>
      <c r="AF139" s="32" t="s">
        <v>1718</v>
      </c>
      <c r="AG139" s="32" t="s">
        <v>1718</v>
      </c>
      <c r="AH139" s="32" t="s">
        <v>2107</v>
      </c>
      <c r="AI139" s="20" t="s">
        <v>1435</v>
      </c>
      <c r="AJ139" s="20" t="s">
        <v>1048</v>
      </c>
      <c r="AK139" s="20" t="s">
        <v>1049</v>
      </c>
      <c r="AL139" s="20">
        <v>73201951</v>
      </c>
      <c r="AM139" t="s">
        <v>1718</v>
      </c>
      <c r="AN139" t="s">
        <v>1718</v>
      </c>
      <c r="AO139" t="s">
        <v>1718</v>
      </c>
      <c r="AP139" t="s">
        <v>1718</v>
      </c>
      <c r="AQ139" t="s">
        <v>1718</v>
      </c>
      <c r="AR139" t="s">
        <v>1718</v>
      </c>
      <c r="AS139" t="s">
        <v>1718</v>
      </c>
      <c r="AT139" t="s">
        <v>1718</v>
      </c>
      <c r="AU139" t="s">
        <v>1718</v>
      </c>
      <c r="AV139" t="str">
        <f>VLOOKUP(D139,DATA_SISTEMA!$A$1:$Q$506,12,FALSE)</f>
        <v>CHICLAYO</v>
      </c>
      <c r="AW139" t="str">
        <f>VLOOKUP(D139,DATA_SISTEMA!$A$1:$Q$506,11,FALSE)</f>
        <v>CHICLAYO</v>
      </c>
      <c r="AX139" t="str">
        <f>VLOOKUP(D139,DATA_SISTEMA!$A$1:$Q$506,10,FALSE)</f>
        <v>LAMBAYEQUE</v>
      </c>
      <c r="AY139" t="s">
        <v>1718</v>
      </c>
      <c r="AZ139" t="s">
        <v>5028</v>
      </c>
      <c r="BA139" t="s">
        <v>1718</v>
      </c>
      <c r="BB139" t="s">
        <v>5028</v>
      </c>
      <c r="BC139" t="s">
        <v>1718</v>
      </c>
      <c r="BD139" t="s">
        <v>5028</v>
      </c>
      <c r="BE139" t="s">
        <v>1718</v>
      </c>
      <c r="BF139" s="34" t="s">
        <v>2104</v>
      </c>
      <c r="BG139" s="20">
        <v>66</v>
      </c>
    </row>
    <row r="140" spans="1:59" x14ac:dyDescent="0.25">
      <c r="A140" s="4">
        <v>139</v>
      </c>
      <c r="B140" s="33" t="s">
        <v>1719</v>
      </c>
      <c r="C140" s="20" t="s">
        <v>1858</v>
      </c>
      <c r="D140" s="42" t="s">
        <v>4660</v>
      </c>
      <c r="E140" s="20" t="s">
        <v>594</v>
      </c>
      <c r="F140" s="36" t="s">
        <v>1718</v>
      </c>
      <c r="G140" s="20">
        <v>986298887</v>
      </c>
      <c r="H140" t="str">
        <f>VLOOKUP(D140,DATA_SISTEMA!$A$1:$Q$506,13,FALSE)</f>
        <v>CONDOMINIO LOS PARQUES DE SAN GABRIEL EDIFICIO N° 10- DPTO 602- URBANIZACION REMIGIO SILVA</v>
      </c>
      <c r="I140" t="str">
        <f>VLOOKUP(D140,DATA_SISTEMA!$A$1:$Q$506,7,FALSE)</f>
        <v>1983-09-17</v>
      </c>
      <c r="J140" s="32" t="s">
        <v>1718</v>
      </c>
      <c r="K140" s="32" t="s">
        <v>1718</v>
      </c>
      <c r="L140" s="32" t="s">
        <v>1718</v>
      </c>
      <c r="M140">
        <v>287</v>
      </c>
      <c r="N140">
        <v>0</v>
      </c>
      <c r="O140" s="32" t="str">
        <f t="shared" si="2"/>
        <v>1390020261X</v>
      </c>
      <c r="P140" s="32" t="s">
        <v>1718</v>
      </c>
      <c r="Q140" s="32" t="s">
        <v>1718</v>
      </c>
      <c r="R140" s="32" t="s">
        <v>2110</v>
      </c>
      <c r="S140" s="32" t="s">
        <v>5031</v>
      </c>
      <c r="T140" t="str">
        <f>VLOOKUP(D140,DATA_SISTEMA!$A$1:$Q$506,9,FALSE)</f>
        <v>M</v>
      </c>
      <c r="U140" s="32" t="s">
        <v>2106</v>
      </c>
      <c r="V140" s="32" t="s">
        <v>1718</v>
      </c>
      <c r="W140" s="37" t="s">
        <v>5028</v>
      </c>
      <c r="X140" s="32" t="s">
        <v>4522</v>
      </c>
      <c r="Y140" s="32" t="s">
        <v>1718</v>
      </c>
      <c r="Z140" s="32" t="s">
        <v>1718</v>
      </c>
      <c r="AA140" s="32" t="s">
        <v>5028</v>
      </c>
      <c r="AB140" s="32" t="s">
        <v>1718</v>
      </c>
      <c r="AC140" s="32" t="s">
        <v>1718</v>
      </c>
      <c r="AD140" s="32" t="s">
        <v>1718</v>
      </c>
      <c r="AE140" s="32" t="s">
        <v>1718</v>
      </c>
      <c r="AF140" s="32" t="s">
        <v>1718</v>
      </c>
      <c r="AG140" s="32" t="s">
        <v>1718</v>
      </c>
      <c r="AH140" s="32" t="s">
        <v>2107</v>
      </c>
      <c r="AI140" s="20" t="s">
        <v>1436</v>
      </c>
      <c r="AJ140" s="20" t="s">
        <v>1050</v>
      </c>
      <c r="AK140" s="20" t="s">
        <v>1051</v>
      </c>
      <c r="AL140" s="20">
        <v>42116941</v>
      </c>
      <c r="AM140" t="s">
        <v>1718</v>
      </c>
      <c r="AN140" t="s">
        <v>1718</v>
      </c>
      <c r="AO140" t="s">
        <v>1718</v>
      </c>
      <c r="AP140" t="s">
        <v>1718</v>
      </c>
      <c r="AQ140" t="s">
        <v>1718</v>
      </c>
      <c r="AR140" t="s">
        <v>1718</v>
      </c>
      <c r="AS140" t="s">
        <v>1718</v>
      </c>
      <c r="AT140" t="s">
        <v>1718</v>
      </c>
      <c r="AU140" t="s">
        <v>1718</v>
      </c>
      <c r="AV140" t="str">
        <f>VLOOKUP(D140,DATA_SISTEMA!$A$1:$Q$506,12,FALSE)</f>
        <v>CHICLAYO</v>
      </c>
      <c r="AW140" t="str">
        <f>VLOOKUP(D140,DATA_SISTEMA!$A$1:$Q$506,11,FALSE)</f>
        <v>CHICLAYO</v>
      </c>
      <c r="AX140" t="str">
        <f>VLOOKUP(D140,DATA_SISTEMA!$A$1:$Q$506,10,FALSE)</f>
        <v>LAMBAYEQUE</v>
      </c>
      <c r="AY140" t="s">
        <v>1718</v>
      </c>
      <c r="AZ140" t="s">
        <v>5028</v>
      </c>
      <c r="BA140" t="s">
        <v>1718</v>
      </c>
      <c r="BB140" t="s">
        <v>5028</v>
      </c>
      <c r="BC140" t="s">
        <v>1718</v>
      </c>
      <c r="BD140" t="s">
        <v>5028</v>
      </c>
      <c r="BE140" t="s">
        <v>1718</v>
      </c>
      <c r="BF140" s="34" t="s">
        <v>2104</v>
      </c>
      <c r="BG140" s="20">
        <v>65.900000000000006</v>
      </c>
    </row>
    <row r="141" spans="1:59" x14ac:dyDescent="0.25">
      <c r="A141" s="4">
        <v>140</v>
      </c>
      <c r="B141" s="33" t="s">
        <v>1719</v>
      </c>
      <c r="C141" s="20" t="s">
        <v>1859</v>
      </c>
      <c r="D141" s="42" t="s">
        <v>4661</v>
      </c>
      <c r="E141" s="20" t="s">
        <v>596</v>
      </c>
      <c r="F141" s="36" t="s">
        <v>1718</v>
      </c>
      <c r="G141" s="20">
        <v>977834319</v>
      </c>
      <c r="H141" t="str">
        <f>VLOOKUP(D141,DATA_SISTEMA!$A$1:$Q$506,13,FALSE)</f>
        <v>CALLE MESONES MURO 442.</v>
      </c>
      <c r="I141" t="str">
        <f>VLOOKUP(D141,DATA_SISTEMA!$A$1:$Q$506,7,FALSE)</f>
        <v>1999-01-26</v>
      </c>
      <c r="J141" s="32" t="s">
        <v>1718</v>
      </c>
      <c r="K141" s="32" t="s">
        <v>1718</v>
      </c>
      <c r="L141" s="32" t="s">
        <v>1718</v>
      </c>
      <c r="M141">
        <v>287</v>
      </c>
      <c r="N141">
        <v>0</v>
      </c>
      <c r="O141" s="32" t="str">
        <f t="shared" si="2"/>
        <v>1400020261X</v>
      </c>
      <c r="P141" s="32" t="s">
        <v>1718</v>
      </c>
      <c r="Q141" s="32" t="s">
        <v>1718</v>
      </c>
      <c r="R141" s="32" t="s">
        <v>2110</v>
      </c>
      <c r="S141" s="32" t="s">
        <v>5031</v>
      </c>
      <c r="T141" t="str">
        <f>VLOOKUP(D141,DATA_SISTEMA!$A$1:$Q$506,9,FALSE)</f>
        <v>M</v>
      </c>
      <c r="U141" s="32" t="s">
        <v>2106</v>
      </c>
      <c r="V141" s="32" t="s">
        <v>1718</v>
      </c>
      <c r="W141" s="37" t="s">
        <v>5028</v>
      </c>
      <c r="X141" s="32" t="s">
        <v>4522</v>
      </c>
      <c r="Y141" s="32" t="s">
        <v>1718</v>
      </c>
      <c r="Z141" s="32" t="s">
        <v>1718</v>
      </c>
      <c r="AA141" s="32" t="s">
        <v>5028</v>
      </c>
      <c r="AB141" s="32" t="s">
        <v>1718</v>
      </c>
      <c r="AC141" s="32" t="s">
        <v>1718</v>
      </c>
      <c r="AD141" s="32" t="s">
        <v>1718</v>
      </c>
      <c r="AE141" s="32" t="s">
        <v>1718</v>
      </c>
      <c r="AF141" s="32" t="s">
        <v>1718</v>
      </c>
      <c r="AG141" s="32" t="s">
        <v>1718</v>
      </c>
      <c r="AH141" s="32" t="s">
        <v>2107</v>
      </c>
      <c r="AI141" s="20" t="s">
        <v>1437</v>
      </c>
      <c r="AJ141" s="20" t="s">
        <v>923</v>
      </c>
      <c r="AK141" s="20" t="s">
        <v>1052</v>
      </c>
      <c r="AL141" s="20">
        <v>60473276</v>
      </c>
      <c r="AM141" t="s">
        <v>1718</v>
      </c>
      <c r="AN141" t="s">
        <v>1718</v>
      </c>
      <c r="AO141" t="s">
        <v>1718</v>
      </c>
      <c r="AP141" t="s">
        <v>1718</v>
      </c>
      <c r="AQ141" t="s">
        <v>1718</v>
      </c>
      <c r="AR141" t="s">
        <v>1718</v>
      </c>
      <c r="AS141" t="s">
        <v>1718</v>
      </c>
      <c r="AT141" t="s">
        <v>1718</v>
      </c>
      <c r="AU141" t="s">
        <v>1718</v>
      </c>
      <c r="AV141" t="str">
        <f>VLOOKUP(D141,DATA_SISTEMA!$A$1:$Q$506,12,FALSE)</f>
        <v>CHICLAYO</v>
      </c>
      <c r="AW141" t="str">
        <f>VLOOKUP(D141,DATA_SISTEMA!$A$1:$Q$506,11,FALSE)</f>
        <v>CHICLAYO</v>
      </c>
      <c r="AX141" t="str">
        <f>VLOOKUP(D141,DATA_SISTEMA!$A$1:$Q$506,10,FALSE)</f>
        <v>LAMBAYEQUE</v>
      </c>
      <c r="AY141" t="s">
        <v>1718</v>
      </c>
      <c r="AZ141" t="s">
        <v>5028</v>
      </c>
      <c r="BA141" t="s">
        <v>1718</v>
      </c>
      <c r="BB141" t="s">
        <v>5028</v>
      </c>
      <c r="BC141" t="s">
        <v>1718</v>
      </c>
      <c r="BD141" t="s">
        <v>5028</v>
      </c>
      <c r="BE141" t="s">
        <v>1718</v>
      </c>
      <c r="BF141" s="34" t="s">
        <v>2104</v>
      </c>
      <c r="BG141" s="20">
        <v>65.5</v>
      </c>
    </row>
    <row r="142" spans="1:59" x14ac:dyDescent="0.25">
      <c r="A142" s="4">
        <v>141</v>
      </c>
      <c r="B142" s="33" t="s">
        <v>1719</v>
      </c>
      <c r="C142" s="20" t="s">
        <v>1860</v>
      </c>
      <c r="D142" s="42" t="s">
        <v>4662</v>
      </c>
      <c r="E142" s="20" t="s">
        <v>598</v>
      </c>
      <c r="F142" s="36" t="s">
        <v>1718</v>
      </c>
      <c r="G142" s="20">
        <v>938996626</v>
      </c>
      <c r="H142" t="str">
        <f>VLOOKUP(D142,DATA_SISTEMA!$A$1:$Q$506,13,FALSE)</f>
        <v>AV. PACHACUTEC MZ. 28 LT. 12 URBANIZACIÓN SANTA ROSA PNP</v>
      </c>
      <c r="I142" t="str">
        <f>VLOOKUP(D142,DATA_SISTEMA!$A$1:$Q$506,7,FALSE)</f>
        <v>1998-03-05</v>
      </c>
      <c r="J142" s="32" t="s">
        <v>1718</v>
      </c>
      <c r="K142" s="32" t="s">
        <v>1718</v>
      </c>
      <c r="L142" s="32" t="s">
        <v>1718</v>
      </c>
      <c r="M142">
        <v>287</v>
      </c>
      <c r="N142">
        <v>0</v>
      </c>
      <c r="O142" s="32" t="str">
        <f t="shared" si="2"/>
        <v>1410020261X</v>
      </c>
      <c r="P142" s="32" t="s">
        <v>1718</v>
      </c>
      <c r="Q142" s="32" t="s">
        <v>1718</v>
      </c>
      <c r="R142" s="32" t="s">
        <v>2110</v>
      </c>
      <c r="S142" s="32" t="s">
        <v>5031</v>
      </c>
      <c r="T142" t="str">
        <f>VLOOKUP(D142,DATA_SISTEMA!$A$1:$Q$506,9,FALSE)</f>
        <v>F</v>
      </c>
      <c r="U142" s="32" t="s">
        <v>2106</v>
      </c>
      <c r="V142" s="32" t="s">
        <v>1718</v>
      </c>
      <c r="W142" s="37" t="s">
        <v>5028</v>
      </c>
      <c r="X142" s="32" t="s">
        <v>4522</v>
      </c>
      <c r="Y142" s="32" t="s">
        <v>1718</v>
      </c>
      <c r="Z142" s="32" t="s">
        <v>1718</v>
      </c>
      <c r="AA142" s="32" t="s">
        <v>5028</v>
      </c>
      <c r="AB142" s="32" t="s">
        <v>1718</v>
      </c>
      <c r="AC142" s="32" t="s">
        <v>1718</v>
      </c>
      <c r="AD142" s="32" t="s">
        <v>1718</v>
      </c>
      <c r="AE142" s="32" t="s">
        <v>1718</v>
      </c>
      <c r="AF142" s="32" t="s">
        <v>1718</v>
      </c>
      <c r="AG142" s="32" t="s">
        <v>1718</v>
      </c>
      <c r="AH142" s="32" t="s">
        <v>2107</v>
      </c>
      <c r="AI142" s="20" t="s">
        <v>1438</v>
      </c>
      <c r="AJ142" s="20" t="s">
        <v>1053</v>
      </c>
      <c r="AK142" s="20" t="s">
        <v>1054</v>
      </c>
      <c r="AL142" s="20">
        <v>76288246</v>
      </c>
      <c r="AM142" t="s">
        <v>1718</v>
      </c>
      <c r="AN142" t="s">
        <v>1718</v>
      </c>
      <c r="AO142" t="s">
        <v>1718</v>
      </c>
      <c r="AP142" t="s">
        <v>1718</v>
      </c>
      <c r="AQ142" t="s">
        <v>1718</v>
      </c>
      <c r="AR142" t="s">
        <v>1718</v>
      </c>
      <c r="AS142" t="s">
        <v>1718</v>
      </c>
      <c r="AT142" t="s">
        <v>1718</v>
      </c>
      <c r="AU142" t="s">
        <v>1718</v>
      </c>
      <c r="AV142" t="str">
        <f>VLOOKUP(D142,DATA_SISTEMA!$A$1:$Q$506,12,FALSE)</f>
        <v>LA VICTORIA</v>
      </c>
      <c r="AW142" t="str">
        <f>VLOOKUP(D142,DATA_SISTEMA!$A$1:$Q$506,11,FALSE)</f>
        <v>CHICLAYO</v>
      </c>
      <c r="AX142" t="str">
        <f>VLOOKUP(D142,DATA_SISTEMA!$A$1:$Q$506,10,FALSE)</f>
        <v>LAMBAYEQUE</v>
      </c>
      <c r="AY142" t="s">
        <v>1718</v>
      </c>
      <c r="AZ142" t="s">
        <v>5028</v>
      </c>
      <c r="BA142" t="s">
        <v>1718</v>
      </c>
      <c r="BB142" t="s">
        <v>5028</v>
      </c>
      <c r="BC142" t="s">
        <v>1718</v>
      </c>
      <c r="BD142" t="s">
        <v>5028</v>
      </c>
      <c r="BE142" t="s">
        <v>1718</v>
      </c>
      <c r="BF142" s="34" t="s">
        <v>2104</v>
      </c>
      <c r="BG142" s="20">
        <v>65</v>
      </c>
    </row>
    <row r="143" spans="1:59" x14ac:dyDescent="0.25">
      <c r="A143" s="4">
        <v>142</v>
      </c>
      <c r="B143" s="33" t="s">
        <v>1719</v>
      </c>
      <c r="C143" s="20" t="s">
        <v>1861</v>
      </c>
      <c r="D143" s="42" t="s">
        <v>4663</v>
      </c>
      <c r="E143" s="20" t="s">
        <v>600</v>
      </c>
      <c r="F143" s="36" t="s">
        <v>1718</v>
      </c>
      <c r="G143" s="20">
        <v>947384074</v>
      </c>
      <c r="H143" t="str">
        <f>VLOOKUP(D143,DATA_SISTEMA!$A$1:$Q$506,13,FALSE)</f>
        <v>PASAJE CHINO #158. 1ERA CUADRA 7 DE ENERO -CHICLAYO</v>
      </c>
      <c r="I143" t="str">
        <f>VLOOKUP(D143,DATA_SISTEMA!$A$1:$Q$506,7,FALSE)</f>
        <v>1988-08-06</v>
      </c>
      <c r="J143" s="32" t="s">
        <v>1718</v>
      </c>
      <c r="K143" s="32" t="s">
        <v>1718</v>
      </c>
      <c r="L143" s="32" t="s">
        <v>1718</v>
      </c>
      <c r="M143">
        <v>287</v>
      </c>
      <c r="N143">
        <v>0</v>
      </c>
      <c r="O143" s="32" t="str">
        <f t="shared" si="2"/>
        <v>1420020261X</v>
      </c>
      <c r="P143" s="32" t="s">
        <v>1718</v>
      </c>
      <c r="Q143" s="32" t="s">
        <v>1718</v>
      </c>
      <c r="R143" s="32" t="s">
        <v>2110</v>
      </c>
      <c r="S143" s="32" t="s">
        <v>5031</v>
      </c>
      <c r="T143" t="str">
        <f>VLOOKUP(D143,DATA_SISTEMA!$A$1:$Q$506,9,FALSE)</f>
        <v>M</v>
      </c>
      <c r="U143" s="32" t="s">
        <v>2106</v>
      </c>
      <c r="V143" s="32" t="s">
        <v>1718</v>
      </c>
      <c r="W143" s="37" t="s">
        <v>5028</v>
      </c>
      <c r="X143" s="32" t="s">
        <v>4522</v>
      </c>
      <c r="Y143" s="32" t="s">
        <v>1718</v>
      </c>
      <c r="Z143" s="32" t="s">
        <v>1718</v>
      </c>
      <c r="AA143" s="32" t="s">
        <v>5028</v>
      </c>
      <c r="AB143" s="32" t="s">
        <v>1718</v>
      </c>
      <c r="AC143" s="32" t="s">
        <v>1718</v>
      </c>
      <c r="AD143" s="32" t="s">
        <v>1718</v>
      </c>
      <c r="AE143" s="32" t="s">
        <v>1718</v>
      </c>
      <c r="AF143" s="32" t="s">
        <v>1718</v>
      </c>
      <c r="AG143" s="32" t="s">
        <v>1718</v>
      </c>
      <c r="AH143" s="32" t="s">
        <v>2107</v>
      </c>
      <c r="AI143" s="20" t="s">
        <v>1439</v>
      </c>
      <c r="AJ143" s="20" t="s">
        <v>1055</v>
      </c>
      <c r="AK143" s="20" t="s">
        <v>1056</v>
      </c>
      <c r="AL143" s="20">
        <v>45223140</v>
      </c>
      <c r="AM143" t="s">
        <v>1718</v>
      </c>
      <c r="AN143" t="s">
        <v>1718</v>
      </c>
      <c r="AO143" t="s">
        <v>1718</v>
      </c>
      <c r="AP143" t="s">
        <v>1718</v>
      </c>
      <c r="AQ143" t="s">
        <v>1718</v>
      </c>
      <c r="AR143" t="s">
        <v>1718</v>
      </c>
      <c r="AS143" t="s">
        <v>1718</v>
      </c>
      <c r="AT143" t="s">
        <v>1718</v>
      </c>
      <c r="AU143" t="s">
        <v>1718</v>
      </c>
      <c r="AV143" t="str">
        <f>VLOOKUP(D143,DATA_SISTEMA!$A$1:$Q$506,12,FALSE)</f>
        <v>CHICLAYO</v>
      </c>
      <c r="AW143" t="str">
        <f>VLOOKUP(D143,DATA_SISTEMA!$A$1:$Q$506,11,FALSE)</f>
        <v>CHICLAYO</v>
      </c>
      <c r="AX143" t="str">
        <f>VLOOKUP(D143,DATA_SISTEMA!$A$1:$Q$506,10,FALSE)</f>
        <v>LAMBAYEQUE</v>
      </c>
      <c r="AY143" t="s">
        <v>1718</v>
      </c>
      <c r="AZ143" t="s">
        <v>5028</v>
      </c>
      <c r="BA143" t="s">
        <v>1718</v>
      </c>
      <c r="BB143" t="s">
        <v>5028</v>
      </c>
      <c r="BC143" t="s">
        <v>1718</v>
      </c>
      <c r="BD143" t="s">
        <v>5028</v>
      </c>
      <c r="BE143" t="s">
        <v>1718</v>
      </c>
      <c r="BF143" s="34" t="s">
        <v>2104</v>
      </c>
      <c r="BG143" s="20">
        <v>63.9</v>
      </c>
    </row>
    <row r="144" spans="1:59" x14ac:dyDescent="0.25">
      <c r="A144" s="4">
        <v>143</v>
      </c>
      <c r="B144" s="33" t="s">
        <v>1719</v>
      </c>
      <c r="C144" s="20" t="s">
        <v>1862</v>
      </c>
      <c r="D144" s="42" t="s">
        <v>4664</v>
      </c>
      <c r="E144" s="20" t="s">
        <v>602</v>
      </c>
      <c r="F144" s="36" t="s">
        <v>1718</v>
      </c>
      <c r="G144" s="20">
        <v>969878942</v>
      </c>
      <c r="H144" t="str">
        <f>VLOOKUP(D144,DATA_SISTEMA!$A$1:$Q$506,13,FALSE)</f>
        <v>LOS TUMBOS 155 -URB SANTA VICTORIA 155</v>
      </c>
      <c r="I144" t="str">
        <f>VLOOKUP(D144,DATA_SISTEMA!$A$1:$Q$506,7,FALSE)</f>
        <v>1985-08-30</v>
      </c>
      <c r="J144" s="32" t="s">
        <v>1718</v>
      </c>
      <c r="K144" s="32" t="s">
        <v>1718</v>
      </c>
      <c r="L144" s="32" t="s">
        <v>1718</v>
      </c>
      <c r="M144">
        <v>287</v>
      </c>
      <c r="N144">
        <v>0</v>
      </c>
      <c r="O144" s="32" t="str">
        <f t="shared" si="2"/>
        <v>1430020261X</v>
      </c>
      <c r="P144" s="32" t="s">
        <v>1718</v>
      </c>
      <c r="Q144" s="32" t="s">
        <v>1718</v>
      </c>
      <c r="R144" s="32" t="s">
        <v>2110</v>
      </c>
      <c r="S144" s="32" t="s">
        <v>5031</v>
      </c>
      <c r="T144" t="str">
        <f>VLOOKUP(D144,DATA_SISTEMA!$A$1:$Q$506,9,FALSE)</f>
        <v>F</v>
      </c>
      <c r="U144" s="32" t="s">
        <v>2106</v>
      </c>
      <c r="V144" s="32" t="s">
        <v>1718</v>
      </c>
      <c r="W144" s="37" t="s">
        <v>5028</v>
      </c>
      <c r="X144" s="32" t="s">
        <v>4522</v>
      </c>
      <c r="Y144" s="32" t="s">
        <v>1718</v>
      </c>
      <c r="Z144" s="32" t="s">
        <v>1718</v>
      </c>
      <c r="AA144" s="32" t="s">
        <v>5028</v>
      </c>
      <c r="AB144" s="32" t="s">
        <v>1718</v>
      </c>
      <c r="AC144" s="32" t="s">
        <v>1718</v>
      </c>
      <c r="AD144" s="32" t="s">
        <v>1718</v>
      </c>
      <c r="AE144" s="32" t="s">
        <v>1718</v>
      </c>
      <c r="AF144" s="32" t="s">
        <v>1718</v>
      </c>
      <c r="AG144" s="32" t="s">
        <v>1718</v>
      </c>
      <c r="AH144" s="32" t="s">
        <v>2107</v>
      </c>
      <c r="AI144" s="20" t="s">
        <v>1440</v>
      </c>
      <c r="AJ144" s="20" t="s">
        <v>900</v>
      </c>
      <c r="AK144" s="20" t="s">
        <v>944</v>
      </c>
      <c r="AL144" s="20">
        <v>43247575</v>
      </c>
      <c r="AM144" t="s">
        <v>1718</v>
      </c>
      <c r="AN144" t="s">
        <v>1718</v>
      </c>
      <c r="AO144" t="s">
        <v>1718</v>
      </c>
      <c r="AP144" t="s">
        <v>1718</v>
      </c>
      <c r="AQ144" t="s">
        <v>1718</v>
      </c>
      <c r="AR144" t="s">
        <v>1718</v>
      </c>
      <c r="AS144" t="s">
        <v>1718</v>
      </c>
      <c r="AT144" t="s">
        <v>1718</v>
      </c>
      <c r="AU144" t="s">
        <v>1718</v>
      </c>
      <c r="AV144" t="str">
        <f>VLOOKUP(D144,DATA_SISTEMA!$A$1:$Q$506,12,FALSE)</f>
        <v>LAMBAYEQUE</v>
      </c>
      <c r="AW144" t="str">
        <f>VLOOKUP(D144,DATA_SISTEMA!$A$1:$Q$506,11,FALSE)</f>
        <v>LAMBAYEQUE</v>
      </c>
      <c r="AX144" t="str">
        <f>VLOOKUP(D144,DATA_SISTEMA!$A$1:$Q$506,10,FALSE)</f>
        <v>LAMBAYEQUE</v>
      </c>
      <c r="AY144" t="s">
        <v>1718</v>
      </c>
      <c r="AZ144" t="s">
        <v>5028</v>
      </c>
      <c r="BA144" t="s">
        <v>1718</v>
      </c>
      <c r="BB144" t="s">
        <v>5028</v>
      </c>
      <c r="BC144" t="s">
        <v>1718</v>
      </c>
      <c r="BD144" t="s">
        <v>5028</v>
      </c>
      <c r="BE144" t="s">
        <v>1718</v>
      </c>
      <c r="BF144" s="34" t="s">
        <v>2104</v>
      </c>
      <c r="BG144" s="20">
        <v>63.9</v>
      </c>
    </row>
    <row r="145" spans="1:59" x14ac:dyDescent="0.25">
      <c r="A145" s="4">
        <v>144</v>
      </c>
      <c r="B145" s="33" t="s">
        <v>1719</v>
      </c>
      <c r="C145" s="20" t="s">
        <v>1863</v>
      </c>
      <c r="D145" s="42" t="s">
        <v>4665</v>
      </c>
      <c r="E145" s="20" t="s">
        <v>604</v>
      </c>
      <c r="F145" s="36" t="s">
        <v>1718</v>
      </c>
      <c r="G145" s="20">
        <v>914702819</v>
      </c>
      <c r="H145" t="str">
        <f>VLOOKUP(D145,DATA_SISTEMA!$A$1:$Q$506,13,FALSE)</f>
        <v>PPJJ SANTO TORIBIO DE MOGROVEJO MZA Q LOTE 15</v>
      </c>
      <c r="I145" t="str">
        <f>VLOOKUP(D145,DATA_SISTEMA!$A$1:$Q$506,7,FALSE)</f>
        <v>1994-02-17</v>
      </c>
      <c r="J145" s="32" t="s">
        <v>1718</v>
      </c>
      <c r="K145" s="32" t="s">
        <v>1718</v>
      </c>
      <c r="L145" s="32" t="s">
        <v>1718</v>
      </c>
      <c r="M145">
        <v>287</v>
      </c>
      <c r="N145">
        <v>0</v>
      </c>
      <c r="O145" s="32" t="str">
        <f t="shared" si="2"/>
        <v>1440020261X</v>
      </c>
      <c r="P145" s="32" t="s">
        <v>1718</v>
      </c>
      <c r="Q145" s="32" t="s">
        <v>1718</v>
      </c>
      <c r="R145" s="32" t="s">
        <v>2110</v>
      </c>
      <c r="S145" s="32" t="s">
        <v>5031</v>
      </c>
      <c r="T145" t="str">
        <f>VLOOKUP(D145,DATA_SISTEMA!$A$1:$Q$506,9,FALSE)</f>
        <v>F</v>
      </c>
      <c r="U145" s="32" t="s">
        <v>2106</v>
      </c>
      <c r="V145" s="32" t="s">
        <v>1718</v>
      </c>
      <c r="W145" s="37" t="s">
        <v>5028</v>
      </c>
      <c r="X145" s="32" t="s">
        <v>4522</v>
      </c>
      <c r="Y145" s="32" t="s">
        <v>1718</v>
      </c>
      <c r="Z145" s="32" t="s">
        <v>1718</v>
      </c>
      <c r="AA145" s="32" t="s">
        <v>5028</v>
      </c>
      <c r="AB145" s="32" t="s">
        <v>1718</v>
      </c>
      <c r="AC145" s="32" t="s">
        <v>1718</v>
      </c>
      <c r="AD145" s="32" t="s">
        <v>1718</v>
      </c>
      <c r="AE145" s="32" t="s">
        <v>1718</v>
      </c>
      <c r="AF145" s="32" t="s">
        <v>1718</v>
      </c>
      <c r="AG145" s="32" t="s">
        <v>1718</v>
      </c>
      <c r="AH145" s="32" t="s">
        <v>2107</v>
      </c>
      <c r="AI145" s="20" t="s">
        <v>1441</v>
      </c>
      <c r="AJ145" s="20" t="s">
        <v>1057</v>
      </c>
      <c r="AK145" s="20" t="s">
        <v>901</v>
      </c>
      <c r="AL145" s="20">
        <v>73138434</v>
      </c>
      <c r="AM145" t="s">
        <v>1718</v>
      </c>
      <c r="AN145" t="s">
        <v>1718</v>
      </c>
      <c r="AO145" t="s">
        <v>1718</v>
      </c>
      <c r="AP145" t="s">
        <v>1718</v>
      </c>
      <c r="AQ145" t="s">
        <v>1718</v>
      </c>
      <c r="AR145" t="s">
        <v>1718</v>
      </c>
      <c r="AS145" t="s">
        <v>1718</v>
      </c>
      <c r="AT145" t="s">
        <v>1718</v>
      </c>
      <c r="AU145" t="s">
        <v>1718</v>
      </c>
      <c r="AV145" t="str">
        <f>VLOOKUP(D145,DATA_SISTEMA!$A$1:$Q$506,12,FALSE)</f>
        <v>CHICLAYO</v>
      </c>
      <c r="AW145" t="str">
        <f>VLOOKUP(D145,DATA_SISTEMA!$A$1:$Q$506,11,FALSE)</f>
        <v>CHICLAYO</v>
      </c>
      <c r="AX145" t="str">
        <f>VLOOKUP(D145,DATA_SISTEMA!$A$1:$Q$506,10,FALSE)</f>
        <v>LAMBAYEQUE</v>
      </c>
      <c r="AY145" t="s">
        <v>1718</v>
      </c>
      <c r="AZ145" t="s">
        <v>5028</v>
      </c>
      <c r="BA145" t="s">
        <v>1718</v>
      </c>
      <c r="BB145" t="s">
        <v>5028</v>
      </c>
      <c r="BC145" t="s">
        <v>1718</v>
      </c>
      <c r="BD145" t="s">
        <v>5028</v>
      </c>
      <c r="BE145" t="s">
        <v>1718</v>
      </c>
      <c r="BF145" s="34" t="s">
        <v>2104</v>
      </c>
      <c r="BG145" s="20">
        <v>62.5</v>
      </c>
    </row>
    <row r="146" spans="1:59" x14ac:dyDescent="0.25">
      <c r="A146" s="4">
        <v>145</v>
      </c>
      <c r="B146" s="33" t="s">
        <v>1719</v>
      </c>
      <c r="C146" s="20" t="s">
        <v>1864</v>
      </c>
      <c r="D146" s="42" t="s">
        <v>4666</v>
      </c>
      <c r="E146" s="20" t="s">
        <v>606</v>
      </c>
      <c r="F146" s="36" t="s">
        <v>1718</v>
      </c>
      <c r="G146" s="20">
        <v>951664645</v>
      </c>
      <c r="H146" t="str">
        <f>VLOOKUP(D146,DATA_SISTEMA!$A$1:$Q$506,13,FALSE)</f>
        <v>AV. TACNA 1441 HECTOR AURISCH</v>
      </c>
      <c r="I146" t="str">
        <f>VLOOKUP(D146,DATA_SISTEMA!$A$1:$Q$506,7,FALSE)</f>
        <v>2002-07-11</v>
      </c>
      <c r="J146" s="32" t="s">
        <v>1718</v>
      </c>
      <c r="K146" s="32" t="s">
        <v>1718</v>
      </c>
      <c r="L146" s="32" t="s">
        <v>1718</v>
      </c>
      <c r="M146">
        <v>287</v>
      </c>
      <c r="N146">
        <v>0</v>
      </c>
      <c r="O146" s="32" t="str">
        <f t="shared" si="2"/>
        <v>1450020261X</v>
      </c>
      <c r="P146" s="32" t="s">
        <v>1718</v>
      </c>
      <c r="Q146" s="32" t="s">
        <v>1718</v>
      </c>
      <c r="R146" s="32" t="s">
        <v>2110</v>
      </c>
      <c r="S146" s="32" t="s">
        <v>5031</v>
      </c>
      <c r="T146" t="str">
        <f>VLOOKUP(D146,DATA_SISTEMA!$A$1:$Q$506,9,FALSE)</f>
        <v>F</v>
      </c>
      <c r="U146" s="32" t="s">
        <v>2106</v>
      </c>
      <c r="V146" s="32" t="s">
        <v>1718</v>
      </c>
      <c r="W146" s="37" t="s">
        <v>5028</v>
      </c>
      <c r="X146" s="32" t="s">
        <v>4522</v>
      </c>
      <c r="Y146" s="32" t="s">
        <v>1718</v>
      </c>
      <c r="Z146" s="32" t="s">
        <v>1718</v>
      </c>
      <c r="AA146" s="32" t="s">
        <v>5028</v>
      </c>
      <c r="AB146" s="32" t="s">
        <v>1718</v>
      </c>
      <c r="AC146" s="32" t="s">
        <v>1718</v>
      </c>
      <c r="AD146" s="32" t="s">
        <v>1718</v>
      </c>
      <c r="AE146" s="32" t="s">
        <v>1718</v>
      </c>
      <c r="AF146" s="32" t="s">
        <v>1718</v>
      </c>
      <c r="AG146" s="32" t="s">
        <v>1718</v>
      </c>
      <c r="AH146" s="32" t="s">
        <v>2107</v>
      </c>
      <c r="AI146" s="20" t="s">
        <v>1442</v>
      </c>
      <c r="AJ146" s="20" t="s">
        <v>976</v>
      </c>
      <c r="AK146" s="20" t="s">
        <v>921</v>
      </c>
      <c r="AL146" s="20">
        <v>75786227</v>
      </c>
      <c r="AM146" t="s">
        <v>1718</v>
      </c>
      <c r="AN146" t="s">
        <v>1718</v>
      </c>
      <c r="AO146" t="s">
        <v>1718</v>
      </c>
      <c r="AP146" t="s">
        <v>1718</v>
      </c>
      <c r="AQ146" t="s">
        <v>1718</v>
      </c>
      <c r="AR146" t="s">
        <v>1718</v>
      </c>
      <c r="AS146" t="s">
        <v>1718</v>
      </c>
      <c r="AT146" t="s">
        <v>1718</v>
      </c>
      <c r="AU146" t="s">
        <v>1718</v>
      </c>
      <c r="AV146" t="str">
        <f>VLOOKUP(D146,DATA_SISTEMA!$A$1:$Q$506,12,FALSE)</f>
        <v>FERREÑAFE</v>
      </c>
      <c r="AW146" t="str">
        <f>VLOOKUP(D146,DATA_SISTEMA!$A$1:$Q$506,11,FALSE)</f>
        <v>FERREÑAFE</v>
      </c>
      <c r="AX146" t="str">
        <f>VLOOKUP(D146,DATA_SISTEMA!$A$1:$Q$506,10,FALSE)</f>
        <v>LAMBAYEQUE</v>
      </c>
      <c r="AY146" t="s">
        <v>1718</v>
      </c>
      <c r="AZ146" t="s">
        <v>5028</v>
      </c>
      <c r="BA146" t="s">
        <v>1718</v>
      </c>
      <c r="BB146" t="s">
        <v>5028</v>
      </c>
      <c r="BC146" t="s">
        <v>1718</v>
      </c>
      <c r="BD146" t="s">
        <v>5028</v>
      </c>
      <c r="BE146" t="s">
        <v>1718</v>
      </c>
      <c r="BF146" s="34" t="s">
        <v>2104</v>
      </c>
      <c r="BG146" s="20">
        <v>61.2</v>
      </c>
    </row>
    <row r="147" spans="1:59" x14ac:dyDescent="0.25">
      <c r="A147" s="4">
        <v>146</v>
      </c>
      <c r="B147" s="33" t="s">
        <v>1719</v>
      </c>
      <c r="C147" s="20" t="s">
        <v>1865</v>
      </c>
      <c r="D147" s="42" t="s">
        <v>4667</v>
      </c>
      <c r="E147" s="20" t="s">
        <v>608</v>
      </c>
      <c r="F147" s="36" t="s">
        <v>1718</v>
      </c>
      <c r="G147" s="20">
        <v>937047200</v>
      </c>
      <c r="H147" t="str">
        <f>VLOOKUP(D147,DATA_SISTEMA!$A$1:$Q$506,13,FALSE)</f>
        <v>MARIANO MELGAR 111- PJ. RICARDO PALMA- CHICLAYO</v>
      </c>
      <c r="I147" t="str">
        <f>VLOOKUP(D147,DATA_SISTEMA!$A$1:$Q$506,7,FALSE)</f>
        <v>1994-05-22</v>
      </c>
      <c r="J147" s="32" t="s">
        <v>1718</v>
      </c>
      <c r="K147" s="32" t="s">
        <v>1718</v>
      </c>
      <c r="L147" s="32" t="s">
        <v>1718</v>
      </c>
      <c r="M147">
        <v>287</v>
      </c>
      <c r="N147">
        <v>0</v>
      </c>
      <c r="O147" s="32" t="str">
        <f t="shared" si="2"/>
        <v>1460020261X</v>
      </c>
      <c r="P147" s="32" t="s">
        <v>1718</v>
      </c>
      <c r="Q147" s="32" t="s">
        <v>1718</v>
      </c>
      <c r="R147" s="32" t="s">
        <v>2110</v>
      </c>
      <c r="S147" s="32" t="s">
        <v>5031</v>
      </c>
      <c r="T147" t="str">
        <f>VLOOKUP(D147,DATA_SISTEMA!$A$1:$Q$506,9,FALSE)</f>
        <v>F</v>
      </c>
      <c r="U147" s="32" t="s">
        <v>2106</v>
      </c>
      <c r="V147" s="32" t="s">
        <v>1718</v>
      </c>
      <c r="W147" s="37" t="s">
        <v>5028</v>
      </c>
      <c r="X147" s="32" t="s">
        <v>4522</v>
      </c>
      <c r="Y147" s="32" t="s">
        <v>1718</v>
      </c>
      <c r="Z147" s="32" t="s">
        <v>1718</v>
      </c>
      <c r="AA147" s="32" t="s">
        <v>5028</v>
      </c>
      <c r="AB147" s="32" t="s">
        <v>1718</v>
      </c>
      <c r="AC147" s="32" t="s">
        <v>1718</v>
      </c>
      <c r="AD147" s="32" t="s">
        <v>1718</v>
      </c>
      <c r="AE147" s="32" t="s">
        <v>1718</v>
      </c>
      <c r="AF147" s="32" t="s">
        <v>1718</v>
      </c>
      <c r="AG147" s="32" t="s">
        <v>1718</v>
      </c>
      <c r="AH147" s="32" t="s">
        <v>2107</v>
      </c>
      <c r="AI147" s="20" t="s">
        <v>1443</v>
      </c>
      <c r="AJ147" s="20" t="s">
        <v>1058</v>
      </c>
      <c r="AK147" s="20" t="s">
        <v>1059</v>
      </c>
      <c r="AL147" s="20">
        <v>48575206</v>
      </c>
      <c r="AM147" t="s">
        <v>1718</v>
      </c>
      <c r="AN147" t="s">
        <v>1718</v>
      </c>
      <c r="AO147" t="s">
        <v>1718</v>
      </c>
      <c r="AP147" t="s">
        <v>1718</v>
      </c>
      <c r="AQ147" t="s">
        <v>1718</v>
      </c>
      <c r="AR147" t="s">
        <v>1718</v>
      </c>
      <c r="AS147" t="s">
        <v>1718</v>
      </c>
      <c r="AT147" t="s">
        <v>1718</v>
      </c>
      <c r="AU147" t="s">
        <v>1718</v>
      </c>
      <c r="AV147" t="str">
        <f>VLOOKUP(D147,DATA_SISTEMA!$A$1:$Q$506,12,FALSE)</f>
        <v>CHICLAYO</v>
      </c>
      <c r="AW147" t="str">
        <f>VLOOKUP(D147,DATA_SISTEMA!$A$1:$Q$506,11,FALSE)</f>
        <v>CHICLAYO</v>
      </c>
      <c r="AX147" t="str">
        <f>VLOOKUP(D147,DATA_SISTEMA!$A$1:$Q$506,10,FALSE)</f>
        <v>LAMBAYEQUE</v>
      </c>
      <c r="AY147" t="s">
        <v>1718</v>
      </c>
      <c r="AZ147" t="s">
        <v>5028</v>
      </c>
      <c r="BA147" t="s">
        <v>1718</v>
      </c>
      <c r="BB147" t="s">
        <v>5028</v>
      </c>
      <c r="BC147" t="s">
        <v>1718</v>
      </c>
      <c r="BD147" t="s">
        <v>5028</v>
      </c>
      <c r="BE147" t="s">
        <v>1718</v>
      </c>
      <c r="BF147" s="34" t="s">
        <v>2104</v>
      </c>
      <c r="BG147" s="20">
        <v>59.5</v>
      </c>
    </row>
    <row r="148" spans="1:59" x14ac:dyDescent="0.25">
      <c r="A148" s="4">
        <v>147</v>
      </c>
      <c r="B148" s="33" t="s">
        <v>1719</v>
      </c>
      <c r="C148" s="20" t="s">
        <v>1866</v>
      </c>
      <c r="D148" s="42" t="s">
        <v>4668</v>
      </c>
      <c r="E148" s="20" t="s">
        <v>610</v>
      </c>
      <c r="F148" s="36" t="s">
        <v>1718</v>
      </c>
      <c r="G148" s="20">
        <v>984634038</v>
      </c>
      <c r="H148" t="str">
        <f>VLOOKUP(D148,DATA_SISTEMA!$A$1:$Q$506,13,FALSE)</f>
        <v>URB GUARDIA REPUBLICANA MZ FLT 14</v>
      </c>
      <c r="I148" t="str">
        <f>VLOOKUP(D148,DATA_SISTEMA!$A$1:$Q$506,7,FALSE)</f>
        <v>1992-05-20</v>
      </c>
      <c r="J148" s="32" t="s">
        <v>1718</v>
      </c>
      <c r="K148" s="32" t="s">
        <v>1718</v>
      </c>
      <c r="L148" s="32" t="s">
        <v>1718</v>
      </c>
      <c r="M148">
        <v>287</v>
      </c>
      <c r="N148">
        <v>0</v>
      </c>
      <c r="O148" s="32" t="str">
        <f t="shared" si="2"/>
        <v>1470020261X</v>
      </c>
      <c r="P148" s="32" t="s">
        <v>1718</v>
      </c>
      <c r="Q148" s="32" t="s">
        <v>1718</v>
      </c>
      <c r="R148" s="32" t="s">
        <v>2110</v>
      </c>
      <c r="S148" s="32" t="s">
        <v>5031</v>
      </c>
      <c r="T148" t="str">
        <f>VLOOKUP(D148,DATA_SISTEMA!$A$1:$Q$506,9,FALSE)</f>
        <v>F</v>
      </c>
      <c r="U148" s="32" t="s">
        <v>2106</v>
      </c>
      <c r="V148" s="32" t="s">
        <v>1718</v>
      </c>
      <c r="W148" s="37" t="s">
        <v>5028</v>
      </c>
      <c r="X148" s="32" t="s">
        <v>4522</v>
      </c>
      <c r="Y148" s="32" t="s">
        <v>1718</v>
      </c>
      <c r="Z148" s="32" t="s">
        <v>1718</v>
      </c>
      <c r="AA148" s="32" t="s">
        <v>5028</v>
      </c>
      <c r="AB148" s="32" t="s">
        <v>1718</v>
      </c>
      <c r="AC148" s="32" t="s">
        <v>1718</v>
      </c>
      <c r="AD148" s="32" t="s">
        <v>1718</v>
      </c>
      <c r="AE148" s="32" t="s">
        <v>1718</v>
      </c>
      <c r="AF148" s="32" t="s">
        <v>1718</v>
      </c>
      <c r="AG148" s="32" t="s">
        <v>1718</v>
      </c>
      <c r="AH148" s="32" t="s">
        <v>2107</v>
      </c>
      <c r="AI148" s="20" t="s">
        <v>1444</v>
      </c>
      <c r="AJ148" s="20" t="s">
        <v>1060</v>
      </c>
      <c r="AK148" s="20" t="s">
        <v>1061</v>
      </c>
      <c r="AL148" s="20">
        <v>47660995</v>
      </c>
      <c r="AM148" t="s">
        <v>1718</v>
      </c>
      <c r="AN148" t="s">
        <v>1718</v>
      </c>
      <c r="AO148" t="s">
        <v>1718</v>
      </c>
      <c r="AP148" t="s">
        <v>1718</v>
      </c>
      <c r="AQ148" t="s">
        <v>1718</v>
      </c>
      <c r="AR148" t="s">
        <v>1718</v>
      </c>
      <c r="AS148" t="s">
        <v>1718</v>
      </c>
      <c r="AT148" t="s">
        <v>1718</v>
      </c>
      <c r="AU148" t="s">
        <v>1718</v>
      </c>
      <c r="AV148" t="str">
        <f>VLOOKUP(D148,DATA_SISTEMA!$A$1:$Q$506,12,FALSE)</f>
        <v>LAMBAYEQUE</v>
      </c>
      <c r="AW148" t="str">
        <f>VLOOKUP(D148,DATA_SISTEMA!$A$1:$Q$506,11,FALSE)</f>
        <v>LAMBAYEQUE</v>
      </c>
      <c r="AX148" t="str">
        <f>VLOOKUP(D148,DATA_SISTEMA!$A$1:$Q$506,10,FALSE)</f>
        <v>LAMBAYEQUE</v>
      </c>
      <c r="AY148" t="s">
        <v>1718</v>
      </c>
      <c r="AZ148" t="s">
        <v>5028</v>
      </c>
      <c r="BA148" t="s">
        <v>1718</v>
      </c>
      <c r="BB148" t="s">
        <v>5028</v>
      </c>
      <c r="BC148" t="s">
        <v>1718</v>
      </c>
      <c r="BD148" t="s">
        <v>5028</v>
      </c>
      <c r="BE148" t="s">
        <v>1718</v>
      </c>
      <c r="BF148" s="34" t="s">
        <v>2104</v>
      </c>
      <c r="BG148" s="20">
        <v>57</v>
      </c>
    </row>
    <row r="149" spans="1:59" x14ac:dyDescent="0.25">
      <c r="A149" s="4">
        <v>148</v>
      </c>
      <c r="B149" s="33" t="s">
        <v>1719</v>
      </c>
      <c r="C149" s="20" t="s">
        <v>1867</v>
      </c>
      <c r="D149" s="42" t="s">
        <v>4669</v>
      </c>
      <c r="E149" s="20" t="s">
        <v>612</v>
      </c>
      <c r="F149" s="36" t="s">
        <v>1718</v>
      </c>
      <c r="G149" s="20">
        <v>968137854</v>
      </c>
      <c r="H149" t="str">
        <f>VLOOKUP(D149,DATA_SISTEMA!$A$1:$Q$506,13,FALSE)</f>
        <v>LOS QUIPOS 2132 LA VICTORIA</v>
      </c>
      <c r="I149" t="str">
        <f>VLOOKUP(D149,DATA_SISTEMA!$A$1:$Q$506,7,FALSE)</f>
        <v>1976-11-14</v>
      </c>
      <c r="J149" s="32" t="s">
        <v>1718</v>
      </c>
      <c r="K149" s="32" t="s">
        <v>1718</v>
      </c>
      <c r="L149" s="32" t="s">
        <v>1718</v>
      </c>
      <c r="M149">
        <v>287</v>
      </c>
      <c r="N149">
        <v>0</v>
      </c>
      <c r="O149" s="32" t="str">
        <f t="shared" si="2"/>
        <v>1480020261X</v>
      </c>
      <c r="P149" s="32" t="s">
        <v>1718</v>
      </c>
      <c r="Q149" s="32" t="s">
        <v>1718</v>
      </c>
      <c r="R149" s="32" t="s">
        <v>2110</v>
      </c>
      <c r="S149" s="32" t="s">
        <v>5031</v>
      </c>
      <c r="T149" t="str">
        <f>VLOOKUP(D149,DATA_SISTEMA!$A$1:$Q$506,9,FALSE)</f>
        <v>M</v>
      </c>
      <c r="U149" s="32" t="s">
        <v>2106</v>
      </c>
      <c r="V149" s="32" t="s">
        <v>1718</v>
      </c>
      <c r="W149" s="37" t="s">
        <v>5028</v>
      </c>
      <c r="X149" s="32" t="s">
        <v>4522</v>
      </c>
      <c r="Y149" s="32" t="s">
        <v>1718</v>
      </c>
      <c r="Z149" s="32" t="s">
        <v>1718</v>
      </c>
      <c r="AA149" s="32" t="s">
        <v>5028</v>
      </c>
      <c r="AB149" s="32" t="s">
        <v>1718</v>
      </c>
      <c r="AC149" s="32" t="s">
        <v>1718</v>
      </c>
      <c r="AD149" s="32" t="s">
        <v>1718</v>
      </c>
      <c r="AE149" s="32" t="s">
        <v>1718</v>
      </c>
      <c r="AF149" s="32" t="s">
        <v>1718</v>
      </c>
      <c r="AG149" s="32" t="s">
        <v>1718</v>
      </c>
      <c r="AH149" s="32" t="s">
        <v>2107</v>
      </c>
      <c r="AI149" s="20" t="s">
        <v>1445</v>
      </c>
      <c r="AJ149" s="20" t="s">
        <v>1062</v>
      </c>
      <c r="AK149" s="20" t="s">
        <v>990</v>
      </c>
      <c r="AL149" s="20">
        <v>80587570</v>
      </c>
      <c r="AM149" t="s">
        <v>1718</v>
      </c>
      <c r="AN149" t="s">
        <v>1718</v>
      </c>
      <c r="AO149" t="s">
        <v>1718</v>
      </c>
      <c r="AP149" t="s">
        <v>1718</v>
      </c>
      <c r="AQ149" t="s">
        <v>1718</v>
      </c>
      <c r="AR149" t="s">
        <v>1718</v>
      </c>
      <c r="AS149" t="s">
        <v>1718</v>
      </c>
      <c r="AT149" t="s">
        <v>1718</v>
      </c>
      <c r="AU149" t="s">
        <v>1718</v>
      </c>
      <c r="AV149" t="str">
        <f>VLOOKUP(D149,DATA_SISTEMA!$A$1:$Q$506,12,FALSE)</f>
        <v>SALAS</v>
      </c>
      <c r="AW149" t="str">
        <f>VLOOKUP(D149,DATA_SISTEMA!$A$1:$Q$506,11,FALSE)</f>
        <v>LAMBAYEQUE</v>
      </c>
      <c r="AX149" t="str">
        <f>VLOOKUP(D149,DATA_SISTEMA!$A$1:$Q$506,10,FALSE)</f>
        <v>LAMBAYEQUE</v>
      </c>
      <c r="AY149" t="s">
        <v>1718</v>
      </c>
      <c r="AZ149" t="s">
        <v>5028</v>
      </c>
      <c r="BA149" t="s">
        <v>1718</v>
      </c>
      <c r="BB149" t="s">
        <v>5028</v>
      </c>
      <c r="BC149" t="s">
        <v>1718</v>
      </c>
      <c r="BD149" t="s">
        <v>5028</v>
      </c>
      <c r="BE149" t="s">
        <v>1718</v>
      </c>
      <c r="BF149" s="34" t="s">
        <v>2104</v>
      </c>
      <c r="BG149" s="20">
        <v>55.6</v>
      </c>
    </row>
    <row r="150" spans="1:59" x14ac:dyDescent="0.25">
      <c r="A150" s="4">
        <v>149</v>
      </c>
      <c r="B150" s="33" t="s">
        <v>1719</v>
      </c>
      <c r="C150" s="20" t="s">
        <v>1868</v>
      </c>
      <c r="D150" s="42" t="s">
        <v>4670</v>
      </c>
      <c r="E150" s="20" t="s">
        <v>614</v>
      </c>
      <c r="F150" s="36" t="s">
        <v>1718</v>
      </c>
      <c r="G150" s="20">
        <v>953445049</v>
      </c>
      <c r="H150" t="str">
        <f>VLOOKUP(D150,DATA_SISTEMA!$A$1:$Q$506,13,FALSE)</f>
        <v>URB. LA ENSENADA DE CHICLAYO MZ. D LT. 24 - 6TA ETAPA - PIMENTEL - LAMBAYEQUE</v>
      </c>
      <c r="I150" t="str">
        <f>VLOOKUP(D150,DATA_SISTEMA!$A$1:$Q$506,7,FALSE)</f>
        <v>1993-01-31</v>
      </c>
      <c r="J150" s="32" t="s">
        <v>1718</v>
      </c>
      <c r="K150" s="32" t="s">
        <v>1718</v>
      </c>
      <c r="L150" s="32" t="s">
        <v>1718</v>
      </c>
      <c r="M150">
        <v>287</v>
      </c>
      <c r="N150">
        <v>0</v>
      </c>
      <c r="O150" s="32" t="str">
        <f t="shared" si="2"/>
        <v>1490020261X</v>
      </c>
      <c r="P150" s="32" t="s">
        <v>1718</v>
      </c>
      <c r="Q150" s="32" t="s">
        <v>1718</v>
      </c>
      <c r="R150" s="32" t="s">
        <v>2110</v>
      </c>
      <c r="S150" s="32" t="s">
        <v>5031</v>
      </c>
      <c r="T150" t="str">
        <f>VLOOKUP(D150,DATA_SISTEMA!$A$1:$Q$506,9,FALSE)</f>
        <v>F</v>
      </c>
      <c r="U150" s="32" t="s">
        <v>2106</v>
      </c>
      <c r="V150" s="32" t="s">
        <v>1718</v>
      </c>
      <c r="W150" s="37" t="s">
        <v>5028</v>
      </c>
      <c r="X150" s="32" t="s">
        <v>4522</v>
      </c>
      <c r="Y150" s="32" t="s">
        <v>1718</v>
      </c>
      <c r="Z150" s="32" t="s">
        <v>1718</v>
      </c>
      <c r="AA150" s="32" t="s">
        <v>5028</v>
      </c>
      <c r="AB150" s="32" t="s">
        <v>1718</v>
      </c>
      <c r="AC150" s="32" t="s">
        <v>1718</v>
      </c>
      <c r="AD150" s="32" t="s">
        <v>1718</v>
      </c>
      <c r="AE150" s="32" t="s">
        <v>1718</v>
      </c>
      <c r="AF150" s="32" t="s">
        <v>1718</v>
      </c>
      <c r="AG150" s="32" t="s">
        <v>1718</v>
      </c>
      <c r="AH150" s="32" t="s">
        <v>2107</v>
      </c>
      <c r="AI150" s="20" t="s">
        <v>1446</v>
      </c>
      <c r="AJ150" s="20" t="s">
        <v>1063</v>
      </c>
      <c r="AK150" s="20" t="s">
        <v>1064</v>
      </c>
      <c r="AL150" s="20">
        <v>47570515</v>
      </c>
      <c r="AM150" t="s">
        <v>1718</v>
      </c>
      <c r="AN150" t="s">
        <v>1718</v>
      </c>
      <c r="AO150" t="s">
        <v>1718</v>
      </c>
      <c r="AP150" t="s">
        <v>1718</v>
      </c>
      <c r="AQ150" t="s">
        <v>1718</v>
      </c>
      <c r="AR150" t="s">
        <v>1718</v>
      </c>
      <c r="AS150" t="s">
        <v>1718</v>
      </c>
      <c r="AT150" t="s">
        <v>1718</v>
      </c>
      <c r="AU150" t="s">
        <v>1718</v>
      </c>
      <c r="AV150" t="str">
        <f>VLOOKUP(D150,DATA_SISTEMA!$A$1:$Q$506,12,FALSE)</f>
        <v>PIMENTEL</v>
      </c>
      <c r="AW150" t="str">
        <f>VLOOKUP(D150,DATA_SISTEMA!$A$1:$Q$506,11,FALSE)</f>
        <v>CHICLAYO</v>
      </c>
      <c r="AX150" t="str">
        <f>VLOOKUP(D150,DATA_SISTEMA!$A$1:$Q$506,10,FALSE)</f>
        <v>LAMBAYEQUE</v>
      </c>
      <c r="AY150" t="s">
        <v>1718</v>
      </c>
      <c r="AZ150" t="s">
        <v>5028</v>
      </c>
      <c r="BA150" t="s">
        <v>1718</v>
      </c>
      <c r="BB150" t="s">
        <v>5028</v>
      </c>
      <c r="BC150" t="s">
        <v>1718</v>
      </c>
      <c r="BD150" t="s">
        <v>5028</v>
      </c>
      <c r="BE150" t="s">
        <v>1718</v>
      </c>
      <c r="BF150" s="34" t="s">
        <v>2104</v>
      </c>
      <c r="BG150" s="20">
        <v>36.200000000000003</v>
      </c>
    </row>
    <row r="151" spans="1:59" x14ac:dyDescent="0.25">
      <c r="A151" s="4">
        <v>150</v>
      </c>
      <c r="B151" s="33" t="s">
        <v>1719</v>
      </c>
      <c r="C151" s="22" t="s">
        <v>1869</v>
      </c>
      <c r="D151" s="43" t="s">
        <v>4671</v>
      </c>
      <c r="E151" s="22" t="s">
        <v>52</v>
      </c>
      <c r="F151" s="36" t="s">
        <v>1718</v>
      </c>
      <c r="G151" s="22">
        <v>916947134</v>
      </c>
      <c r="H151" t="str">
        <f>VLOOKUP(D151,DATA_SISTEMA!$A$1:$Q$506,13,FALSE)</f>
        <v>JR. SAGRADO CORAZON DE JESUS N.° 492</v>
      </c>
      <c r="I151" t="str">
        <f>VLOOKUP(D151,DATA_SISTEMA!$A$1:$Q$506,7,FALSE)</f>
        <v>1978-11-01</v>
      </c>
      <c r="J151" s="32" t="s">
        <v>1718</v>
      </c>
      <c r="K151" s="32" t="s">
        <v>1718</v>
      </c>
      <c r="L151" s="32" t="s">
        <v>1718</v>
      </c>
      <c r="M151">
        <v>24</v>
      </c>
      <c r="N151">
        <v>0</v>
      </c>
      <c r="O151" s="32" t="str">
        <f t="shared" si="2"/>
        <v>1500020261X</v>
      </c>
      <c r="P151" s="32" t="s">
        <v>1718</v>
      </c>
      <c r="Q151" s="32" t="s">
        <v>1718</v>
      </c>
      <c r="R151" s="32" t="s">
        <v>2110</v>
      </c>
      <c r="S151" s="32" t="s">
        <v>5032</v>
      </c>
      <c r="T151" t="str">
        <f>VLOOKUP(D151,DATA_SISTEMA!$A$1:$Q$506,9,FALSE)</f>
        <v>M</v>
      </c>
      <c r="U151" s="32" t="s">
        <v>2106</v>
      </c>
      <c r="V151" s="32" t="s">
        <v>1718</v>
      </c>
      <c r="W151" s="37" t="s">
        <v>5028</v>
      </c>
      <c r="X151" s="32" t="s">
        <v>4522</v>
      </c>
      <c r="Y151" s="32" t="s">
        <v>1718</v>
      </c>
      <c r="Z151" s="32" t="s">
        <v>1718</v>
      </c>
      <c r="AA151" s="32" t="s">
        <v>5028</v>
      </c>
      <c r="AB151" s="32" t="s">
        <v>1718</v>
      </c>
      <c r="AC151" s="32" t="s">
        <v>1718</v>
      </c>
      <c r="AD151" s="32" t="s">
        <v>1718</v>
      </c>
      <c r="AE151" s="32" t="s">
        <v>1718</v>
      </c>
      <c r="AF151" s="32" t="s">
        <v>1718</v>
      </c>
      <c r="AG151" s="32" t="s">
        <v>1718</v>
      </c>
      <c r="AH151" s="32" t="s">
        <v>2107</v>
      </c>
      <c r="AI151" s="22" t="s">
        <v>1447</v>
      </c>
      <c r="AJ151" s="22" t="s">
        <v>1065</v>
      </c>
      <c r="AK151" s="22" t="s">
        <v>1066</v>
      </c>
      <c r="AL151" s="22">
        <v>40053650</v>
      </c>
      <c r="AM151" t="s">
        <v>1718</v>
      </c>
      <c r="AN151" t="s">
        <v>1718</v>
      </c>
      <c r="AO151" t="s">
        <v>1718</v>
      </c>
      <c r="AP151" t="s">
        <v>1718</v>
      </c>
      <c r="AQ151" t="s">
        <v>1718</v>
      </c>
      <c r="AR151" t="s">
        <v>1718</v>
      </c>
      <c r="AS151" t="s">
        <v>1718</v>
      </c>
      <c r="AT151" t="s">
        <v>1718</v>
      </c>
      <c r="AU151" t="s">
        <v>1718</v>
      </c>
      <c r="AV151" t="str">
        <f>VLOOKUP(D151,DATA_SISTEMA!$A$1:$Q$506,12,FALSE)</f>
        <v>CHOTA</v>
      </c>
      <c r="AW151" t="str">
        <f>VLOOKUP(D151,DATA_SISTEMA!$A$1:$Q$506,11,FALSE)</f>
        <v xml:space="preserve">CHOTA </v>
      </c>
      <c r="AX151" t="str">
        <f>VLOOKUP(D151,DATA_SISTEMA!$A$1:$Q$506,10,FALSE)</f>
        <v>CAJAMARCA</v>
      </c>
      <c r="AY151" t="s">
        <v>1718</v>
      </c>
      <c r="AZ151" t="s">
        <v>5028</v>
      </c>
      <c r="BA151" t="s">
        <v>1718</v>
      </c>
      <c r="BB151" t="s">
        <v>5028</v>
      </c>
      <c r="BC151" t="s">
        <v>1718</v>
      </c>
      <c r="BD151" t="s">
        <v>5028</v>
      </c>
      <c r="BE151" t="s">
        <v>1718</v>
      </c>
      <c r="BF151" s="34" t="s">
        <v>2104</v>
      </c>
      <c r="BG151" s="22">
        <v>83.5</v>
      </c>
    </row>
    <row r="152" spans="1:59" x14ac:dyDescent="0.25">
      <c r="A152" s="4">
        <v>151</v>
      </c>
      <c r="B152" s="33" t="s">
        <v>1719</v>
      </c>
      <c r="C152" s="22" t="s">
        <v>1870</v>
      </c>
      <c r="D152" s="43" t="s">
        <v>4672</v>
      </c>
      <c r="E152" s="22" t="s">
        <v>55</v>
      </c>
      <c r="F152" s="36" t="s">
        <v>1718</v>
      </c>
      <c r="G152" s="22">
        <v>938854248</v>
      </c>
      <c r="H152" t="str">
        <f>VLOOKUP(D152,DATA_SISTEMA!$A$1:$Q$506,13,FALSE)</f>
        <v>AV. AGUSTIN VALLEJOS ZAVALA N°269 - URB. EL PARAISO</v>
      </c>
      <c r="I152" t="str">
        <f>VLOOKUP(D152,DATA_SISTEMA!$A$1:$Q$506,7,FALSE)</f>
        <v>1984-11-30</v>
      </c>
      <c r="J152" s="32" t="s">
        <v>1718</v>
      </c>
      <c r="K152" s="32" t="s">
        <v>1718</v>
      </c>
      <c r="L152" s="32" t="s">
        <v>1718</v>
      </c>
      <c r="M152">
        <v>24</v>
      </c>
      <c r="N152">
        <v>0</v>
      </c>
      <c r="O152" s="32" t="str">
        <f t="shared" si="2"/>
        <v>1510020261X</v>
      </c>
      <c r="P152" s="32" t="s">
        <v>1718</v>
      </c>
      <c r="Q152" s="32" t="s">
        <v>1718</v>
      </c>
      <c r="R152" s="32" t="s">
        <v>2110</v>
      </c>
      <c r="S152" s="32" t="s">
        <v>5032</v>
      </c>
      <c r="T152" t="str">
        <f>VLOOKUP(D152,DATA_SISTEMA!$A$1:$Q$506,9,FALSE)</f>
        <v>M</v>
      </c>
      <c r="U152" s="32" t="s">
        <v>2106</v>
      </c>
      <c r="V152" s="32" t="s">
        <v>1718</v>
      </c>
      <c r="W152" s="37" t="s">
        <v>5028</v>
      </c>
      <c r="X152" s="32" t="s">
        <v>4522</v>
      </c>
      <c r="Y152" s="32" t="s">
        <v>1718</v>
      </c>
      <c r="Z152" s="32" t="s">
        <v>1718</v>
      </c>
      <c r="AA152" s="32" t="s">
        <v>5028</v>
      </c>
      <c r="AB152" s="32" t="s">
        <v>1718</v>
      </c>
      <c r="AC152" s="32" t="s">
        <v>1718</v>
      </c>
      <c r="AD152" s="32" t="s">
        <v>1718</v>
      </c>
      <c r="AE152" s="32" t="s">
        <v>1718</v>
      </c>
      <c r="AF152" s="32" t="s">
        <v>1718</v>
      </c>
      <c r="AG152" s="32" t="s">
        <v>1718</v>
      </c>
      <c r="AH152" s="32" t="s">
        <v>2107</v>
      </c>
      <c r="AI152" s="22" t="s">
        <v>1448</v>
      </c>
      <c r="AJ152" s="22" t="s">
        <v>1067</v>
      </c>
      <c r="AK152" s="22" t="s">
        <v>1020</v>
      </c>
      <c r="AL152" s="22">
        <v>42739000</v>
      </c>
      <c r="AM152" t="s">
        <v>1718</v>
      </c>
      <c r="AN152" t="s">
        <v>1718</v>
      </c>
      <c r="AO152" t="s">
        <v>1718</v>
      </c>
      <c r="AP152" t="s">
        <v>1718</v>
      </c>
      <c r="AQ152" t="s">
        <v>1718</v>
      </c>
      <c r="AR152" t="s">
        <v>1718</v>
      </c>
      <c r="AS152" t="s">
        <v>1718</v>
      </c>
      <c r="AT152" t="s">
        <v>1718</v>
      </c>
      <c r="AU152" t="s">
        <v>1718</v>
      </c>
      <c r="AV152" t="str">
        <f>VLOOKUP(D152,DATA_SISTEMA!$A$1:$Q$506,12,FALSE)</f>
        <v>CHICLAYO</v>
      </c>
      <c r="AW152" t="str">
        <f>VLOOKUP(D152,DATA_SISTEMA!$A$1:$Q$506,11,FALSE)</f>
        <v>CHICLAYO</v>
      </c>
      <c r="AX152" t="str">
        <f>VLOOKUP(D152,DATA_SISTEMA!$A$1:$Q$506,10,FALSE)</f>
        <v>LAMBAYEQUE</v>
      </c>
      <c r="AY152" t="s">
        <v>1718</v>
      </c>
      <c r="AZ152" t="s">
        <v>5028</v>
      </c>
      <c r="BA152" t="s">
        <v>1718</v>
      </c>
      <c r="BB152" t="s">
        <v>5028</v>
      </c>
      <c r="BC152" t="s">
        <v>1718</v>
      </c>
      <c r="BD152" t="s">
        <v>5028</v>
      </c>
      <c r="BE152" t="s">
        <v>1718</v>
      </c>
      <c r="BF152" s="34" t="s">
        <v>2104</v>
      </c>
      <c r="BG152" s="22">
        <v>83</v>
      </c>
    </row>
    <row r="153" spans="1:59" x14ac:dyDescent="0.25">
      <c r="A153" s="4">
        <v>152</v>
      </c>
      <c r="B153" s="33" t="s">
        <v>1719</v>
      </c>
      <c r="C153" s="22" t="s">
        <v>1871</v>
      </c>
      <c r="D153" s="43" t="s">
        <v>4673</v>
      </c>
      <c r="E153" s="22" t="s">
        <v>57</v>
      </c>
      <c r="F153" s="36" t="s">
        <v>1718</v>
      </c>
      <c r="G153" s="22">
        <v>901965892</v>
      </c>
      <c r="H153" t="str">
        <f>VLOOKUP(D153,DATA_SISTEMA!$A$1:$Q$506,13,FALSE)</f>
        <v>CASERIO LA LIBERTAD</v>
      </c>
      <c r="I153" t="str">
        <f>VLOOKUP(D153,DATA_SISTEMA!$A$1:$Q$506,7,FALSE)</f>
        <v>1998-11-17</v>
      </c>
      <c r="J153" s="32" t="s">
        <v>1718</v>
      </c>
      <c r="K153" s="32" t="s">
        <v>1718</v>
      </c>
      <c r="L153" s="32" t="s">
        <v>1718</v>
      </c>
      <c r="M153">
        <v>24</v>
      </c>
      <c r="N153">
        <v>0</v>
      </c>
      <c r="O153" s="32" t="str">
        <f t="shared" si="2"/>
        <v>1520020261X</v>
      </c>
      <c r="P153" s="32" t="s">
        <v>1718</v>
      </c>
      <c r="Q153" s="32" t="s">
        <v>1718</v>
      </c>
      <c r="R153" s="32" t="s">
        <v>2110</v>
      </c>
      <c r="S153" s="32" t="s">
        <v>5032</v>
      </c>
      <c r="T153" t="str">
        <f>VLOOKUP(D153,DATA_SISTEMA!$A$1:$Q$506,9,FALSE)</f>
        <v>M</v>
      </c>
      <c r="U153" s="32" t="s">
        <v>2106</v>
      </c>
      <c r="V153" s="32" t="s">
        <v>1718</v>
      </c>
      <c r="W153" s="37" t="s">
        <v>5028</v>
      </c>
      <c r="X153" s="32" t="s">
        <v>4522</v>
      </c>
      <c r="Y153" s="32" t="s">
        <v>1718</v>
      </c>
      <c r="Z153" s="32" t="s">
        <v>1718</v>
      </c>
      <c r="AA153" s="32" t="s">
        <v>5028</v>
      </c>
      <c r="AB153" s="32" t="s">
        <v>1718</v>
      </c>
      <c r="AC153" s="32" t="s">
        <v>1718</v>
      </c>
      <c r="AD153" s="32" t="s">
        <v>1718</v>
      </c>
      <c r="AE153" s="32" t="s">
        <v>1718</v>
      </c>
      <c r="AF153" s="32" t="s">
        <v>1718</v>
      </c>
      <c r="AG153" s="32" t="s">
        <v>1718</v>
      </c>
      <c r="AH153" s="32" t="s">
        <v>2107</v>
      </c>
      <c r="AI153" s="22" t="s">
        <v>1449</v>
      </c>
      <c r="AJ153" s="22" t="s">
        <v>1015</v>
      </c>
      <c r="AK153" s="22" t="s">
        <v>858</v>
      </c>
      <c r="AL153" s="22">
        <v>76222247</v>
      </c>
      <c r="AM153" t="s">
        <v>1718</v>
      </c>
      <c r="AN153" t="s">
        <v>1718</v>
      </c>
      <c r="AO153" t="s">
        <v>1718</v>
      </c>
      <c r="AP153" t="s">
        <v>1718</v>
      </c>
      <c r="AQ153" t="s">
        <v>1718</v>
      </c>
      <c r="AR153" t="s">
        <v>1718</v>
      </c>
      <c r="AS153" t="s">
        <v>1718</v>
      </c>
      <c r="AT153" t="s">
        <v>1718</v>
      </c>
      <c r="AU153" t="s">
        <v>1718</v>
      </c>
      <c r="AV153" t="str">
        <f>VLOOKUP(D153,DATA_SISTEMA!$A$1:$Q$506,12,FALSE)</f>
        <v>CHONTALI</v>
      </c>
      <c r="AW153" t="str">
        <f>VLOOKUP(D153,DATA_SISTEMA!$A$1:$Q$506,11,FALSE)</f>
        <v>JAEN</v>
      </c>
      <c r="AX153" t="str">
        <f>VLOOKUP(D153,DATA_SISTEMA!$A$1:$Q$506,10,FALSE)</f>
        <v>CAJAMARCA</v>
      </c>
      <c r="AY153" t="s">
        <v>1718</v>
      </c>
      <c r="AZ153" t="s">
        <v>5028</v>
      </c>
      <c r="BA153" t="s">
        <v>1718</v>
      </c>
      <c r="BB153" t="s">
        <v>5028</v>
      </c>
      <c r="BC153" t="s">
        <v>1718</v>
      </c>
      <c r="BD153" t="s">
        <v>5028</v>
      </c>
      <c r="BE153" t="s">
        <v>1718</v>
      </c>
      <c r="BF153" s="34" t="s">
        <v>2104</v>
      </c>
      <c r="BG153" s="22">
        <v>82.6</v>
      </c>
    </row>
    <row r="154" spans="1:59" x14ac:dyDescent="0.25">
      <c r="A154" s="4">
        <v>153</v>
      </c>
      <c r="B154" s="33" t="s">
        <v>1719</v>
      </c>
      <c r="C154" s="22" t="s">
        <v>1872</v>
      </c>
      <c r="D154" s="43" t="s">
        <v>4674</v>
      </c>
      <c r="E154" s="22" t="s">
        <v>59</v>
      </c>
      <c r="F154" s="36" t="s">
        <v>1718</v>
      </c>
      <c r="G154" s="22">
        <v>979259720</v>
      </c>
      <c r="H154" t="str">
        <f>VLOOKUP(D154,DATA_SISTEMA!$A$1:$Q$506,13,FALSE)</f>
        <v>LOS ZAPOTES 135 DEP 303 - URB. SANTA VICTORIA - CHICLAYO</v>
      </c>
      <c r="I154" t="str">
        <f>VLOOKUP(D154,DATA_SISTEMA!$A$1:$Q$506,7,FALSE)</f>
        <v>1976-07-02</v>
      </c>
      <c r="J154" s="32" t="s">
        <v>1718</v>
      </c>
      <c r="K154" s="32" t="s">
        <v>1718</v>
      </c>
      <c r="L154" s="32" t="s">
        <v>1718</v>
      </c>
      <c r="M154">
        <v>24</v>
      </c>
      <c r="N154">
        <v>0</v>
      </c>
      <c r="O154" s="32" t="str">
        <f t="shared" si="2"/>
        <v>1530020261X</v>
      </c>
      <c r="P154" s="32" t="s">
        <v>1718</v>
      </c>
      <c r="Q154" s="32" t="s">
        <v>1718</v>
      </c>
      <c r="R154" s="32" t="s">
        <v>2110</v>
      </c>
      <c r="S154" s="32" t="s">
        <v>5032</v>
      </c>
      <c r="T154" t="str">
        <f>VLOOKUP(D154,DATA_SISTEMA!$A$1:$Q$506,9,FALSE)</f>
        <v>M</v>
      </c>
      <c r="U154" s="32" t="s">
        <v>2106</v>
      </c>
      <c r="V154" s="32" t="s">
        <v>1718</v>
      </c>
      <c r="W154" s="37" t="s">
        <v>5028</v>
      </c>
      <c r="X154" s="32" t="s">
        <v>4522</v>
      </c>
      <c r="Y154" s="32" t="s">
        <v>1718</v>
      </c>
      <c r="Z154" s="32" t="s">
        <v>1718</v>
      </c>
      <c r="AA154" s="32" t="s">
        <v>5028</v>
      </c>
      <c r="AB154" s="32" t="s">
        <v>1718</v>
      </c>
      <c r="AC154" s="32" t="s">
        <v>1718</v>
      </c>
      <c r="AD154" s="32" t="s">
        <v>1718</v>
      </c>
      <c r="AE154" s="32" t="s">
        <v>1718</v>
      </c>
      <c r="AF154" s="32" t="s">
        <v>1718</v>
      </c>
      <c r="AG154" s="32" t="s">
        <v>1718</v>
      </c>
      <c r="AH154" s="32" t="s">
        <v>2107</v>
      </c>
      <c r="AI154" s="22" t="s">
        <v>1450</v>
      </c>
      <c r="AJ154" s="22" t="s">
        <v>1068</v>
      </c>
      <c r="AK154" s="22" t="s">
        <v>886</v>
      </c>
      <c r="AL154" s="22">
        <v>16761481</v>
      </c>
      <c r="AM154" t="s">
        <v>1718</v>
      </c>
      <c r="AN154" t="s">
        <v>1718</v>
      </c>
      <c r="AO154" t="s">
        <v>1718</v>
      </c>
      <c r="AP154" t="s">
        <v>1718</v>
      </c>
      <c r="AQ154" t="s">
        <v>1718</v>
      </c>
      <c r="AR154" t="s">
        <v>1718</v>
      </c>
      <c r="AS154" t="s">
        <v>1718</v>
      </c>
      <c r="AT154" t="s">
        <v>1718</v>
      </c>
      <c r="AU154" t="s">
        <v>1718</v>
      </c>
      <c r="AV154" t="str">
        <f>VLOOKUP(D154,DATA_SISTEMA!$A$1:$Q$506,12,FALSE)</f>
        <v>CHICLAYO</v>
      </c>
      <c r="AW154" t="str">
        <f>VLOOKUP(D154,DATA_SISTEMA!$A$1:$Q$506,11,FALSE)</f>
        <v>CHICLAYO</v>
      </c>
      <c r="AX154" t="str">
        <f>VLOOKUP(D154,DATA_SISTEMA!$A$1:$Q$506,10,FALSE)</f>
        <v>LAMBAYEQUE</v>
      </c>
      <c r="AY154" t="s">
        <v>1718</v>
      </c>
      <c r="AZ154" t="s">
        <v>5028</v>
      </c>
      <c r="BA154" t="s">
        <v>1718</v>
      </c>
      <c r="BB154" t="s">
        <v>5028</v>
      </c>
      <c r="BC154" t="s">
        <v>1718</v>
      </c>
      <c r="BD154" t="s">
        <v>5028</v>
      </c>
      <c r="BE154" t="s">
        <v>1718</v>
      </c>
      <c r="BF154" s="34" t="s">
        <v>2104</v>
      </c>
      <c r="BG154" s="22">
        <v>81.400000000000006</v>
      </c>
    </row>
    <row r="155" spans="1:59" x14ac:dyDescent="0.25">
      <c r="A155" s="4">
        <v>154</v>
      </c>
      <c r="B155" s="33" t="s">
        <v>1719</v>
      </c>
      <c r="C155" s="22" t="s">
        <v>1873</v>
      </c>
      <c r="D155" s="43" t="s">
        <v>4675</v>
      </c>
      <c r="E155" s="22" t="s">
        <v>61</v>
      </c>
      <c r="F155" s="36" t="s">
        <v>1718</v>
      </c>
      <c r="G155" s="22">
        <v>966296132</v>
      </c>
      <c r="H155" t="str">
        <f>VLOOKUP(D155,DATA_SISTEMA!$A$1:$Q$506,13,FALSE)</f>
        <v>CALLE LUIS CASTILLA 148 - URBANIZACIÓN LA PRIMAVERA</v>
      </c>
      <c r="I155" t="str">
        <f>VLOOKUP(D155,DATA_SISTEMA!$A$1:$Q$506,7,FALSE)</f>
        <v>1980-03-17</v>
      </c>
      <c r="J155" s="32" t="s">
        <v>1718</v>
      </c>
      <c r="K155" s="32" t="s">
        <v>1718</v>
      </c>
      <c r="L155" s="32" t="s">
        <v>1718</v>
      </c>
      <c r="M155">
        <v>24</v>
      </c>
      <c r="N155">
        <v>0</v>
      </c>
      <c r="O155" s="32" t="str">
        <f t="shared" si="2"/>
        <v>1540020261X</v>
      </c>
      <c r="P155" s="32" t="s">
        <v>1718</v>
      </c>
      <c r="Q155" s="32" t="s">
        <v>1718</v>
      </c>
      <c r="R155" s="32" t="s">
        <v>2110</v>
      </c>
      <c r="S155" s="32" t="s">
        <v>5032</v>
      </c>
      <c r="T155" t="str">
        <f>VLOOKUP(D155,DATA_SISTEMA!$A$1:$Q$506,9,FALSE)</f>
        <v>F</v>
      </c>
      <c r="U155" s="32" t="s">
        <v>2106</v>
      </c>
      <c r="V155" s="32" t="s">
        <v>1718</v>
      </c>
      <c r="W155" s="37" t="s">
        <v>5028</v>
      </c>
      <c r="X155" s="32" t="s">
        <v>4522</v>
      </c>
      <c r="Y155" s="32" t="s">
        <v>1718</v>
      </c>
      <c r="Z155" s="32" t="s">
        <v>1718</v>
      </c>
      <c r="AA155" s="32" t="s">
        <v>5028</v>
      </c>
      <c r="AB155" s="32" t="s">
        <v>1718</v>
      </c>
      <c r="AC155" s="32" t="s">
        <v>1718</v>
      </c>
      <c r="AD155" s="32" t="s">
        <v>1718</v>
      </c>
      <c r="AE155" s="32" t="s">
        <v>1718</v>
      </c>
      <c r="AF155" s="32" t="s">
        <v>1718</v>
      </c>
      <c r="AG155" s="32" t="s">
        <v>1718</v>
      </c>
      <c r="AH155" s="32" t="s">
        <v>2107</v>
      </c>
      <c r="AI155" s="22" t="s">
        <v>1451</v>
      </c>
      <c r="AJ155" s="22" t="s">
        <v>913</v>
      </c>
      <c r="AK155" s="22" t="s">
        <v>1069</v>
      </c>
      <c r="AL155" s="22">
        <v>40477335</v>
      </c>
      <c r="AM155" t="s">
        <v>1718</v>
      </c>
      <c r="AN155" t="s">
        <v>1718</v>
      </c>
      <c r="AO155" t="s">
        <v>1718</v>
      </c>
      <c r="AP155" t="s">
        <v>1718</v>
      </c>
      <c r="AQ155" t="s">
        <v>1718</v>
      </c>
      <c r="AR155" t="s">
        <v>1718</v>
      </c>
      <c r="AS155" t="s">
        <v>1718</v>
      </c>
      <c r="AT155" t="s">
        <v>1718</v>
      </c>
      <c r="AU155" t="s">
        <v>1718</v>
      </c>
      <c r="AV155" t="str">
        <f>VLOOKUP(D155,DATA_SISTEMA!$A$1:$Q$506,12,FALSE)</f>
        <v>CHICLAYO</v>
      </c>
      <c r="AW155" t="str">
        <f>VLOOKUP(D155,DATA_SISTEMA!$A$1:$Q$506,11,FALSE)</f>
        <v>CHICLAYO</v>
      </c>
      <c r="AX155" t="str">
        <f>VLOOKUP(D155,DATA_SISTEMA!$A$1:$Q$506,10,FALSE)</f>
        <v>LAMBAYEQUE</v>
      </c>
      <c r="AY155" t="s">
        <v>1718</v>
      </c>
      <c r="AZ155" t="s">
        <v>5028</v>
      </c>
      <c r="BA155" t="s">
        <v>1718</v>
      </c>
      <c r="BB155" t="s">
        <v>5028</v>
      </c>
      <c r="BC155" t="s">
        <v>1718</v>
      </c>
      <c r="BD155" t="s">
        <v>5028</v>
      </c>
      <c r="BE155" t="s">
        <v>1718</v>
      </c>
      <c r="BF155" s="34" t="s">
        <v>2104</v>
      </c>
      <c r="BG155" s="22">
        <v>81</v>
      </c>
    </row>
    <row r="156" spans="1:59" x14ac:dyDescent="0.25">
      <c r="A156" s="4">
        <v>155</v>
      </c>
      <c r="B156" s="33" t="s">
        <v>1719</v>
      </c>
      <c r="C156" s="22" t="s">
        <v>1874</v>
      </c>
      <c r="D156" s="43" t="s">
        <v>4676</v>
      </c>
      <c r="E156" s="22" t="s">
        <v>63</v>
      </c>
      <c r="F156" s="36" t="s">
        <v>1718</v>
      </c>
      <c r="G156" s="22">
        <v>975638058</v>
      </c>
      <c r="H156" t="str">
        <f>VLOOKUP(D156,DATA_SISTEMA!$A$1:$Q$506,13,FALSE)</f>
        <v>CALLE DEMOCRACIA 920- URB. SAN CARLOS- SOJE LEONARDO ORTIZ</v>
      </c>
      <c r="I156" t="str">
        <f>VLOOKUP(D156,DATA_SISTEMA!$A$1:$Q$506,7,FALSE)</f>
        <v>1986-10-25</v>
      </c>
      <c r="J156" s="32" t="s">
        <v>1718</v>
      </c>
      <c r="K156" s="32" t="s">
        <v>1718</v>
      </c>
      <c r="L156" s="32" t="s">
        <v>1718</v>
      </c>
      <c r="M156">
        <v>24</v>
      </c>
      <c r="N156">
        <v>0</v>
      </c>
      <c r="O156" s="32" t="str">
        <f t="shared" si="2"/>
        <v>1550020261X</v>
      </c>
      <c r="P156" s="32" t="s">
        <v>1718</v>
      </c>
      <c r="Q156" s="32" t="s">
        <v>1718</v>
      </c>
      <c r="R156" s="32" t="s">
        <v>2110</v>
      </c>
      <c r="S156" s="32" t="s">
        <v>5032</v>
      </c>
      <c r="T156" t="str">
        <f>VLOOKUP(D156,DATA_SISTEMA!$A$1:$Q$506,9,FALSE)</f>
        <v>M</v>
      </c>
      <c r="U156" s="32" t="s">
        <v>2106</v>
      </c>
      <c r="V156" s="32" t="s">
        <v>1718</v>
      </c>
      <c r="W156" s="37" t="s">
        <v>5028</v>
      </c>
      <c r="X156" s="32" t="s">
        <v>4522</v>
      </c>
      <c r="Y156" s="32" t="s">
        <v>1718</v>
      </c>
      <c r="Z156" s="32" t="s">
        <v>1718</v>
      </c>
      <c r="AA156" s="32" t="s">
        <v>5028</v>
      </c>
      <c r="AB156" s="32" t="s">
        <v>1718</v>
      </c>
      <c r="AC156" s="32" t="s">
        <v>1718</v>
      </c>
      <c r="AD156" s="32" t="s">
        <v>1718</v>
      </c>
      <c r="AE156" s="32" t="s">
        <v>1718</v>
      </c>
      <c r="AF156" s="32" t="s">
        <v>1718</v>
      </c>
      <c r="AG156" s="32" t="s">
        <v>1718</v>
      </c>
      <c r="AH156" s="32" t="s">
        <v>2107</v>
      </c>
      <c r="AI156" s="22" t="s">
        <v>1452</v>
      </c>
      <c r="AJ156" s="22" t="s">
        <v>858</v>
      </c>
      <c r="AK156" s="22" t="s">
        <v>860</v>
      </c>
      <c r="AL156" s="22">
        <v>43880198</v>
      </c>
      <c r="AM156" t="s">
        <v>1718</v>
      </c>
      <c r="AN156" t="s">
        <v>1718</v>
      </c>
      <c r="AO156" t="s">
        <v>1718</v>
      </c>
      <c r="AP156" t="s">
        <v>1718</v>
      </c>
      <c r="AQ156" t="s">
        <v>1718</v>
      </c>
      <c r="AR156" t="s">
        <v>1718</v>
      </c>
      <c r="AS156" t="s">
        <v>1718</v>
      </c>
      <c r="AT156" t="s">
        <v>1718</v>
      </c>
      <c r="AU156" t="s">
        <v>1718</v>
      </c>
      <c r="AV156" t="str">
        <f>VLOOKUP(D156,DATA_SISTEMA!$A$1:$Q$506,12,FALSE)</f>
        <v>JOSE LEONARDO ORTIZ</v>
      </c>
      <c r="AW156" t="str">
        <f>VLOOKUP(D156,DATA_SISTEMA!$A$1:$Q$506,11,FALSE)</f>
        <v>CHICLAYO</v>
      </c>
      <c r="AX156" t="str">
        <f>VLOOKUP(D156,DATA_SISTEMA!$A$1:$Q$506,10,FALSE)</f>
        <v>LAMBAYEQUE</v>
      </c>
      <c r="AY156" t="s">
        <v>1718</v>
      </c>
      <c r="AZ156" t="s">
        <v>5028</v>
      </c>
      <c r="BA156" t="s">
        <v>1718</v>
      </c>
      <c r="BB156" t="s">
        <v>5028</v>
      </c>
      <c r="BC156" t="s">
        <v>1718</v>
      </c>
      <c r="BD156" t="s">
        <v>5028</v>
      </c>
      <c r="BE156" t="s">
        <v>1718</v>
      </c>
      <c r="BF156" s="34" t="s">
        <v>2104</v>
      </c>
      <c r="BG156" s="22">
        <v>79.5</v>
      </c>
    </row>
    <row r="157" spans="1:59" x14ac:dyDescent="0.25">
      <c r="A157" s="4">
        <v>156</v>
      </c>
      <c r="B157" s="33" t="s">
        <v>1719</v>
      </c>
      <c r="C157" s="22" t="s">
        <v>1875</v>
      </c>
      <c r="D157" s="43" t="s">
        <v>4677</v>
      </c>
      <c r="E157" s="22" t="s">
        <v>65</v>
      </c>
      <c r="F157" s="36" t="s">
        <v>1718</v>
      </c>
      <c r="G157" s="22">
        <v>978290008</v>
      </c>
      <c r="H157" t="str">
        <f>VLOOKUP(D157,DATA_SISTEMA!$A$1:$Q$506,13,FALSE)</f>
        <v>CALLE FEDERICO VILLERREAL N° 863</v>
      </c>
      <c r="I157" t="str">
        <f>VLOOKUP(D157,DATA_SISTEMA!$A$1:$Q$506,7,FALSE)</f>
        <v>1970-09-15</v>
      </c>
      <c r="J157" s="32" t="s">
        <v>1718</v>
      </c>
      <c r="K157" s="32" t="s">
        <v>1718</v>
      </c>
      <c r="L157" s="32" t="s">
        <v>1718</v>
      </c>
      <c r="M157">
        <v>24</v>
      </c>
      <c r="N157">
        <v>0</v>
      </c>
      <c r="O157" s="32" t="str">
        <f t="shared" si="2"/>
        <v>1560020261X</v>
      </c>
      <c r="P157" s="32" t="s">
        <v>1718</v>
      </c>
      <c r="Q157" s="32" t="s">
        <v>1718</v>
      </c>
      <c r="R157" s="32" t="s">
        <v>2110</v>
      </c>
      <c r="S157" s="32" t="s">
        <v>5032</v>
      </c>
      <c r="T157" t="str">
        <f>VLOOKUP(D157,DATA_SISTEMA!$A$1:$Q$506,9,FALSE)</f>
        <v>M</v>
      </c>
      <c r="U157" s="32" t="s">
        <v>2106</v>
      </c>
      <c r="V157" s="32" t="s">
        <v>1718</v>
      </c>
      <c r="W157" s="37" t="s">
        <v>5028</v>
      </c>
      <c r="X157" s="32" t="s">
        <v>4522</v>
      </c>
      <c r="Y157" s="32" t="s">
        <v>1718</v>
      </c>
      <c r="Z157" s="32" t="s">
        <v>1718</v>
      </c>
      <c r="AA157" s="32" t="s">
        <v>5028</v>
      </c>
      <c r="AB157" s="32" t="s">
        <v>1718</v>
      </c>
      <c r="AC157" s="32" t="s">
        <v>1718</v>
      </c>
      <c r="AD157" s="32" t="s">
        <v>1718</v>
      </c>
      <c r="AE157" s="32" t="s">
        <v>1718</v>
      </c>
      <c r="AF157" s="32" t="s">
        <v>1718</v>
      </c>
      <c r="AG157" s="32" t="s">
        <v>1718</v>
      </c>
      <c r="AH157" s="32" t="s">
        <v>2107</v>
      </c>
      <c r="AI157" s="22" t="s">
        <v>1453</v>
      </c>
      <c r="AJ157" s="22" t="s">
        <v>1070</v>
      </c>
      <c r="AK157" s="22" t="s">
        <v>1071</v>
      </c>
      <c r="AL157" s="22">
        <v>17603712</v>
      </c>
      <c r="AM157" t="s">
        <v>1718</v>
      </c>
      <c r="AN157" t="s">
        <v>1718</v>
      </c>
      <c r="AO157" t="s">
        <v>1718</v>
      </c>
      <c r="AP157" t="s">
        <v>1718</v>
      </c>
      <c r="AQ157" t="s">
        <v>1718</v>
      </c>
      <c r="AR157" t="s">
        <v>1718</v>
      </c>
      <c r="AS157" t="s">
        <v>1718</v>
      </c>
      <c r="AT157" t="s">
        <v>1718</v>
      </c>
      <c r="AU157" t="s">
        <v>1718</v>
      </c>
      <c r="AV157" t="str">
        <f>VLOOKUP(D157,DATA_SISTEMA!$A$1:$Q$506,12,FALSE)</f>
        <v>TUCUME</v>
      </c>
      <c r="AW157" t="str">
        <f>VLOOKUP(D157,DATA_SISTEMA!$A$1:$Q$506,11,FALSE)</f>
        <v>LAMBAYEQUE</v>
      </c>
      <c r="AX157" t="str">
        <f>VLOOKUP(D157,DATA_SISTEMA!$A$1:$Q$506,10,FALSE)</f>
        <v>LAMBAYEQUE</v>
      </c>
      <c r="AY157" t="s">
        <v>1718</v>
      </c>
      <c r="AZ157" t="s">
        <v>5028</v>
      </c>
      <c r="BA157" t="s">
        <v>1718</v>
      </c>
      <c r="BB157" t="s">
        <v>5028</v>
      </c>
      <c r="BC157" t="s">
        <v>1718</v>
      </c>
      <c r="BD157" t="s">
        <v>5028</v>
      </c>
      <c r="BE157" t="s">
        <v>1718</v>
      </c>
      <c r="BF157" s="34" t="s">
        <v>2104</v>
      </c>
      <c r="BG157" s="22">
        <v>75.8</v>
      </c>
    </row>
    <row r="158" spans="1:59" x14ac:dyDescent="0.25">
      <c r="A158" s="4">
        <v>157</v>
      </c>
      <c r="B158" s="33" t="s">
        <v>1719</v>
      </c>
      <c r="C158" s="22" t="s">
        <v>1876</v>
      </c>
      <c r="D158" s="43" t="s">
        <v>4678</v>
      </c>
      <c r="E158" s="22" t="s">
        <v>67</v>
      </c>
      <c r="F158" s="36" t="s">
        <v>1718</v>
      </c>
      <c r="G158" s="22">
        <v>979666725</v>
      </c>
      <c r="H158" t="str">
        <f>VLOOKUP(D158,DATA_SISTEMA!$A$1:$Q$506,13,FALSE)</f>
        <v>BLOCK K DPTO 503 CONDOMINIO RESIDENCIAL LOS PINOS DE LA PLATA</v>
      </c>
      <c r="I158" t="str">
        <f>VLOOKUP(D158,DATA_SISTEMA!$A$1:$Q$506,7,FALSE)</f>
        <v>1975-07-07</v>
      </c>
      <c r="J158" s="32" t="s">
        <v>1718</v>
      </c>
      <c r="K158" s="32" t="s">
        <v>1718</v>
      </c>
      <c r="L158" s="32" t="s">
        <v>1718</v>
      </c>
      <c r="M158">
        <v>24</v>
      </c>
      <c r="N158">
        <v>0</v>
      </c>
      <c r="O158" s="32" t="str">
        <f t="shared" si="2"/>
        <v>1570020261X</v>
      </c>
      <c r="P158" s="32" t="s">
        <v>1718</v>
      </c>
      <c r="Q158" s="32" t="s">
        <v>1718</v>
      </c>
      <c r="R158" s="32" t="s">
        <v>2110</v>
      </c>
      <c r="S158" s="32" t="s">
        <v>5032</v>
      </c>
      <c r="T158" t="str">
        <f>VLOOKUP(D158,DATA_SISTEMA!$A$1:$Q$506,9,FALSE)</f>
        <v>M</v>
      </c>
      <c r="U158" s="32" t="s">
        <v>2106</v>
      </c>
      <c r="V158" s="32" t="s">
        <v>1718</v>
      </c>
      <c r="W158" s="37" t="s">
        <v>5028</v>
      </c>
      <c r="X158" s="32" t="s">
        <v>4522</v>
      </c>
      <c r="Y158" s="32" t="s">
        <v>1718</v>
      </c>
      <c r="Z158" s="32" t="s">
        <v>1718</v>
      </c>
      <c r="AA158" s="32" t="s">
        <v>5028</v>
      </c>
      <c r="AB158" s="32" t="s">
        <v>1718</v>
      </c>
      <c r="AC158" s="32" t="s">
        <v>1718</v>
      </c>
      <c r="AD158" s="32" t="s">
        <v>1718</v>
      </c>
      <c r="AE158" s="32" t="s">
        <v>1718</v>
      </c>
      <c r="AF158" s="32" t="s">
        <v>1718</v>
      </c>
      <c r="AG158" s="32" t="s">
        <v>1718</v>
      </c>
      <c r="AH158" s="32" t="s">
        <v>2107</v>
      </c>
      <c r="AI158" s="22" t="s">
        <v>1454</v>
      </c>
      <c r="AJ158" s="22" t="s">
        <v>956</v>
      </c>
      <c r="AK158" s="22" t="s">
        <v>1029</v>
      </c>
      <c r="AL158" s="22">
        <v>16736360</v>
      </c>
      <c r="AM158" t="s">
        <v>1718</v>
      </c>
      <c r="AN158" t="s">
        <v>1718</v>
      </c>
      <c r="AO158" t="s">
        <v>1718</v>
      </c>
      <c r="AP158" t="s">
        <v>1718</v>
      </c>
      <c r="AQ158" t="s">
        <v>1718</v>
      </c>
      <c r="AR158" t="s">
        <v>1718</v>
      </c>
      <c r="AS158" t="s">
        <v>1718</v>
      </c>
      <c r="AT158" t="s">
        <v>1718</v>
      </c>
      <c r="AU158" t="s">
        <v>1718</v>
      </c>
      <c r="AV158" t="str">
        <f>VLOOKUP(D158,DATA_SISTEMA!$A$1:$Q$506,12,FALSE)</f>
        <v>CHICLAYO</v>
      </c>
      <c r="AW158" t="str">
        <f>VLOOKUP(D158,DATA_SISTEMA!$A$1:$Q$506,11,FALSE)</f>
        <v>CHICLAYO</v>
      </c>
      <c r="AX158" t="str">
        <f>VLOOKUP(D158,DATA_SISTEMA!$A$1:$Q$506,10,FALSE)</f>
        <v>LAMBAYEQUE</v>
      </c>
      <c r="AY158" t="s">
        <v>1718</v>
      </c>
      <c r="AZ158" t="s">
        <v>5028</v>
      </c>
      <c r="BA158" t="s">
        <v>1718</v>
      </c>
      <c r="BB158" t="s">
        <v>5028</v>
      </c>
      <c r="BC158" t="s">
        <v>1718</v>
      </c>
      <c r="BD158" t="s">
        <v>5028</v>
      </c>
      <c r="BE158" t="s">
        <v>1718</v>
      </c>
      <c r="BF158" s="34" t="s">
        <v>2104</v>
      </c>
      <c r="BG158" s="22">
        <v>75.5</v>
      </c>
    </row>
    <row r="159" spans="1:59" x14ac:dyDescent="0.25">
      <c r="A159" s="4">
        <v>158</v>
      </c>
      <c r="B159" s="33" t="s">
        <v>1719</v>
      </c>
      <c r="C159" s="22" t="s">
        <v>1877</v>
      </c>
      <c r="D159" s="43" t="s">
        <v>4679</v>
      </c>
      <c r="E159" s="22" t="s">
        <v>69</v>
      </c>
      <c r="F159" s="36" t="s">
        <v>1718</v>
      </c>
      <c r="G159" s="22">
        <v>976913466</v>
      </c>
      <c r="H159" t="str">
        <f>VLOOKUP(D159,DATA_SISTEMA!$A$1:$Q$506,13,FALSE)</f>
        <v>CALLE MIGUEL PASCO 301</v>
      </c>
      <c r="I159" t="str">
        <f>VLOOKUP(D159,DATA_SISTEMA!$A$1:$Q$506,7,FALSE)</f>
        <v>1991-07-24</v>
      </c>
      <c r="J159" s="32" t="s">
        <v>1718</v>
      </c>
      <c r="K159" s="32" t="s">
        <v>1718</v>
      </c>
      <c r="L159" s="32" t="s">
        <v>1718</v>
      </c>
      <c r="M159">
        <v>24</v>
      </c>
      <c r="N159">
        <v>0</v>
      </c>
      <c r="O159" s="32" t="str">
        <f t="shared" si="2"/>
        <v>1580020261X</v>
      </c>
      <c r="P159" s="32" t="s">
        <v>1718</v>
      </c>
      <c r="Q159" s="32" t="s">
        <v>1718</v>
      </c>
      <c r="R159" s="32" t="s">
        <v>2110</v>
      </c>
      <c r="S159" s="32" t="s">
        <v>5032</v>
      </c>
      <c r="T159" t="str">
        <f>VLOOKUP(D159,DATA_SISTEMA!$A$1:$Q$506,9,FALSE)</f>
        <v>M</v>
      </c>
      <c r="U159" s="32" t="s">
        <v>2106</v>
      </c>
      <c r="V159" s="32" t="s">
        <v>1718</v>
      </c>
      <c r="W159" s="37" t="s">
        <v>5028</v>
      </c>
      <c r="X159" s="32" t="s">
        <v>4522</v>
      </c>
      <c r="Y159" s="32" t="s">
        <v>1718</v>
      </c>
      <c r="Z159" s="32" t="s">
        <v>1718</v>
      </c>
      <c r="AA159" s="32" t="s">
        <v>5028</v>
      </c>
      <c r="AB159" s="32" t="s">
        <v>1718</v>
      </c>
      <c r="AC159" s="32" t="s">
        <v>1718</v>
      </c>
      <c r="AD159" s="32" t="s">
        <v>1718</v>
      </c>
      <c r="AE159" s="32" t="s">
        <v>1718</v>
      </c>
      <c r="AF159" s="32" t="s">
        <v>1718</v>
      </c>
      <c r="AG159" s="32" t="s">
        <v>1718</v>
      </c>
      <c r="AH159" s="32" t="s">
        <v>2107</v>
      </c>
      <c r="AI159" s="22" t="s">
        <v>1455</v>
      </c>
      <c r="AJ159" s="22" t="s">
        <v>859</v>
      </c>
      <c r="AK159" s="22" t="s">
        <v>1039</v>
      </c>
      <c r="AL159" s="22">
        <v>47898287</v>
      </c>
      <c r="AM159" t="s">
        <v>1718</v>
      </c>
      <c r="AN159" t="s">
        <v>1718</v>
      </c>
      <c r="AO159" t="s">
        <v>1718</v>
      </c>
      <c r="AP159" t="s">
        <v>1718</v>
      </c>
      <c r="AQ159" t="s">
        <v>1718</v>
      </c>
      <c r="AR159" t="s">
        <v>1718</v>
      </c>
      <c r="AS159" t="s">
        <v>1718</v>
      </c>
      <c r="AT159" t="s">
        <v>1718</v>
      </c>
      <c r="AU159" t="s">
        <v>1718</v>
      </c>
      <c r="AV159" t="str">
        <f>VLOOKUP(D159,DATA_SISTEMA!$A$1:$Q$506,12,FALSE)</f>
        <v>PUEBLO NUEVO</v>
      </c>
      <c r="AW159" t="str">
        <f>VLOOKUP(D159,DATA_SISTEMA!$A$1:$Q$506,11,FALSE)</f>
        <v>FERREÑAFE</v>
      </c>
      <c r="AX159" t="str">
        <f>VLOOKUP(D159,DATA_SISTEMA!$A$1:$Q$506,10,FALSE)</f>
        <v>LAMBAYEQUE</v>
      </c>
      <c r="AY159" t="s">
        <v>1718</v>
      </c>
      <c r="AZ159" t="s">
        <v>5028</v>
      </c>
      <c r="BA159" t="s">
        <v>1718</v>
      </c>
      <c r="BB159" t="s">
        <v>5028</v>
      </c>
      <c r="BC159" t="s">
        <v>1718</v>
      </c>
      <c r="BD159" t="s">
        <v>5028</v>
      </c>
      <c r="BE159" t="s">
        <v>1718</v>
      </c>
      <c r="BF159" s="34" t="s">
        <v>2104</v>
      </c>
      <c r="BG159" s="22">
        <v>74.5</v>
      </c>
    </row>
    <row r="160" spans="1:59" x14ac:dyDescent="0.25">
      <c r="A160" s="4">
        <v>159</v>
      </c>
      <c r="B160" s="33" t="s">
        <v>1719</v>
      </c>
      <c r="C160" s="22" t="s">
        <v>1878</v>
      </c>
      <c r="D160" s="43" t="s">
        <v>4680</v>
      </c>
      <c r="E160" s="22" t="s">
        <v>71</v>
      </c>
      <c r="F160" s="36" t="s">
        <v>1718</v>
      </c>
      <c r="G160" s="22">
        <v>929054903</v>
      </c>
      <c r="H160" t="str">
        <f>VLOOKUP(D160,DATA_SISTEMA!$A$1:$Q$506,13,FALSE)</f>
        <v>CASERÍO CÁTALA</v>
      </c>
      <c r="I160" t="str">
        <f>VLOOKUP(D160,DATA_SISTEMA!$A$1:$Q$506,7,FALSE)</f>
        <v>1997-08-23</v>
      </c>
      <c r="J160" s="32" t="s">
        <v>1718</v>
      </c>
      <c r="K160" s="32" t="s">
        <v>1718</v>
      </c>
      <c r="L160" s="32" t="s">
        <v>1718</v>
      </c>
      <c r="M160">
        <v>24</v>
      </c>
      <c r="N160">
        <v>0</v>
      </c>
      <c r="O160" s="32" t="str">
        <f t="shared" si="2"/>
        <v>1590020261X</v>
      </c>
      <c r="P160" s="32" t="s">
        <v>1718</v>
      </c>
      <c r="Q160" s="32" t="s">
        <v>1718</v>
      </c>
      <c r="R160" s="32" t="s">
        <v>2110</v>
      </c>
      <c r="S160" s="32" t="s">
        <v>5032</v>
      </c>
      <c r="T160" t="str">
        <f>VLOOKUP(D160,DATA_SISTEMA!$A$1:$Q$506,9,FALSE)</f>
        <v>M</v>
      </c>
      <c r="U160" s="32" t="s">
        <v>2106</v>
      </c>
      <c r="V160" s="32" t="s">
        <v>1718</v>
      </c>
      <c r="W160" s="37" t="s">
        <v>5028</v>
      </c>
      <c r="X160" s="32" t="s">
        <v>4522</v>
      </c>
      <c r="Y160" s="32" t="s">
        <v>1718</v>
      </c>
      <c r="Z160" s="32" t="s">
        <v>1718</v>
      </c>
      <c r="AA160" s="32" t="s">
        <v>5028</v>
      </c>
      <c r="AB160" s="32" t="s">
        <v>1718</v>
      </c>
      <c r="AC160" s="32" t="s">
        <v>1718</v>
      </c>
      <c r="AD160" s="32" t="s">
        <v>1718</v>
      </c>
      <c r="AE160" s="32" t="s">
        <v>1718</v>
      </c>
      <c r="AF160" s="32" t="s">
        <v>1718</v>
      </c>
      <c r="AG160" s="32" t="s">
        <v>1718</v>
      </c>
      <c r="AH160" s="32" t="s">
        <v>2107</v>
      </c>
      <c r="AI160" s="22" t="s">
        <v>1456</v>
      </c>
      <c r="AJ160" s="22" t="s">
        <v>1073</v>
      </c>
      <c r="AK160" s="22" t="s">
        <v>1074</v>
      </c>
      <c r="AL160" s="22">
        <v>71570678</v>
      </c>
      <c r="AM160" t="s">
        <v>1718</v>
      </c>
      <c r="AN160" t="s">
        <v>1718</v>
      </c>
      <c r="AO160" t="s">
        <v>1718</v>
      </c>
      <c r="AP160" t="s">
        <v>1718</v>
      </c>
      <c r="AQ160" t="s">
        <v>1718</v>
      </c>
      <c r="AR160" t="s">
        <v>1718</v>
      </c>
      <c r="AS160" t="s">
        <v>1718</v>
      </c>
      <c r="AT160" t="s">
        <v>1718</v>
      </c>
      <c r="AU160" t="s">
        <v>1718</v>
      </c>
      <c r="AV160" t="str">
        <f>VLOOKUP(D160,DATA_SISTEMA!$A$1:$Q$506,12,FALSE)</f>
        <v>SALLIQUE</v>
      </c>
      <c r="AW160" t="str">
        <f>VLOOKUP(D160,DATA_SISTEMA!$A$1:$Q$506,11,FALSE)</f>
        <v>JAEN</v>
      </c>
      <c r="AX160" t="str">
        <f>VLOOKUP(D160,DATA_SISTEMA!$A$1:$Q$506,10,FALSE)</f>
        <v>CAJAMARCA</v>
      </c>
      <c r="AY160" t="s">
        <v>1718</v>
      </c>
      <c r="AZ160" t="s">
        <v>5028</v>
      </c>
      <c r="BA160" t="s">
        <v>1718</v>
      </c>
      <c r="BB160" t="s">
        <v>5028</v>
      </c>
      <c r="BC160" t="s">
        <v>1718</v>
      </c>
      <c r="BD160" t="s">
        <v>5028</v>
      </c>
      <c r="BE160" t="s">
        <v>1718</v>
      </c>
      <c r="BF160" s="34" t="s">
        <v>2104</v>
      </c>
      <c r="BG160" s="22">
        <v>73.2</v>
      </c>
    </row>
    <row r="161" spans="1:59" x14ac:dyDescent="0.25">
      <c r="A161" s="4">
        <v>160</v>
      </c>
      <c r="B161" s="33" t="s">
        <v>1719</v>
      </c>
      <c r="C161" s="22" t="s">
        <v>1879</v>
      </c>
      <c r="D161" s="43" t="s">
        <v>4681</v>
      </c>
      <c r="E161" s="22" t="s">
        <v>73</v>
      </c>
      <c r="F161" s="36" t="s">
        <v>1718</v>
      </c>
      <c r="G161" s="22">
        <v>979983732</v>
      </c>
      <c r="H161" t="str">
        <f>VLOOKUP(D161,DATA_SISTEMA!$A$1:$Q$506,13,FALSE)</f>
        <v>CALLE JUDÁ MZ. G, LT. 36 - URB. MIRAFLORES II ETAPA</v>
      </c>
      <c r="I161" t="str">
        <f>VLOOKUP(D161,DATA_SISTEMA!$A$1:$Q$506,7,FALSE)</f>
        <v>1988-07-28</v>
      </c>
      <c r="J161" s="32" t="s">
        <v>1718</v>
      </c>
      <c r="K161" s="32" t="s">
        <v>1718</v>
      </c>
      <c r="L161" s="32" t="s">
        <v>1718</v>
      </c>
      <c r="M161">
        <v>24</v>
      </c>
      <c r="N161">
        <v>0</v>
      </c>
      <c r="O161" s="32" t="str">
        <f t="shared" si="2"/>
        <v>1600020261X</v>
      </c>
      <c r="P161" s="32" t="s">
        <v>1718</v>
      </c>
      <c r="Q161" s="32" t="s">
        <v>1718</v>
      </c>
      <c r="R161" s="32" t="s">
        <v>2110</v>
      </c>
      <c r="S161" s="32" t="s">
        <v>5032</v>
      </c>
      <c r="T161" t="str">
        <f>VLOOKUP(D161,DATA_SISTEMA!$A$1:$Q$506,9,FALSE)</f>
        <v>F</v>
      </c>
      <c r="U161" s="32" t="s">
        <v>2106</v>
      </c>
      <c r="V161" s="32" t="s">
        <v>1718</v>
      </c>
      <c r="W161" s="37" t="s">
        <v>5028</v>
      </c>
      <c r="X161" s="32" t="s">
        <v>4522</v>
      </c>
      <c r="Y161" s="32" t="s">
        <v>1718</v>
      </c>
      <c r="Z161" s="32" t="s">
        <v>1718</v>
      </c>
      <c r="AA161" s="32" t="s">
        <v>5028</v>
      </c>
      <c r="AB161" s="32" t="s">
        <v>1718</v>
      </c>
      <c r="AC161" s="32" t="s">
        <v>1718</v>
      </c>
      <c r="AD161" s="32" t="s">
        <v>1718</v>
      </c>
      <c r="AE161" s="32" t="s">
        <v>1718</v>
      </c>
      <c r="AF161" s="32" t="s">
        <v>1718</v>
      </c>
      <c r="AG161" s="32" t="s">
        <v>1718</v>
      </c>
      <c r="AH161" s="32" t="s">
        <v>2107</v>
      </c>
      <c r="AI161" s="22" t="s">
        <v>1457</v>
      </c>
      <c r="AJ161" s="22" t="s">
        <v>859</v>
      </c>
      <c r="AK161" s="22" t="s">
        <v>1075</v>
      </c>
      <c r="AL161" s="22">
        <v>45426428</v>
      </c>
      <c r="AM161" t="s">
        <v>1718</v>
      </c>
      <c r="AN161" t="s">
        <v>1718</v>
      </c>
      <c r="AO161" t="s">
        <v>1718</v>
      </c>
      <c r="AP161" t="s">
        <v>1718</v>
      </c>
      <c r="AQ161" t="s">
        <v>1718</v>
      </c>
      <c r="AR161" t="s">
        <v>1718</v>
      </c>
      <c r="AS161" t="s">
        <v>1718</v>
      </c>
      <c r="AT161" t="s">
        <v>1718</v>
      </c>
      <c r="AU161" t="s">
        <v>1718</v>
      </c>
      <c r="AV161" t="str">
        <f>VLOOKUP(D161,DATA_SISTEMA!$A$1:$Q$506,12,FALSE)</f>
        <v>CHICLAYO</v>
      </c>
      <c r="AW161" t="str">
        <f>VLOOKUP(D161,DATA_SISTEMA!$A$1:$Q$506,11,FALSE)</f>
        <v>CHICLAYO</v>
      </c>
      <c r="AX161" t="str">
        <f>VLOOKUP(D161,DATA_SISTEMA!$A$1:$Q$506,10,FALSE)</f>
        <v>LAMBAYEQUE</v>
      </c>
      <c r="AY161" t="s">
        <v>1718</v>
      </c>
      <c r="AZ161" t="s">
        <v>5028</v>
      </c>
      <c r="BA161" t="s">
        <v>1718</v>
      </c>
      <c r="BB161" t="s">
        <v>5028</v>
      </c>
      <c r="BC161" t="s">
        <v>1718</v>
      </c>
      <c r="BD161" t="s">
        <v>5028</v>
      </c>
      <c r="BE161" t="s">
        <v>1718</v>
      </c>
      <c r="BF161" s="34" t="s">
        <v>2104</v>
      </c>
      <c r="BG161" s="22">
        <v>72.5</v>
      </c>
    </row>
    <row r="162" spans="1:59" x14ac:dyDescent="0.25">
      <c r="A162" s="4">
        <v>161</v>
      </c>
      <c r="B162" s="33" t="s">
        <v>1719</v>
      </c>
      <c r="C162" s="22" t="s">
        <v>1880</v>
      </c>
      <c r="D162" s="43" t="s">
        <v>4682</v>
      </c>
      <c r="E162" s="22" t="s">
        <v>75</v>
      </c>
      <c r="F162" s="36" t="s">
        <v>1718</v>
      </c>
      <c r="G162" s="22">
        <v>966580197</v>
      </c>
      <c r="H162" t="str">
        <f>VLOOKUP(D162,DATA_SISTEMA!$A$1:$Q$506,13,FALSE)</f>
        <v>AVENIDA GONZALES CACEDA Nª 526 - CHEPÈN</v>
      </c>
      <c r="I162" t="str">
        <f>VLOOKUP(D162,DATA_SISTEMA!$A$1:$Q$506,7,FALSE)</f>
        <v>1993-09-21</v>
      </c>
      <c r="J162" s="32" t="s">
        <v>1718</v>
      </c>
      <c r="K162" s="32" t="s">
        <v>1718</v>
      </c>
      <c r="L162" s="32" t="s">
        <v>1718</v>
      </c>
      <c r="M162">
        <v>24</v>
      </c>
      <c r="N162">
        <v>0</v>
      </c>
      <c r="O162" s="32" t="str">
        <f t="shared" si="2"/>
        <v>1610020261X</v>
      </c>
      <c r="P162" s="32" t="s">
        <v>1718</v>
      </c>
      <c r="Q162" s="32" t="s">
        <v>1718</v>
      </c>
      <c r="R162" s="32" t="s">
        <v>2110</v>
      </c>
      <c r="S162" s="32" t="s">
        <v>5032</v>
      </c>
      <c r="T162" t="str">
        <f>VLOOKUP(D162,DATA_SISTEMA!$A$1:$Q$506,9,FALSE)</f>
        <v>F</v>
      </c>
      <c r="U162" s="32" t="s">
        <v>2106</v>
      </c>
      <c r="V162" s="32" t="s">
        <v>1718</v>
      </c>
      <c r="W162" s="37" t="s">
        <v>5028</v>
      </c>
      <c r="X162" s="32" t="s">
        <v>4522</v>
      </c>
      <c r="Y162" s="32" t="s">
        <v>1718</v>
      </c>
      <c r="Z162" s="32" t="s">
        <v>1718</v>
      </c>
      <c r="AA162" s="32" t="s">
        <v>5028</v>
      </c>
      <c r="AB162" s="32" t="s">
        <v>1718</v>
      </c>
      <c r="AC162" s="32" t="s">
        <v>1718</v>
      </c>
      <c r="AD162" s="32" t="s">
        <v>1718</v>
      </c>
      <c r="AE162" s="32" t="s">
        <v>1718</v>
      </c>
      <c r="AF162" s="32" t="s">
        <v>1718</v>
      </c>
      <c r="AG162" s="32" t="s">
        <v>1718</v>
      </c>
      <c r="AH162" s="32" t="s">
        <v>2107</v>
      </c>
      <c r="AI162" s="22" t="s">
        <v>1458</v>
      </c>
      <c r="AJ162" s="22" t="s">
        <v>944</v>
      </c>
      <c r="AK162" s="22" t="s">
        <v>956</v>
      </c>
      <c r="AL162" s="22">
        <v>47933687</v>
      </c>
      <c r="AM162" t="s">
        <v>1718</v>
      </c>
      <c r="AN162" t="s">
        <v>1718</v>
      </c>
      <c r="AO162" t="s">
        <v>1718</v>
      </c>
      <c r="AP162" t="s">
        <v>1718</v>
      </c>
      <c r="AQ162" t="s">
        <v>1718</v>
      </c>
      <c r="AR162" t="s">
        <v>1718</v>
      </c>
      <c r="AS162" t="s">
        <v>1718</v>
      </c>
      <c r="AT162" t="s">
        <v>1718</v>
      </c>
      <c r="AU162" t="s">
        <v>1718</v>
      </c>
      <c r="AV162" t="str">
        <f>VLOOKUP(D162,DATA_SISTEMA!$A$1:$Q$506,12,FALSE)</f>
        <v>CHEPEN</v>
      </c>
      <c r="AW162" t="str">
        <f>VLOOKUP(D162,DATA_SISTEMA!$A$1:$Q$506,11,FALSE)</f>
        <v>CHEPEN</v>
      </c>
      <c r="AX162" t="str">
        <f>VLOOKUP(D162,DATA_SISTEMA!$A$1:$Q$506,10,FALSE)</f>
        <v>LA LIBERTAD</v>
      </c>
      <c r="AY162" t="s">
        <v>1718</v>
      </c>
      <c r="AZ162" t="s">
        <v>5028</v>
      </c>
      <c r="BA162" t="s">
        <v>1718</v>
      </c>
      <c r="BB162" t="s">
        <v>5028</v>
      </c>
      <c r="BC162" t="s">
        <v>1718</v>
      </c>
      <c r="BD162" t="s">
        <v>5028</v>
      </c>
      <c r="BE162" t="s">
        <v>1718</v>
      </c>
      <c r="BF162" s="34" t="s">
        <v>2104</v>
      </c>
      <c r="BG162" s="22">
        <v>72.5</v>
      </c>
    </row>
    <row r="163" spans="1:59" x14ac:dyDescent="0.25">
      <c r="A163" s="4">
        <v>162</v>
      </c>
      <c r="B163" s="33" t="s">
        <v>1719</v>
      </c>
      <c r="C163" s="22" t="s">
        <v>1881</v>
      </c>
      <c r="D163" s="43" t="s">
        <v>4683</v>
      </c>
      <c r="E163" s="22" t="s">
        <v>77</v>
      </c>
      <c r="F163" s="36" t="s">
        <v>1718</v>
      </c>
      <c r="G163" s="22">
        <v>966743788</v>
      </c>
      <c r="H163" t="str">
        <f>VLOOKUP(D163,DATA_SISTEMA!$A$1:$Q$506,13,FALSE)</f>
        <v>LOS ROSALES 421, PIMENTEL</v>
      </c>
      <c r="I163" t="str">
        <f>VLOOKUP(D163,DATA_SISTEMA!$A$1:$Q$506,7,FALSE)</f>
        <v>1992-08-02</v>
      </c>
      <c r="J163" s="32" t="s">
        <v>1718</v>
      </c>
      <c r="K163" s="32" t="s">
        <v>1718</v>
      </c>
      <c r="L163" s="32" t="s">
        <v>1718</v>
      </c>
      <c r="M163">
        <v>24</v>
      </c>
      <c r="N163">
        <v>0</v>
      </c>
      <c r="O163" s="32" t="str">
        <f t="shared" si="2"/>
        <v>1620020261X</v>
      </c>
      <c r="P163" s="32" t="s">
        <v>1718</v>
      </c>
      <c r="Q163" s="32" t="s">
        <v>1718</v>
      </c>
      <c r="R163" s="32" t="s">
        <v>2110</v>
      </c>
      <c r="S163" s="32" t="s">
        <v>5032</v>
      </c>
      <c r="T163" t="str">
        <f>VLOOKUP(D163,DATA_SISTEMA!$A$1:$Q$506,9,FALSE)</f>
        <v>F</v>
      </c>
      <c r="U163" s="32" t="s">
        <v>2106</v>
      </c>
      <c r="V163" s="32" t="s">
        <v>1718</v>
      </c>
      <c r="W163" s="37" t="s">
        <v>5028</v>
      </c>
      <c r="X163" s="32" t="s">
        <v>4522</v>
      </c>
      <c r="Y163" s="32" t="s">
        <v>1718</v>
      </c>
      <c r="Z163" s="32" t="s">
        <v>1718</v>
      </c>
      <c r="AA163" s="32" t="s">
        <v>5028</v>
      </c>
      <c r="AB163" s="32" t="s">
        <v>1718</v>
      </c>
      <c r="AC163" s="32" t="s">
        <v>1718</v>
      </c>
      <c r="AD163" s="32" t="s">
        <v>1718</v>
      </c>
      <c r="AE163" s="32" t="s">
        <v>1718</v>
      </c>
      <c r="AF163" s="32" t="s">
        <v>1718</v>
      </c>
      <c r="AG163" s="32" t="s">
        <v>1718</v>
      </c>
      <c r="AH163" s="32" t="s">
        <v>2107</v>
      </c>
      <c r="AI163" s="22" t="s">
        <v>1459</v>
      </c>
      <c r="AJ163" s="22" t="s">
        <v>1040</v>
      </c>
      <c r="AK163" s="22" t="s">
        <v>1076</v>
      </c>
      <c r="AL163" s="22">
        <v>70484804</v>
      </c>
      <c r="AM163" t="s">
        <v>1718</v>
      </c>
      <c r="AN163" t="s">
        <v>1718</v>
      </c>
      <c r="AO163" t="s">
        <v>1718</v>
      </c>
      <c r="AP163" t="s">
        <v>1718</v>
      </c>
      <c r="AQ163" t="s">
        <v>1718</v>
      </c>
      <c r="AR163" t="s">
        <v>1718</v>
      </c>
      <c r="AS163" t="s">
        <v>1718</v>
      </c>
      <c r="AT163" t="s">
        <v>1718</v>
      </c>
      <c r="AU163" t="s">
        <v>1718</v>
      </c>
      <c r="AV163" t="str">
        <f>VLOOKUP(D163,DATA_SISTEMA!$A$1:$Q$506,12,FALSE)</f>
        <v>PIMENTEL</v>
      </c>
      <c r="AW163" t="str">
        <f>VLOOKUP(D163,DATA_SISTEMA!$A$1:$Q$506,11,FALSE)</f>
        <v>CHICLAYO</v>
      </c>
      <c r="AX163" t="str">
        <f>VLOOKUP(D163,DATA_SISTEMA!$A$1:$Q$506,10,FALSE)</f>
        <v>LAMBAYEQUE</v>
      </c>
      <c r="AY163" t="s">
        <v>1718</v>
      </c>
      <c r="AZ163" t="s">
        <v>5028</v>
      </c>
      <c r="BA163" t="s">
        <v>1718</v>
      </c>
      <c r="BB163" t="s">
        <v>5028</v>
      </c>
      <c r="BC163" t="s">
        <v>1718</v>
      </c>
      <c r="BD163" t="s">
        <v>5028</v>
      </c>
      <c r="BE163" t="s">
        <v>1718</v>
      </c>
      <c r="BF163" s="34" t="s">
        <v>2104</v>
      </c>
      <c r="BG163" s="22">
        <v>71</v>
      </c>
    </row>
    <row r="164" spans="1:59" x14ac:dyDescent="0.25">
      <c r="A164" s="4">
        <v>163</v>
      </c>
      <c r="B164" s="33" t="s">
        <v>1719</v>
      </c>
      <c r="C164" s="22" t="s">
        <v>1882</v>
      </c>
      <c r="D164" s="43" t="s">
        <v>4684</v>
      </c>
      <c r="E164" s="22" t="s">
        <v>79</v>
      </c>
      <c r="F164" s="36" t="s">
        <v>1718</v>
      </c>
      <c r="G164" s="22">
        <v>979963142</v>
      </c>
      <c r="H164" t="str">
        <f>VLOOKUP(D164,DATA_SISTEMA!$A$1:$Q$506,13,FALSE)</f>
        <v>URB VILLA DEL NORTE</v>
      </c>
      <c r="I164" t="str">
        <f>VLOOKUP(D164,DATA_SISTEMA!$A$1:$Q$506,7,FALSE)</f>
        <v>1981-09-27</v>
      </c>
      <c r="J164" s="32" t="s">
        <v>1718</v>
      </c>
      <c r="K164" s="32" t="s">
        <v>1718</v>
      </c>
      <c r="L164" s="32" t="s">
        <v>1718</v>
      </c>
      <c r="M164">
        <v>24</v>
      </c>
      <c r="N164">
        <v>0</v>
      </c>
      <c r="O164" s="32" t="str">
        <f t="shared" si="2"/>
        <v>1630020261X</v>
      </c>
      <c r="P164" s="32" t="s">
        <v>1718</v>
      </c>
      <c r="Q164" s="32" t="s">
        <v>1718</v>
      </c>
      <c r="R164" s="32" t="s">
        <v>2110</v>
      </c>
      <c r="S164" s="32" t="s">
        <v>5032</v>
      </c>
      <c r="T164" t="str">
        <f>VLOOKUP(D164,DATA_SISTEMA!$A$1:$Q$506,9,FALSE)</f>
        <v>F</v>
      </c>
      <c r="U164" s="32" t="s">
        <v>2106</v>
      </c>
      <c r="V164" s="32" t="s">
        <v>1718</v>
      </c>
      <c r="W164" s="37" t="s">
        <v>5028</v>
      </c>
      <c r="X164" s="32" t="s">
        <v>4522</v>
      </c>
      <c r="Y164" s="32" t="s">
        <v>1718</v>
      </c>
      <c r="Z164" s="32" t="s">
        <v>1718</v>
      </c>
      <c r="AA164" s="32" t="s">
        <v>5028</v>
      </c>
      <c r="AB164" s="32" t="s">
        <v>1718</v>
      </c>
      <c r="AC164" s="32" t="s">
        <v>1718</v>
      </c>
      <c r="AD164" s="32" t="s">
        <v>1718</v>
      </c>
      <c r="AE164" s="32" t="s">
        <v>1718</v>
      </c>
      <c r="AF164" s="32" t="s">
        <v>1718</v>
      </c>
      <c r="AG164" s="32" t="s">
        <v>1718</v>
      </c>
      <c r="AH164" s="32" t="s">
        <v>2107</v>
      </c>
      <c r="AI164" s="22" t="s">
        <v>1460</v>
      </c>
      <c r="AJ164" s="22" t="s">
        <v>1077</v>
      </c>
      <c r="AK164" s="22" t="s">
        <v>1078</v>
      </c>
      <c r="AL164" s="22">
        <v>41151914</v>
      </c>
      <c r="AM164" t="s">
        <v>1718</v>
      </c>
      <c r="AN164" t="s">
        <v>1718</v>
      </c>
      <c r="AO164" t="s">
        <v>1718</v>
      </c>
      <c r="AP164" t="s">
        <v>1718</v>
      </c>
      <c r="AQ164" t="s">
        <v>1718</v>
      </c>
      <c r="AR164" t="s">
        <v>1718</v>
      </c>
      <c r="AS164" t="s">
        <v>1718</v>
      </c>
      <c r="AT164" t="s">
        <v>1718</v>
      </c>
      <c r="AU164" t="s">
        <v>1718</v>
      </c>
      <c r="AV164" t="str">
        <f>VLOOKUP(D164,DATA_SISTEMA!$A$1:$Q$506,12,FALSE)</f>
        <v>CHICLAYO</v>
      </c>
      <c r="AW164" t="str">
        <f>VLOOKUP(D164,DATA_SISTEMA!$A$1:$Q$506,11,FALSE)</f>
        <v>CHICLAYO</v>
      </c>
      <c r="AX164" t="str">
        <f>VLOOKUP(D164,DATA_SISTEMA!$A$1:$Q$506,10,FALSE)</f>
        <v>LAMBAYEQUE</v>
      </c>
      <c r="AY164" t="s">
        <v>1718</v>
      </c>
      <c r="AZ164" t="s">
        <v>5028</v>
      </c>
      <c r="BA164" t="s">
        <v>1718</v>
      </c>
      <c r="BB164" t="s">
        <v>5028</v>
      </c>
      <c r="BC164" t="s">
        <v>1718</v>
      </c>
      <c r="BD164" t="s">
        <v>5028</v>
      </c>
      <c r="BE164" t="s">
        <v>1718</v>
      </c>
      <c r="BF164" s="34" t="s">
        <v>2104</v>
      </c>
      <c r="BG164" s="22">
        <v>70.5</v>
      </c>
    </row>
    <row r="165" spans="1:59" x14ac:dyDescent="0.25">
      <c r="A165" s="4">
        <v>164</v>
      </c>
      <c r="B165" s="33" t="s">
        <v>1719</v>
      </c>
      <c r="C165" s="22" t="s">
        <v>1883</v>
      </c>
      <c r="D165" s="43" t="s">
        <v>4685</v>
      </c>
      <c r="E165" s="22" t="s">
        <v>81</v>
      </c>
      <c r="F165" s="36" t="s">
        <v>1718</v>
      </c>
      <c r="G165" s="22">
        <v>938278187</v>
      </c>
      <c r="H165" t="str">
        <f>VLOOKUP(D165,DATA_SISTEMA!$A$1:$Q$506,13,FALSE)</f>
        <v>MZ J LT.5 URB. LOS CEDROS - LA PRADERA</v>
      </c>
      <c r="I165" t="str">
        <f>VLOOKUP(D165,DATA_SISTEMA!$A$1:$Q$506,7,FALSE)</f>
        <v>1979-01-30</v>
      </c>
      <c r="J165" s="32" t="s">
        <v>1718</v>
      </c>
      <c r="K165" s="32" t="s">
        <v>1718</v>
      </c>
      <c r="L165" s="32" t="s">
        <v>1718</v>
      </c>
      <c r="M165">
        <v>24</v>
      </c>
      <c r="N165">
        <v>0</v>
      </c>
      <c r="O165" s="32" t="str">
        <f t="shared" si="2"/>
        <v>1640020261X</v>
      </c>
      <c r="P165" s="32" t="s">
        <v>1718</v>
      </c>
      <c r="Q165" s="32" t="s">
        <v>1718</v>
      </c>
      <c r="R165" s="32" t="s">
        <v>2110</v>
      </c>
      <c r="S165" s="32" t="s">
        <v>5032</v>
      </c>
      <c r="T165" t="str">
        <f>VLOOKUP(D165,DATA_SISTEMA!$A$1:$Q$506,9,FALSE)</f>
        <v>F</v>
      </c>
      <c r="U165" s="32" t="s">
        <v>2106</v>
      </c>
      <c r="V165" s="32" t="s">
        <v>1718</v>
      </c>
      <c r="W165" s="37" t="s">
        <v>5028</v>
      </c>
      <c r="X165" s="32" t="s">
        <v>4522</v>
      </c>
      <c r="Y165" s="32" t="s">
        <v>1718</v>
      </c>
      <c r="Z165" s="32" t="s">
        <v>1718</v>
      </c>
      <c r="AA165" s="32" t="s">
        <v>5028</v>
      </c>
      <c r="AB165" s="32" t="s">
        <v>1718</v>
      </c>
      <c r="AC165" s="32" t="s">
        <v>1718</v>
      </c>
      <c r="AD165" s="32" t="s">
        <v>1718</v>
      </c>
      <c r="AE165" s="32" t="s">
        <v>1718</v>
      </c>
      <c r="AF165" s="32" t="s">
        <v>1718</v>
      </c>
      <c r="AG165" s="32" t="s">
        <v>1718</v>
      </c>
      <c r="AH165" s="32" t="s">
        <v>2107</v>
      </c>
      <c r="AI165" s="22" t="s">
        <v>1461</v>
      </c>
      <c r="AJ165" s="22" t="s">
        <v>1079</v>
      </c>
      <c r="AK165" s="22" t="s">
        <v>1080</v>
      </c>
      <c r="AL165" s="22">
        <v>40201777</v>
      </c>
      <c r="AM165" t="s">
        <v>1718</v>
      </c>
      <c r="AN165" t="s">
        <v>1718</v>
      </c>
      <c r="AO165" t="s">
        <v>1718</v>
      </c>
      <c r="AP165" t="s">
        <v>1718</v>
      </c>
      <c r="AQ165" t="s">
        <v>1718</v>
      </c>
      <c r="AR165" t="s">
        <v>1718</v>
      </c>
      <c r="AS165" t="s">
        <v>1718</v>
      </c>
      <c r="AT165" t="s">
        <v>1718</v>
      </c>
      <c r="AU165" t="s">
        <v>1718</v>
      </c>
      <c r="AV165" t="str">
        <f>VLOOKUP(D165,DATA_SISTEMA!$A$1:$Q$506,12,FALSE)</f>
        <v>PIMENTEL</v>
      </c>
      <c r="AW165" t="str">
        <f>VLOOKUP(D165,DATA_SISTEMA!$A$1:$Q$506,11,FALSE)</f>
        <v>CHICLAYO</v>
      </c>
      <c r="AX165" t="str">
        <f>VLOOKUP(D165,DATA_SISTEMA!$A$1:$Q$506,10,FALSE)</f>
        <v>LAMBAYEQUE</v>
      </c>
      <c r="AY165" t="s">
        <v>1718</v>
      </c>
      <c r="AZ165" t="s">
        <v>5028</v>
      </c>
      <c r="BA165" t="s">
        <v>1718</v>
      </c>
      <c r="BB165" t="s">
        <v>5028</v>
      </c>
      <c r="BC165" t="s">
        <v>1718</v>
      </c>
      <c r="BD165" t="s">
        <v>5028</v>
      </c>
      <c r="BE165" t="s">
        <v>1718</v>
      </c>
      <c r="BF165" s="34" t="s">
        <v>2104</v>
      </c>
      <c r="BG165" s="22">
        <v>67.8</v>
      </c>
    </row>
    <row r="166" spans="1:59" x14ac:dyDescent="0.25">
      <c r="A166" s="4">
        <v>165</v>
      </c>
      <c r="B166" s="33" t="s">
        <v>1719</v>
      </c>
      <c r="C166" s="22" t="s">
        <v>1884</v>
      </c>
      <c r="D166" s="43" t="s">
        <v>4686</v>
      </c>
      <c r="E166" s="22" t="s">
        <v>83</v>
      </c>
      <c r="F166" s="36" t="s">
        <v>1718</v>
      </c>
      <c r="G166" s="22">
        <v>910533707</v>
      </c>
      <c r="H166" t="str">
        <f>VLOOKUP(D166,DATA_SISTEMA!$A$1:$Q$506,13,FALSE)</f>
        <v>MIGUEL PASCO 301</v>
      </c>
      <c r="I166" t="str">
        <f>VLOOKUP(D166,DATA_SISTEMA!$A$1:$Q$506,7,FALSE)</f>
        <v>1990-11-26</v>
      </c>
      <c r="J166" s="32" t="s">
        <v>1718</v>
      </c>
      <c r="K166" s="32" t="s">
        <v>1718</v>
      </c>
      <c r="L166" s="32" t="s">
        <v>1718</v>
      </c>
      <c r="M166">
        <v>24</v>
      </c>
      <c r="N166">
        <v>0</v>
      </c>
      <c r="O166" s="32" t="str">
        <f t="shared" si="2"/>
        <v>1650020261X</v>
      </c>
      <c r="P166" s="32" t="s">
        <v>1718</v>
      </c>
      <c r="Q166" s="32" t="s">
        <v>1718</v>
      </c>
      <c r="R166" s="32" t="s">
        <v>2110</v>
      </c>
      <c r="S166" s="32" t="s">
        <v>5032</v>
      </c>
      <c r="T166" t="str">
        <f>VLOOKUP(D166,DATA_SISTEMA!$A$1:$Q$506,9,FALSE)</f>
        <v>F</v>
      </c>
      <c r="U166" s="32" t="s">
        <v>2106</v>
      </c>
      <c r="V166" s="32" t="s">
        <v>1718</v>
      </c>
      <c r="W166" s="37" t="s">
        <v>5028</v>
      </c>
      <c r="X166" s="32" t="s">
        <v>4522</v>
      </c>
      <c r="Y166" s="32" t="s">
        <v>1718</v>
      </c>
      <c r="Z166" s="32" t="s">
        <v>1718</v>
      </c>
      <c r="AA166" s="32" t="s">
        <v>5028</v>
      </c>
      <c r="AB166" s="32" t="s">
        <v>1718</v>
      </c>
      <c r="AC166" s="32" t="s">
        <v>1718</v>
      </c>
      <c r="AD166" s="32" t="s">
        <v>1718</v>
      </c>
      <c r="AE166" s="32" t="s">
        <v>1718</v>
      </c>
      <c r="AF166" s="32" t="s">
        <v>1718</v>
      </c>
      <c r="AG166" s="32" t="s">
        <v>1718</v>
      </c>
      <c r="AH166" s="32" t="s">
        <v>2107</v>
      </c>
      <c r="AI166" s="22" t="s">
        <v>1462</v>
      </c>
      <c r="AJ166" s="22" t="s">
        <v>933</v>
      </c>
      <c r="AK166" s="22" t="s">
        <v>1016</v>
      </c>
      <c r="AL166" s="22">
        <v>72023928</v>
      </c>
      <c r="AM166" t="s">
        <v>1718</v>
      </c>
      <c r="AN166" t="s">
        <v>1718</v>
      </c>
      <c r="AO166" t="s">
        <v>1718</v>
      </c>
      <c r="AP166" t="s">
        <v>1718</v>
      </c>
      <c r="AQ166" t="s">
        <v>1718</v>
      </c>
      <c r="AR166" t="s">
        <v>1718</v>
      </c>
      <c r="AS166" t="s">
        <v>1718</v>
      </c>
      <c r="AT166" t="s">
        <v>1718</v>
      </c>
      <c r="AU166" t="s">
        <v>1718</v>
      </c>
      <c r="AV166" t="str">
        <f>VLOOKUP(D166,DATA_SISTEMA!$A$1:$Q$506,12,FALSE)</f>
        <v>PUEBLO NUEVO</v>
      </c>
      <c r="AW166" t="str">
        <f>VLOOKUP(D166,DATA_SISTEMA!$A$1:$Q$506,11,FALSE)</f>
        <v>FERREÑAFE</v>
      </c>
      <c r="AX166" t="str">
        <f>VLOOKUP(D166,DATA_SISTEMA!$A$1:$Q$506,10,FALSE)</f>
        <v>LAMBAYEQUE</v>
      </c>
      <c r="AY166" t="s">
        <v>1718</v>
      </c>
      <c r="AZ166" t="s">
        <v>5028</v>
      </c>
      <c r="BA166" t="s">
        <v>1718</v>
      </c>
      <c r="BB166" t="s">
        <v>5028</v>
      </c>
      <c r="BC166" t="s">
        <v>1718</v>
      </c>
      <c r="BD166" t="s">
        <v>5028</v>
      </c>
      <c r="BE166" t="s">
        <v>1718</v>
      </c>
      <c r="BF166" s="34" t="s">
        <v>2104</v>
      </c>
      <c r="BG166" s="22">
        <v>66</v>
      </c>
    </row>
    <row r="167" spans="1:59" x14ac:dyDescent="0.25">
      <c r="A167" s="4">
        <v>166</v>
      </c>
      <c r="B167" s="33" t="s">
        <v>1719</v>
      </c>
      <c r="C167" s="12" t="s">
        <v>1885</v>
      </c>
      <c r="D167" s="44" t="s">
        <v>4687</v>
      </c>
      <c r="E167" s="12" t="s">
        <v>271</v>
      </c>
      <c r="F167" s="36" t="s">
        <v>1718</v>
      </c>
      <c r="G167" s="12">
        <v>951908018</v>
      </c>
      <c r="H167" t="str">
        <f>VLOOKUP(D167,DATA_SISTEMA!$A$1:$Q$506,13,FALSE)</f>
        <v>MZ. C LOTE 12 URB. JARDINES DE CHOSICA - LA VICTORIA</v>
      </c>
      <c r="I167" t="str">
        <f>VLOOKUP(D167,DATA_SISTEMA!$A$1:$Q$506,7,FALSE)</f>
        <v>1989-12-11</v>
      </c>
      <c r="J167" s="32" t="s">
        <v>1718</v>
      </c>
      <c r="K167" s="32" t="s">
        <v>1718</v>
      </c>
      <c r="L167" s="32" t="s">
        <v>1718</v>
      </c>
      <c r="M167">
        <v>318</v>
      </c>
      <c r="N167">
        <v>0</v>
      </c>
      <c r="O167" s="32" t="str">
        <f t="shared" si="2"/>
        <v>1660020261X</v>
      </c>
      <c r="P167" s="32" t="s">
        <v>1718</v>
      </c>
      <c r="Q167" s="32" t="s">
        <v>1718</v>
      </c>
      <c r="R167" s="32" t="s">
        <v>2110</v>
      </c>
      <c r="S167" s="32" t="s">
        <v>5033</v>
      </c>
      <c r="T167" t="str">
        <f>VLOOKUP(D167,DATA_SISTEMA!$A$1:$Q$506,9,FALSE)</f>
        <v>F</v>
      </c>
      <c r="U167" s="32" t="s">
        <v>2106</v>
      </c>
      <c r="V167" s="32" t="s">
        <v>1718</v>
      </c>
      <c r="W167" s="37" t="s">
        <v>5028</v>
      </c>
      <c r="X167" s="32" t="s">
        <v>4522</v>
      </c>
      <c r="Y167" s="32" t="s">
        <v>1718</v>
      </c>
      <c r="Z167" s="32" t="s">
        <v>1718</v>
      </c>
      <c r="AA167" s="32" t="s">
        <v>5028</v>
      </c>
      <c r="AB167" s="32" t="s">
        <v>1718</v>
      </c>
      <c r="AC167" s="32" t="s">
        <v>1718</v>
      </c>
      <c r="AD167" s="32" t="s">
        <v>1718</v>
      </c>
      <c r="AE167" s="32" t="s">
        <v>1718</v>
      </c>
      <c r="AF167" s="32" t="s">
        <v>1718</v>
      </c>
      <c r="AG167" s="32" t="s">
        <v>1718</v>
      </c>
      <c r="AH167" s="32" t="s">
        <v>2107</v>
      </c>
      <c r="AI167" s="12" t="s">
        <v>1463</v>
      </c>
      <c r="AJ167" s="12" t="s">
        <v>1081</v>
      </c>
      <c r="AK167" s="12" t="s">
        <v>976</v>
      </c>
      <c r="AL167" s="12">
        <v>46060832</v>
      </c>
      <c r="AM167" t="s">
        <v>1718</v>
      </c>
      <c r="AN167" t="s">
        <v>1718</v>
      </c>
      <c r="AO167" t="s">
        <v>1718</v>
      </c>
      <c r="AP167" t="s">
        <v>1718</v>
      </c>
      <c r="AQ167" t="s">
        <v>1718</v>
      </c>
      <c r="AR167" t="s">
        <v>1718</v>
      </c>
      <c r="AS167" t="s">
        <v>1718</v>
      </c>
      <c r="AT167" t="s">
        <v>1718</v>
      </c>
      <c r="AU167" t="s">
        <v>1718</v>
      </c>
      <c r="AV167" t="str">
        <f>VLOOKUP(D167,DATA_SISTEMA!$A$1:$Q$506,12,FALSE)</f>
        <v>LA VICTORIA</v>
      </c>
      <c r="AW167" t="str">
        <f>VLOOKUP(D167,DATA_SISTEMA!$A$1:$Q$506,11,FALSE)</f>
        <v>CHICLAYO</v>
      </c>
      <c r="AX167" t="str">
        <f>VLOOKUP(D167,DATA_SISTEMA!$A$1:$Q$506,10,FALSE)</f>
        <v>LAMBAYEQUE</v>
      </c>
      <c r="AY167" t="s">
        <v>1718</v>
      </c>
      <c r="AZ167" t="s">
        <v>5028</v>
      </c>
      <c r="BA167" t="s">
        <v>1718</v>
      </c>
      <c r="BB167" t="s">
        <v>5028</v>
      </c>
      <c r="BC167" t="s">
        <v>1718</v>
      </c>
      <c r="BD167" t="s">
        <v>5028</v>
      </c>
      <c r="BE167" t="s">
        <v>1718</v>
      </c>
      <c r="BF167" s="34" t="s">
        <v>2104</v>
      </c>
      <c r="BG167" s="12">
        <v>77.400000000000006</v>
      </c>
    </row>
    <row r="168" spans="1:59" x14ac:dyDescent="0.25">
      <c r="A168" s="4">
        <v>167</v>
      </c>
      <c r="B168" s="33" t="s">
        <v>1719</v>
      </c>
      <c r="C168" s="12" t="s">
        <v>1886</v>
      </c>
      <c r="D168" s="44" t="s">
        <v>4688</v>
      </c>
      <c r="E168" s="12" t="s">
        <v>274</v>
      </c>
      <c r="F168" s="36" t="s">
        <v>1718</v>
      </c>
      <c r="G168" s="12">
        <v>910201305</v>
      </c>
      <c r="H168" t="str">
        <f>VLOOKUP(D168,DATA_SISTEMA!$A$1:$Q$506,13,FALSE)</f>
        <v>CALLE SAN MARTIN N° 616</v>
      </c>
      <c r="I168" t="str">
        <f>VLOOKUP(D168,DATA_SISTEMA!$A$1:$Q$506,7,FALSE)</f>
        <v>1992-10-19</v>
      </c>
      <c r="J168" s="32" t="s">
        <v>1718</v>
      </c>
      <c r="K168" s="32" t="s">
        <v>1718</v>
      </c>
      <c r="L168" s="32" t="s">
        <v>1718</v>
      </c>
      <c r="M168">
        <v>318</v>
      </c>
      <c r="N168">
        <v>0</v>
      </c>
      <c r="O168" s="32" t="str">
        <f t="shared" si="2"/>
        <v>1670020261X</v>
      </c>
      <c r="P168" s="32" t="s">
        <v>1718</v>
      </c>
      <c r="Q168" s="32" t="s">
        <v>1718</v>
      </c>
      <c r="R168" s="32" t="s">
        <v>2110</v>
      </c>
      <c r="S168" s="32" t="s">
        <v>5033</v>
      </c>
      <c r="T168" t="str">
        <f>VLOOKUP(D168,DATA_SISTEMA!$A$1:$Q$506,9,FALSE)</f>
        <v>M</v>
      </c>
      <c r="U168" s="32" t="s">
        <v>2106</v>
      </c>
      <c r="V168" s="32" t="s">
        <v>1718</v>
      </c>
      <c r="W168" s="37" t="s">
        <v>5028</v>
      </c>
      <c r="X168" s="32" t="s">
        <v>4522</v>
      </c>
      <c r="Y168" s="32" t="s">
        <v>1718</v>
      </c>
      <c r="Z168" s="32" t="s">
        <v>1718</v>
      </c>
      <c r="AA168" s="32" t="s">
        <v>5028</v>
      </c>
      <c r="AB168" s="32" t="s">
        <v>1718</v>
      </c>
      <c r="AC168" s="32" t="s">
        <v>1718</v>
      </c>
      <c r="AD168" s="32" t="s">
        <v>1718</v>
      </c>
      <c r="AE168" s="32" t="s">
        <v>1718</v>
      </c>
      <c r="AF168" s="32" t="s">
        <v>1718</v>
      </c>
      <c r="AG168" s="32" t="s">
        <v>1718</v>
      </c>
      <c r="AH168" s="32" t="s">
        <v>2107</v>
      </c>
      <c r="AI168" s="12" t="s">
        <v>1464</v>
      </c>
      <c r="AJ168" s="12" t="s">
        <v>1082</v>
      </c>
      <c r="AK168" s="12" t="s">
        <v>1083</v>
      </c>
      <c r="AL168" s="12">
        <v>73262781</v>
      </c>
      <c r="AM168" t="s">
        <v>1718</v>
      </c>
      <c r="AN168" t="s">
        <v>1718</v>
      </c>
      <c r="AO168" t="s">
        <v>1718</v>
      </c>
      <c r="AP168" t="s">
        <v>1718</v>
      </c>
      <c r="AQ168" t="s">
        <v>1718</v>
      </c>
      <c r="AR168" t="s">
        <v>1718</v>
      </c>
      <c r="AS168" t="s">
        <v>1718</v>
      </c>
      <c r="AT168" t="s">
        <v>1718</v>
      </c>
      <c r="AU168" t="s">
        <v>1718</v>
      </c>
      <c r="AV168" t="str">
        <f>VLOOKUP(D168,DATA_SISTEMA!$A$1:$Q$506,12,FALSE)</f>
        <v>LAMBAYEQUE</v>
      </c>
      <c r="AW168" t="str">
        <f>VLOOKUP(D168,DATA_SISTEMA!$A$1:$Q$506,11,FALSE)</f>
        <v>LAMBAYEQUE</v>
      </c>
      <c r="AX168" t="str">
        <f>VLOOKUP(D168,DATA_SISTEMA!$A$1:$Q$506,10,FALSE)</f>
        <v>LAMBAYEQUE</v>
      </c>
      <c r="AY168" t="s">
        <v>1718</v>
      </c>
      <c r="AZ168" t="s">
        <v>5028</v>
      </c>
      <c r="BA168" t="s">
        <v>1718</v>
      </c>
      <c r="BB168" t="s">
        <v>5028</v>
      </c>
      <c r="BC168" t="s">
        <v>1718</v>
      </c>
      <c r="BD168" t="s">
        <v>5028</v>
      </c>
      <c r="BE168" t="s">
        <v>1718</v>
      </c>
      <c r="BF168" s="34" t="s">
        <v>2104</v>
      </c>
      <c r="BG168" s="12">
        <v>71.900000000000006</v>
      </c>
    </row>
    <row r="169" spans="1:59" x14ac:dyDescent="0.25">
      <c r="A169" s="4">
        <v>168</v>
      </c>
      <c r="B169" s="33" t="s">
        <v>1719</v>
      </c>
      <c r="C169" s="12" t="s">
        <v>1887</v>
      </c>
      <c r="D169" s="44" t="s">
        <v>4689</v>
      </c>
      <c r="E169" s="12" t="s">
        <v>277</v>
      </c>
      <c r="F169" s="36" t="s">
        <v>1718</v>
      </c>
      <c r="G169" s="12">
        <v>947495718</v>
      </c>
      <c r="H169" t="str">
        <f>VLOOKUP(D169,DATA_SISTEMA!$A$1:$Q$506,13,FALSE)</f>
        <v>CONDOMINIOS LOS PARQUES DE SAN GABRIEL - DPTO.501- TORRE 31</v>
      </c>
      <c r="I169" t="str">
        <f>VLOOKUP(D169,DATA_SISTEMA!$A$1:$Q$506,7,FALSE)</f>
        <v>1973-08-22</v>
      </c>
      <c r="J169" s="32" t="s">
        <v>1718</v>
      </c>
      <c r="K169" s="32" t="s">
        <v>1718</v>
      </c>
      <c r="L169" s="32" t="s">
        <v>1718</v>
      </c>
      <c r="M169">
        <v>318</v>
      </c>
      <c r="N169">
        <v>0</v>
      </c>
      <c r="O169" s="32" t="str">
        <f t="shared" si="2"/>
        <v>1680020261X</v>
      </c>
      <c r="P169" s="32" t="s">
        <v>1718</v>
      </c>
      <c r="Q169" s="32" t="s">
        <v>1718</v>
      </c>
      <c r="R169" s="32" t="s">
        <v>2110</v>
      </c>
      <c r="S169" s="32" t="s">
        <v>5033</v>
      </c>
      <c r="T169" t="str">
        <f>VLOOKUP(D169,DATA_SISTEMA!$A$1:$Q$506,9,FALSE)</f>
        <v>M</v>
      </c>
      <c r="U169" s="32" t="s">
        <v>2106</v>
      </c>
      <c r="V169" s="32" t="s">
        <v>1718</v>
      </c>
      <c r="W169" s="37" t="s">
        <v>5028</v>
      </c>
      <c r="X169" s="32" t="s">
        <v>4522</v>
      </c>
      <c r="Y169" s="32" t="s">
        <v>1718</v>
      </c>
      <c r="Z169" s="32" t="s">
        <v>1718</v>
      </c>
      <c r="AA169" s="32" t="s">
        <v>5028</v>
      </c>
      <c r="AB169" s="32" t="s">
        <v>1718</v>
      </c>
      <c r="AC169" s="32" t="s">
        <v>1718</v>
      </c>
      <c r="AD169" s="32" t="s">
        <v>1718</v>
      </c>
      <c r="AE169" s="32" t="s">
        <v>1718</v>
      </c>
      <c r="AF169" s="32" t="s">
        <v>1718</v>
      </c>
      <c r="AG169" s="32" t="s">
        <v>1718</v>
      </c>
      <c r="AH169" s="32" t="s">
        <v>2107</v>
      </c>
      <c r="AI169" s="12" t="s">
        <v>1465</v>
      </c>
      <c r="AJ169" s="12" t="s">
        <v>987</v>
      </c>
      <c r="AK169" s="12" t="s">
        <v>876</v>
      </c>
      <c r="AL169" s="12" t="s">
        <v>275</v>
      </c>
      <c r="AM169" t="s">
        <v>1718</v>
      </c>
      <c r="AN169" t="s">
        <v>1718</v>
      </c>
      <c r="AO169" t="s">
        <v>1718</v>
      </c>
      <c r="AP169" t="s">
        <v>1718</v>
      </c>
      <c r="AQ169" t="s">
        <v>1718</v>
      </c>
      <c r="AR169" t="s">
        <v>1718</v>
      </c>
      <c r="AS169" t="s">
        <v>1718</v>
      </c>
      <c r="AT169" t="s">
        <v>1718</v>
      </c>
      <c r="AU169" t="s">
        <v>1718</v>
      </c>
      <c r="AV169" t="str">
        <f>VLOOKUP(D169,DATA_SISTEMA!$A$1:$Q$506,12,FALSE)</f>
        <v>CHICLAYO</v>
      </c>
      <c r="AW169" t="str">
        <f>VLOOKUP(D169,DATA_SISTEMA!$A$1:$Q$506,11,FALSE)</f>
        <v>CHICLAYO</v>
      </c>
      <c r="AX169" t="str">
        <f>VLOOKUP(D169,DATA_SISTEMA!$A$1:$Q$506,10,FALSE)</f>
        <v>LAMBAYEQUE</v>
      </c>
      <c r="AY169" t="s">
        <v>1718</v>
      </c>
      <c r="AZ169" t="s">
        <v>5028</v>
      </c>
      <c r="BA169" t="s">
        <v>1718</v>
      </c>
      <c r="BB169" t="s">
        <v>5028</v>
      </c>
      <c r="BC169" t="s">
        <v>1718</v>
      </c>
      <c r="BD169" t="s">
        <v>5028</v>
      </c>
      <c r="BE169" t="s">
        <v>1718</v>
      </c>
      <c r="BF169" s="34" t="s">
        <v>2104</v>
      </c>
      <c r="BG169" s="12">
        <v>71.900000000000006</v>
      </c>
    </row>
    <row r="170" spans="1:59" x14ac:dyDescent="0.25">
      <c r="A170" s="4">
        <v>169</v>
      </c>
      <c r="B170" s="33" t="s">
        <v>1719</v>
      </c>
      <c r="C170" s="12" t="s">
        <v>1888</v>
      </c>
      <c r="D170" s="44" t="s">
        <v>4690</v>
      </c>
      <c r="E170" s="12" t="s">
        <v>279</v>
      </c>
      <c r="F170" s="36" t="s">
        <v>1718</v>
      </c>
      <c r="G170" s="12">
        <v>940115835</v>
      </c>
      <c r="H170" t="str">
        <f>VLOOKUP(D170,DATA_SISTEMA!$A$1:$Q$506,13,FALSE)</f>
        <v>AV. BALTA 1793 - CHICLAYO</v>
      </c>
      <c r="I170" t="str">
        <f>VLOOKUP(D170,DATA_SISTEMA!$A$1:$Q$506,7,FALSE)</f>
        <v>1992-09-03</v>
      </c>
      <c r="J170" s="32" t="s">
        <v>1718</v>
      </c>
      <c r="K170" s="32" t="s">
        <v>1718</v>
      </c>
      <c r="L170" s="32" t="s">
        <v>1718</v>
      </c>
      <c r="M170">
        <v>318</v>
      </c>
      <c r="N170">
        <v>0</v>
      </c>
      <c r="O170" s="32" t="str">
        <f t="shared" si="2"/>
        <v>1690020261X</v>
      </c>
      <c r="P170" s="32" t="s">
        <v>1718</v>
      </c>
      <c r="Q170" s="32" t="s">
        <v>1718</v>
      </c>
      <c r="R170" s="32" t="s">
        <v>2110</v>
      </c>
      <c r="S170" s="32" t="s">
        <v>5033</v>
      </c>
      <c r="T170" t="str">
        <f>VLOOKUP(D170,DATA_SISTEMA!$A$1:$Q$506,9,FALSE)</f>
        <v>M</v>
      </c>
      <c r="U170" s="32" t="s">
        <v>2106</v>
      </c>
      <c r="V170" s="32" t="s">
        <v>1718</v>
      </c>
      <c r="W170" s="37" t="s">
        <v>5028</v>
      </c>
      <c r="X170" s="32" t="s">
        <v>4522</v>
      </c>
      <c r="Y170" s="32" t="s">
        <v>1718</v>
      </c>
      <c r="Z170" s="32" t="s">
        <v>1718</v>
      </c>
      <c r="AA170" s="32" t="s">
        <v>5028</v>
      </c>
      <c r="AB170" s="32" t="s">
        <v>1718</v>
      </c>
      <c r="AC170" s="32" t="s">
        <v>1718</v>
      </c>
      <c r="AD170" s="32" t="s">
        <v>1718</v>
      </c>
      <c r="AE170" s="32" t="s">
        <v>1718</v>
      </c>
      <c r="AF170" s="32" t="s">
        <v>1718</v>
      </c>
      <c r="AG170" s="32" t="s">
        <v>1718</v>
      </c>
      <c r="AH170" s="32" t="s">
        <v>2107</v>
      </c>
      <c r="AI170" s="12" t="s">
        <v>1466</v>
      </c>
      <c r="AJ170" s="12" t="s">
        <v>876</v>
      </c>
      <c r="AK170" s="12" t="s">
        <v>1084</v>
      </c>
      <c r="AL170" s="12">
        <v>47248891</v>
      </c>
      <c r="AM170" t="s">
        <v>1718</v>
      </c>
      <c r="AN170" t="s">
        <v>1718</v>
      </c>
      <c r="AO170" t="s">
        <v>1718</v>
      </c>
      <c r="AP170" t="s">
        <v>1718</v>
      </c>
      <c r="AQ170" t="s">
        <v>1718</v>
      </c>
      <c r="AR170" t="s">
        <v>1718</v>
      </c>
      <c r="AS170" t="s">
        <v>1718</v>
      </c>
      <c r="AT170" t="s">
        <v>1718</v>
      </c>
      <c r="AU170" t="s">
        <v>1718</v>
      </c>
      <c r="AV170" t="str">
        <f>VLOOKUP(D170,DATA_SISTEMA!$A$1:$Q$506,12,FALSE)</f>
        <v>CHICLAYO</v>
      </c>
      <c r="AW170" t="str">
        <f>VLOOKUP(D170,DATA_SISTEMA!$A$1:$Q$506,11,FALSE)</f>
        <v>CHICLAYO</v>
      </c>
      <c r="AX170" t="str">
        <f>VLOOKUP(D170,DATA_SISTEMA!$A$1:$Q$506,10,FALSE)</f>
        <v>LAMBAYEQUE</v>
      </c>
      <c r="AY170" t="s">
        <v>1718</v>
      </c>
      <c r="AZ170" t="s">
        <v>5028</v>
      </c>
      <c r="BA170" t="s">
        <v>1718</v>
      </c>
      <c r="BB170" t="s">
        <v>5028</v>
      </c>
      <c r="BC170" t="s">
        <v>1718</v>
      </c>
      <c r="BD170" t="s">
        <v>5028</v>
      </c>
      <c r="BE170" t="s">
        <v>1718</v>
      </c>
      <c r="BF170" s="34" t="s">
        <v>2104</v>
      </c>
      <c r="BG170" s="12">
        <v>71</v>
      </c>
    </row>
    <row r="171" spans="1:59" x14ac:dyDescent="0.25">
      <c r="A171" s="4">
        <v>170</v>
      </c>
      <c r="B171" s="33" t="s">
        <v>1719</v>
      </c>
      <c r="C171" s="12" t="s">
        <v>1889</v>
      </c>
      <c r="D171" s="44" t="s">
        <v>4691</v>
      </c>
      <c r="E171" s="12" t="s">
        <v>281</v>
      </c>
      <c r="F171" s="36" t="s">
        <v>1718</v>
      </c>
      <c r="G171" s="12">
        <v>928228502</v>
      </c>
      <c r="H171" t="str">
        <f>VLOOKUP(D171,DATA_SISTEMA!$A$1:$Q$506,13,FALSE)</f>
        <v>BACA MATTOS 602 - URBANZACION MIRAFLORES</v>
      </c>
      <c r="I171" t="str">
        <f>VLOOKUP(D171,DATA_SISTEMA!$A$1:$Q$506,7,FALSE)</f>
        <v>1986-05-02</v>
      </c>
      <c r="J171" s="32" t="s">
        <v>1718</v>
      </c>
      <c r="K171" s="32" t="s">
        <v>1718</v>
      </c>
      <c r="L171" s="32" t="s">
        <v>1718</v>
      </c>
      <c r="M171">
        <v>318</v>
      </c>
      <c r="N171">
        <v>0</v>
      </c>
      <c r="O171" s="32" t="str">
        <f t="shared" si="2"/>
        <v>1700020261X</v>
      </c>
      <c r="P171" s="32" t="s">
        <v>1718</v>
      </c>
      <c r="Q171" s="32" t="s">
        <v>1718</v>
      </c>
      <c r="R171" s="32" t="s">
        <v>2110</v>
      </c>
      <c r="S171" s="32" t="s">
        <v>5033</v>
      </c>
      <c r="T171" t="str">
        <f>VLOOKUP(D171,DATA_SISTEMA!$A$1:$Q$506,9,FALSE)</f>
        <v>M</v>
      </c>
      <c r="U171" s="32" t="s">
        <v>2106</v>
      </c>
      <c r="V171" s="32" t="s">
        <v>1718</v>
      </c>
      <c r="W171" s="37" t="s">
        <v>5028</v>
      </c>
      <c r="X171" s="32" t="s">
        <v>4522</v>
      </c>
      <c r="Y171" s="32" t="s">
        <v>1718</v>
      </c>
      <c r="Z171" s="32" t="s">
        <v>1718</v>
      </c>
      <c r="AA171" s="32" t="s">
        <v>5028</v>
      </c>
      <c r="AB171" s="32" t="s">
        <v>1718</v>
      </c>
      <c r="AC171" s="32" t="s">
        <v>1718</v>
      </c>
      <c r="AD171" s="32" t="s">
        <v>1718</v>
      </c>
      <c r="AE171" s="32" t="s">
        <v>1718</v>
      </c>
      <c r="AF171" s="32" t="s">
        <v>1718</v>
      </c>
      <c r="AG171" s="32" t="s">
        <v>1718</v>
      </c>
      <c r="AH171" s="32" t="s">
        <v>2107</v>
      </c>
      <c r="AI171" s="12" t="s">
        <v>1390</v>
      </c>
      <c r="AJ171" s="12" t="s">
        <v>1085</v>
      </c>
      <c r="AK171" s="12" t="s">
        <v>1086</v>
      </c>
      <c r="AL171" s="12">
        <v>43984489</v>
      </c>
      <c r="AM171" t="s">
        <v>1718</v>
      </c>
      <c r="AN171" t="s">
        <v>1718</v>
      </c>
      <c r="AO171" t="s">
        <v>1718</v>
      </c>
      <c r="AP171" t="s">
        <v>1718</v>
      </c>
      <c r="AQ171" t="s">
        <v>1718</v>
      </c>
      <c r="AR171" t="s">
        <v>1718</v>
      </c>
      <c r="AS171" t="s">
        <v>1718</v>
      </c>
      <c r="AT171" t="s">
        <v>1718</v>
      </c>
      <c r="AU171" t="s">
        <v>1718</v>
      </c>
      <c r="AV171" t="str">
        <f>VLOOKUP(D171,DATA_SISTEMA!$A$1:$Q$506,12,FALSE)</f>
        <v>LAMBAYEQUE</v>
      </c>
      <c r="AW171" t="str">
        <f>VLOOKUP(D171,DATA_SISTEMA!$A$1:$Q$506,11,FALSE)</f>
        <v>LAMBAYEQUE</v>
      </c>
      <c r="AX171" t="str">
        <f>VLOOKUP(D171,DATA_SISTEMA!$A$1:$Q$506,10,FALSE)</f>
        <v>LAMBAYEQUE</v>
      </c>
      <c r="AY171" t="s">
        <v>1718</v>
      </c>
      <c r="AZ171" t="s">
        <v>5028</v>
      </c>
      <c r="BA171" t="s">
        <v>1718</v>
      </c>
      <c r="BB171" t="s">
        <v>5028</v>
      </c>
      <c r="BC171" t="s">
        <v>1718</v>
      </c>
      <c r="BD171" t="s">
        <v>5028</v>
      </c>
      <c r="BE171" t="s">
        <v>1718</v>
      </c>
      <c r="BF171" s="34" t="s">
        <v>2104</v>
      </c>
      <c r="BG171" s="12">
        <v>70.5</v>
      </c>
    </row>
    <row r="172" spans="1:59" x14ac:dyDescent="0.25">
      <c r="A172" s="4">
        <v>171</v>
      </c>
      <c r="B172" s="33" t="s">
        <v>1719</v>
      </c>
      <c r="C172" s="12" t="s">
        <v>1890</v>
      </c>
      <c r="D172" s="44" t="s">
        <v>4692</v>
      </c>
      <c r="E172" s="12" t="s">
        <v>283</v>
      </c>
      <c r="F172" s="36" t="s">
        <v>1718</v>
      </c>
      <c r="G172" s="12">
        <v>936794282</v>
      </c>
      <c r="H172" t="str">
        <f>VLOOKUP(D172,DATA_SISTEMA!$A$1:$Q$506,13,FALSE)</f>
        <v>JR. SAN MARTIN 568 MIRAFLORES ALTO 568</v>
      </c>
      <c r="I172" t="str">
        <f>VLOOKUP(D172,DATA_SISTEMA!$A$1:$Q$506,7,FALSE)</f>
        <v>2000-08-04</v>
      </c>
      <c r="J172" s="32" t="s">
        <v>1718</v>
      </c>
      <c r="K172" s="32" t="s">
        <v>1718</v>
      </c>
      <c r="L172" s="32" t="s">
        <v>1718</v>
      </c>
      <c r="M172">
        <v>318</v>
      </c>
      <c r="N172">
        <v>0</v>
      </c>
      <c r="O172" s="32" t="str">
        <f t="shared" si="2"/>
        <v>1710020261X</v>
      </c>
      <c r="P172" s="32" t="s">
        <v>1718</v>
      </c>
      <c r="Q172" s="32" t="s">
        <v>1718</v>
      </c>
      <c r="R172" s="32" t="s">
        <v>2110</v>
      </c>
      <c r="S172" s="32" t="s">
        <v>5033</v>
      </c>
      <c r="T172" t="str">
        <f>VLOOKUP(D172,DATA_SISTEMA!$A$1:$Q$506,9,FALSE)</f>
        <v>F</v>
      </c>
      <c r="U172" s="32" t="s">
        <v>2106</v>
      </c>
      <c r="V172" s="32" t="s">
        <v>1718</v>
      </c>
      <c r="W172" s="37" t="s">
        <v>5028</v>
      </c>
      <c r="X172" s="32" t="s">
        <v>4522</v>
      </c>
      <c r="Y172" s="32" t="s">
        <v>1718</v>
      </c>
      <c r="Z172" s="32" t="s">
        <v>1718</v>
      </c>
      <c r="AA172" s="32" t="s">
        <v>5028</v>
      </c>
      <c r="AB172" s="32" t="s">
        <v>1718</v>
      </c>
      <c r="AC172" s="32" t="s">
        <v>1718</v>
      </c>
      <c r="AD172" s="32" t="s">
        <v>1718</v>
      </c>
      <c r="AE172" s="32" t="s">
        <v>1718</v>
      </c>
      <c r="AF172" s="32" t="s">
        <v>1718</v>
      </c>
      <c r="AG172" s="32" t="s">
        <v>1718</v>
      </c>
      <c r="AH172" s="32" t="s">
        <v>2107</v>
      </c>
      <c r="AI172" s="12" t="s">
        <v>1467</v>
      </c>
      <c r="AJ172" s="12" t="s">
        <v>1087</v>
      </c>
      <c r="AK172" s="12" t="s">
        <v>1088</v>
      </c>
      <c r="AL172" s="12">
        <v>71077059</v>
      </c>
      <c r="AM172" t="s">
        <v>1718</v>
      </c>
      <c r="AN172" t="s">
        <v>1718</v>
      </c>
      <c r="AO172" t="s">
        <v>1718</v>
      </c>
      <c r="AP172" t="s">
        <v>1718</v>
      </c>
      <c r="AQ172" t="s">
        <v>1718</v>
      </c>
      <c r="AR172" t="s">
        <v>1718</v>
      </c>
      <c r="AS172" t="s">
        <v>1718</v>
      </c>
      <c r="AT172" t="s">
        <v>1718</v>
      </c>
      <c r="AU172" t="s">
        <v>1718</v>
      </c>
      <c r="AV172" t="str">
        <f>VLOOKUP(D172,DATA_SISTEMA!$A$1:$Q$506,12,FALSE)</f>
        <v>CHIMBOTE</v>
      </c>
      <c r="AW172" t="str">
        <f>VLOOKUP(D172,DATA_SISTEMA!$A$1:$Q$506,11,FALSE)</f>
        <v>SANTA</v>
      </c>
      <c r="AX172" t="str">
        <f>VLOOKUP(D172,DATA_SISTEMA!$A$1:$Q$506,10,FALSE)</f>
        <v>ANCASH</v>
      </c>
      <c r="AY172" t="s">
        <v>1718</v>
      </c>
      <c r="AZ172" t="s">
        <v>5028</v>
      </c>
      <c r="BA172" t="s">
        <v>1718</v>
      </c>
      <c r="BB172" t="s">
        <v>5028</v>
      </c>
      <c r="BC172" t="s">
        <v>1718</v>
      </c>
      <c r="BD172" t="s">
        <v>5028</v>
      </c>
      <c r="BE172" t="s">
        <v>1718</v>
      </c>
      <c r="BF172" s="34" t="s">
        <v>2104</v>
      </c>
      <c r="BG172" s="12">
        <v>69.900000000000006</v>
      </c>
    </row>
    <row r="173" spans="1:59" x14ac:dyDescent="0.25">
      <c r="A173" s="4">
        <v>172</v>
      </c>
      <c r="B173" s="33" t="s">
        <v>1719</v>
      </c>
      <c r="C173" s="12" t="s">
        <v>1891</v>
      </c>
      <c r="D173" s="44" t="s">
        <v>4693</v>
      </c>
      <c r="E173" s="12" t="s">
        <v>285</v>
      </c>
      <c r="F173" s="36" t="s">
        <v>1718</v>
      </c>
      <c r="G173" s="12">
        <v>926104720</v>
      </c>
      <c r="H173" t="str">
        <f>VLOOKUP(D173,DATA_SISTEMA!$A$1:$Q$506,13,FALSE)</f>
        <v>CALLE LOS CHASQUIS N°350 - EL HUITO</v>
      </c>
      <c r="I173" t="str">
        <f>VLOOKUP(D173,DATA_SISTEMA!$A$1:$Q$506,7,FALSE)</f>
        <v>2000-02-07</v>
      </c>
      <c r="J173" s="32" t="s">
        <v>1718</v>
      </c>
      <c r="K173" s="32" t="s">
        <v>1718</v>
      </c>
      <c r="L173" s="32" t="s">
        <v>1718</v>
      </c>
      <c r="M173">
        <v>318</v>
      </c>
      <c r="N173">
        <v>0</v>
      </c>
      <c r="O173" s="32" t="str">
        <f t="shared" si="2"/>
        <v>1720020261X</v>
      </c>
      <c r="P173" s="32" t="s">
        <v>1718</v>
      </c>
      <c r="Q173" s="32" t="s">
        <v>1718</v>
      </c>
      <c r="R173" s="32" t="s">
        <v>2110</v>
      </c>
      <c r="S173" s="32" t="s">
        <v>5033</v>
      </c>
      <c r="T173" t="str">
        <f>VLOOKUP(D173,DATA_SISTEMA!$A$1:$Q$506,9,FALSE)</f>
        <v>M</v>
      </c>
      <c r="U173" s="32" t="s">
        <v>2106</v>
      </c>
      <c r="V173" s="32" t="s">
        <v>1718</v>
      </c>
      <c r="W173" s="37" t="s">
        <v>5028</v>
      </c>
      <c r="X173" s="32" t="s">
        <v>4522</v>
      </c>
      <c r="Y173" s="32" t="s">
        <v>1718</v>
      </c>
      <c r="Z173" s="32" t="s">
        <v>1718</v>
      </c>
      <c r="AA173" s="32" t="s">
        <v>5028</v>
      </c>
      <c r="AB173" s="32" t="s">
        <v>1718</v>
      </c>
      <c r="AC173" s="32" t="s">
        <v>1718</v>
      </c>
      <c r="AD173" s="32" t="s">
        <v>1718</v>
      </c>
      <c r="AE173" s="32" t="s">
        <v>1718</v>
      </c>
      <c r="AF173" s="32" t="s">
        <v>1718</v>
      </c>
      <c r="AG173" s="32" t="s">
        <v>1718</v>
      </c>
      <c r="AH173" s="32" t="s">
        <v>2107</v>
      </c>
      <c r="AI173" s="12" t="s">
        <v>1468</v>
      </c>
      <c r="AJ173" s="12" t="s">
        <v>1089</v>
      </c>
      <c r="AK173" s="12" t="s">
        <v>900</v>
      </c>
      <c r="AL173" s="12">
        <v>72023455</v>
      </c>
      <c r="AM173" t="s">
        <v>1718</v>
      </c>
      <c r="AN173" t="s">
        <v>1718</v>
      </c>
      <c r="AO173" t="s">
        <v>1718</v>
      </c>
      <c r="AP173" t="s">
        <v>1718</v>
      </c>
      <c r="AQ173" t="s">
        <v>1718</v>
      </c>
      <c r="AR173" t="s">
        <v>1718</v>
      </c>
      <c r="AS173" t="s">
        <v>1718</v>
      </c>
      <c r="AT173" t="s">
        <v>1718</v>
      </c>
      <c r="AU173" t="s">
        <v>1718</v>
      </c>
      <c r="AV173" t="str">
        <f>VLOOKUP(D173,DATA_SISTEMA!$A$1:$Q$506,12,FALSE)</f>
        <v>JAEN</v>
      </c>
      <c r="AW173" t="str">
        <f>VLOOKUP(D173,DATA_SISTEMA!$A$1:$Q$506,11,FALSE)</f>
        <v>JAEN</v>
      </c>
      <c r="AX173" t="str">
        <f>VLOOKUP(D173,DATA_SISTEMA!$A$1:$Q$506,10,FALSE)</f>
        <v>CAJAMARCA</v>
      </c>
      <c r="AY173" t="s">
        <v>1718</v>
      </c>
      <c r="AZ173" t="s">
        <v>5028</v>
      </c>
      <c r="BA173" t="s">
        <v>1718</v>
      </c>
      <c r="BB173" t="s">
        <v>5028</v>
      </c>
      <c r="BC173" t="s">
        <v>1718</v>
      </c>
      <c r="BD173" t="s">
        <v>5028</v>
      </c>
      <c r="BE173" t="s">
        <v>1718</v>
      </c>
      <c r="BF173" s="34" t="s">
        <v>2104</v>
      </c>
      <c r="BG173" s="12">
        <v>69.099999999999994</v>
      </c>
    </row>
    <row r="174" spans="1:59" x14ac:dyDescent="0.25">
      <c r="A174" s="4">
        <v>173</v>
      </c>
      <c r="B174" s="33" t="s">
        <v>1719</v>
      </c>
      <c r="C174" s="12" t="s">
        <v>1892</v>
      </c>
      <c r="D174" s="44" t="s">
        <v>4694</v>
      </c>
      <c r="E174" s="12" t="s">
        <v>287</v>
      </c>
      <c r="F174" s="36" t="s">
        <v>1718</v>
      </c>
      <c r="G174" s="12">
        <v>966243348</v>
      </c>
      <c r="H174" t="str">
        <f>VLOOKUP(D174,DATA_SISTEMA!$A$1:$Q$506,13,FALSE)</f>
        <v>CALLE MANUEL PARDO 674 URB. SAN LUIS</v>
      </c>
      <c r="I174" t="str">
        <f>VLOOKUP(D174,DATA_SISTEMA!$A$1:$Q$506,7,FALSE)</f>
        <v>1987-04-08</v>
      </c>
      <c r="J174" s="32" t="s">
        <v>1718</v>
      </c>
      <c r="K174" s="32" t="s">
        <v>1718</v>
      </c>
      <c r="L174" s="32" t="s">
        <v>1718</v>
      </c>
      <c r="M174">
        <v>318</v>
      </c>
      <c r="N174">
        <v>0</v>
      </c>
      <c r="O174" s="32" t="str">
        <f t="shared" si="2"/>
        <v>1730020261X</v>
      </c>
      <c r="P174" s="32" t="s">
        <v>1718</v>
      </c>
      <c r="Q174" s="32" t="s">
        <v>1718</v>
      </c>
      <c r="R174" s="32" t="s">
        <v>2110</v>
      </c>
      <c r="S174" s="32" t="s">
        <v>5033</v>
      </c>
      <c r="T174" t="str">
        <f>VLOOKUP(D174,DATA_SISTEMA!$A$1:$Q$506,9,FALSE)</f>
        <v>M</v>
      </c>
      <c r="U174" s="32" t="s">
        <v>2106</v>
      </c>
      <c r="V174" s="32" t="s">
        <v>1718</v>
      </c>
      <c r="W174" s="37" t="s">
        <v>5028</v>
      </c>
      <c r="X174" s="32" t="s">
        <v>4522</v>
      </c>
      <c r="Y174" s="32" t="s">
        <v>1718</v>
      </c>
      <c r="Z174" s="32" t="s">
        <v>1718</v>
      </c>
      <c r="AA174" s="32" t="s">
        <v>5028</v>
      </c>
      <c r="AB174" s="32" t="s">
        <v>1718</v>
      </c>
      <c r="AC174" s="32" t="s">
        <v>1718</v>
      </c>
      <c r="AD174" s="32" t="s">
        <v>1718</v>
      </c>
      <c r="AE174" s="32" t="s">
        <v>1718</v>
      </c>
      <c r="AF174" s="32" t="s">
        <v>1718</v>
      </c>
      <c r="AG174" s="32" t="s">
        <v>1718</v>
      </c>
      <c r="AH174" s="32" t="s">
        <v>2107</v>
      </c>
      <c r="AI174" s="12" t="s">
        <v>1469</v>
      </c>
      <c r="AJ174" s="12" t="s">
        <v>991</v>
      </c>
      <c r="AK174" s="12" t="s">
        <v>1090</v>
      </c>
      <c r="AL174" s="12">
        <v>44197041</v>
      </c>
      <c r="AM174" t="s">
        <v>1718</v>
      </c>
      <c r="AN174" t="s">
        <v>1718</v>
      </c>
      <c r="AO174" t="s">
        <v>1718</v>
      </c>
      <c r="AP174" t="s">
        <v>1718</v>
      </c>
      <c r="AQ174" t="s">
        <v>1718</v>
      </c>
      <c r="AR174" t="s">
        <v>1718</v>
      </c>
      <c r="AS174" t="s">
        <v>1718</v>
      </c>
      <c r="AT174" t="s">
        <v>1718</v>
      </c>
      <c r="AU174" t="s">
        <v>1718</v>
      </c>
      <c r="AV174" t="str">
        <f>VLOOKUP(D174,DATA_SISTEMA!$A$1:$Q$506,12,FALSE)</f>
        <v>CHICLAYO</v>
      </c>
      <c r="AW174" t="str">
        <f>VLOOKUP(D174,DATA_SISTEMA!$A$1:$Q$506,11,FALSE)</f>
        <v>CHICLAYO</v>
      </c>
      <c r="AX174" t="str">
        <f>VLOOKUP(D174,DATA_SISTEMA!$A$1:$Q$506,10,FALSE)</f>
        <v>LAMBAYEQUE</v>
      </c>
      <c r="AY174" t="s">
        <v>1718</v>
      </c>
      <c r="AZ174" t="s">
        <v>5028</v>
      </c>
      <c r="BA174" t="s">
        <v>1718</v>
      </c>
      <c r="BB174" t="s">
        <v>5028</v>
      </c>
      <c r="BC174" t="s">
        <v>1718</v>
      </c>
      <c r="BD174" t="s">
        <v>5028</v>
      </c>
      <c r="BE174" t="s">
        <v>1718</v>
      </c>
      <c r="BF174" s="34" t="s">
        <v>2104</v>
      </c>
      <c r="BG174" s="12">
        <v>69</v>
      </c>
    </row>
    <row r="175" spans="1:59" x14ac:dyDescent="0.25">
      <c r="A175" s="4">
        <v>174</v>
      </c>
      <c r="B175" s="33" t="s">
        <v>1719</v>
      </c>
      <c r="C175" s="12" t="s">
        <v>1893</v>
      </c>
      <c r="D175" s="44" t="s">
        <v>4695</v>
      </c>
      <c r="E175" s="12" t="s">
        <v>289</v>
      </c>
      <c r="F175" s="36" t="s">
        <v>1718</v>
      </c>
      <c r="G175" s="12">
        <v>943749457</v>
      </c>
      <c r="H175" t="str">
        <f>VLOOKUP(D175,DATA_SISTEMA!$A$1:$Q$506,13,FALSE)</f>
        <v>AV. AREQUIPA NORTE 324</v>
      </c>
      <c r="I175" t="str">
        <f>VLOOKUP(D175,DATA_SISTEMA!$A$1:$Q$506,7,FALSE)</f>
        <v>1988-09-26</v>
      </c>
      <c r="J175" s="32" t="s">
        <v>1718</v>
      </c>
      <c r="K175" s="32" t="s">
        <v>1718</v>
      </c>
      <c r="L175" s="32" t="s">
        <v>1718</v>
      </c>
      <c r="M175">
        <v>318</v>
      </c>
      <c r="N175">
        <v>0</v>
      </c>
      <c r="O175" s="32" t="str">
        <f t="shared" si="2"/>
        <v>1740020261X</v>
      </c>
      <c r="P175" s="32" t="s">
        <v>1718</v>
      </c>
      <c r="Q175" s="32" t="s">
        <v>1718</v>
      </c>
      <c r="R175" s="32" t="s">
        <v>2110</v>
      </c>
      <c r="S175" s="32" t="s">
        <v>5033</v>
      </c>
      <c r="T175" t="str">
        <f>VLOOKUP(D175,DATA_SISTEMA!$A$1:$Q$506,9,FALSE)</f>
        <v>F</v>
      </c>
      <c r="U175" s="32" t="s">
        <v>2106</v>
      </c>
      <c r="V175" s="32" t="s">
        <v>1718</v>
      </c>
      <c r="W175" s="37" t="s">
        <v>5028</v>
      </c>
      <c r="X175" s="32" t="s">
        <v>4522</v>
      </c>
      <c r="Y175" s="32" t="s">
        <v>1718</v>
      </c>
      <c r="Z175" s="32" t="s">
        <v>1718</v>
      </c>
      <c r="AA175" s="32" t="s">
        <v>5028</v>
      </c>
      <c r="AB175" s="32" t="s">
        <v>1718</v>
      </c>
      <c r="AC175" s="32" t="s">
        <v>1718</v>
      </c>
      <c r="AD175" s="32" t="s">
        <v>1718</v>
      </c>
      <c r="AE175" s="32" t="s">
        <v>1718</v>
      </c>
      <c r="AF175" s="32" t="s">
        <v>1718</v>
      </c>
      <c r="AG175" s="32" t="s">
        <v>1718</v>
      </c>
      <c r="AH175" s="32" t="s">
        <v>2107</v>
      </c>
      <c r="AI175" s="12" t="s">
        <v>1470</v>
      </c>
      <c r="AJ175" s="12" t="s">
        <v>1091</v>
      </c>
      <c r="AK175" s="12" t="s">
        <v>1092</v>
      </c>
      <c r="AL175" s="12">
        <v>45401537</v>
      </c>
      <c r="AM175" t="s">
        <v>1718</v>
      </c>
      <c r="AN175" t="s">
        <v>1718</v>
      </c>
      <c r="AO175" t="s">
        <v>1718</v>
      </c>
      <c r="AP175" t="s">
        <v>1718</v>
      </c>
      <c r="AQ175" t="s">
        <v>1718</v>
      </c>
      <c r="AR175" t="s">
        <v>1718</v>
      </c>
      <c r="AS175" t="s">
        <v>1718</v>
      </c>
      <c r="AT175" t="s">
        <v>1718</v>
      </c>
      <c r="AU175" t="s">
        <v>1718</v>
      </c>
      <c r="AV175" t="str">
        <f>VLOOKUP(D175,DATA_SISTEMA!$A$1:$Q$506,12,FALSE)</f>
        <v>CHICLAYO</v>
      </c>
      <c r="AW175" t="str">
        <f>VLOOKUP(D175,DATA_SISTEMA!$A$1:$Q$506,11,FALSE)</f>
        <v>CHICLAYO</v>
      </c>
      <c r="AX175" t="str">
        <f>VLOOKUP(D175,DATA_SISTEMA!$A$1:$Q$506,10,FALSE)</f>
        <v>LAMBAYEQUE</v>
      </c>
      <c r="AY175" t="s">
        <v>1718</v>
      </c>
      <c r="AZ175" t="s">
        <v>5028</v>
      </c>
      <c r="BA175" t="s">
        <v>1718</v>
      </c>
      <c r="BB175" t="s">
        <v>5028</v>
      </c>
      <c r="BC175" t="s">
        <v>1718</v>
      </c>
      <c r="BD175" t="s">
        <v>5028</v>
      </c>
      <c r="BE175" t="s">
        <v>1718</v>
      </c>
      <c r="BF175" s="34" t="s">
        <v>2104</v>
      </c>
      <c r="BG175" s="12">
        <v>68.5</v>
      </c>
    </row>
    <row r="176" spans="1:59" x14ac:dyDescent="0.25">
      <c r="A176" s="4">
        <v>175</v>
      </c>
      <c r="B176" s="33" t="s">
        <v>1719</v>
      </c>
      <c r="C176" s="12" t="s">
        <v>1894</v>
      </c>
      <c r="D176" s="44" t="s">
        <v>4696</v>
      </c>
      <c r="E176" s="12" t="s">
        <v>291</v>
      </c>
      <c r="F176" s="36" t="s">
        <v>1718</v>
      </c>
      <c r="G176" s="12">
        <v>969945719</v>
      </c>
      <c r="H176" t="str">
        <f>VLOOKUP(D176,DATA_SISTEMA!$A$1:$Q$506,13,FALSE)</f>
        <v>JR. SAN MARTIN</v>
      </c>
      <c r="I176" t="str">
        <f>VLOOKUP(D176,DATA_SISTEMA!$A$1:$Q$506,7,FALSE)</f>
        <v>1993-02-26</v>
      </c>
      <c r="J176" s="32" t="s">
        <v>1718</v>
      </c>
      <c r="K176" s="32" t="s">
        <v>1718</v>
      </c>
      <c r="L176" s="32" t="s">
        <v>1718</v>
      </c>
      <c r="M176">
        <v>318</v>
      </c>
      <c r="N176">
        <v>0</v>
      </c>
      <c r="O176" s="32" t="str">
        <f t="shared" si="2"/>
        <v>1750020261X</v>
      </c>
      <c r="P176" s="32" t="s">
        <v>1718</v>
      </c>
      <c r="Q176" s="32" t="s">
        <v>1718</v>
      </c>
      <c r="R176" s="32" t="s">
        <v>2110</v>
      </c>
      <c r="S176" s="32" t="s">
        <v>5033</v>
      </c>
      <c r="T176" t="str">
        <f>VLOOKUP(D176,DATA_SISTEMA!$A$1:$Q$506,9,FALSE)</f>
        <v>F</v>
      </c>
      <c r="U176" s="32" t="s">
        <v>2106</v>
      </c>
      <c r="V176" s="32" t="s">
        <v>1718</v>
      </c>
      <c r="W176" s="37" t="s">
        <v>5028</v>
      </c>
      <c r="X176" s="32" t="s">
        <v>4522</v>
      </c>
      <c r="Y176" s="32" t="s">
        <v>1718</v>
      </c>
      <c r="Z176" s="32" t="s">
        <v>1718</v>
      </c>
      <c r="AA176" s="32" t="s">
        <v>5028</v>
      </c>
      <c r="AB176" s="32" t="s">
        <v>1718</v>
      </c>
      <c r="AC176" s="32" t="s">
        <v>1718</v>
      </c>
      <c r="AD176" s="32" t="s">
        <v>1718</v>
      </c>
      <c r="AE176" s="32" t="s">
        <v>1718</v>
      </c>
      <c r="AF176" s="32" t="s">
        <v>1718</v>
      </c>
      <c r="AG176" s="32" t="s">
        <v>1718</v>
      </c>
      <c r="AH176" s="32" t="s">
        <v>2107</v>
      </c>
      <c r="AI176" s="12" t="s">
        <v>1471</v>
      </c>
      <c r="AJ176" s="12" t="s">
        <v>980</v>
      </c>
      <c r="AK176" s="12" t="s">
        <v>980</v>
      </c>
      <c r="AL176" s="12">
        <v>47660655</v>
      </c>
      <c r="AM176" t="s">
        <v>1718</v>
      </c>
      <c r="AN176" t="s">
        <v>1718</v>
      </c>
      <c r="AO176" t="s">
        <v>1718</v>
      </c>
      <c r="AP176" t="s">
        <v>1718</v>
      </c>
      <c r="AQ176" t="s">
        <v>1718</v>
      </c>
      <c r="AR176" t="s">
        <v>1718</v>
      </c>
      <c r="AS176" t="s">
        <v>1718</v>
      </c>
      <c r="AT176" t="s">
        <v>1718</v>
      </c>
      <c r="AU176" t="s">
        <v>1718</v>
      </c>
      <c r="AV176" t="str">
        <f>VLOOKUP(D176,DATA_SISTEMA!$A$1:$Q$506,12,FALSE)</f>
        <v>LA COIPA</v>
      </c>
      <c r="AW176" t="str">
        <f>VLOOKUP(D176,DATA_SISTEMA!$A$1:$Q$506,11,FALSE)</f>
        <v>SAN IGNACIO</v>
      </c>
      <c r="AX176" t="str">
        <f>VLOOKUP(D176,DATA_SISTEMA!$A$1:$Q$506,10,FALSE)</f>
        <v>CAJAMARCA</v>
      </c>
      <c r="AY176" t="s">
        <v>1718</v>
      </c>
      <c r="AZ176" t="s">
        <v>5028</v>
      </c>
      <c r="BA176" t="s">
        <v>1718</v>
      </c>
      <c r="BB176" t="s">
        <v>5028</v>
      </c>
      <c r="BC176" t="s">
        <v>1718</v>
      </c>
      <c r="BD176" t="s">
        <v>5028</v>
      </c>
      <c r="BE176" t="s">
        <v>1718</v>
      </c>
      <c r="BF176" s="34" t="s">
        <v>2104</v>
      </c>
      <c r="BG176" s="12">
        <v>68.5</v>
      </c>
    </row>
    <row r="177" spans="1:59" x14ac:dyDescent="0.25">
      <c r="A177" s="4">
        <v>176</v>
      </c>
      <c r="B177" s="33" t="s">
        <v>1719</v>
      </c>
      <c r="C177" s="12" t="s">
        <v>1895</v>
      </c>
      <c r="D177" s="44" t="s">
        <v>4697</v>
      </c>
      <c r="E177" s="12" t="s">
        <v>293</v>
      </c>
      <c r="F177" s="36" t="s">
        <v>1718</v>
      </c>
      <c r="G177" s="12">
        <v>949630670</v>
      </c>
      <c r="H177" t="str">
        <f>VLOOKUP(D177,DATA_SISTEMA!$A$1:$Q$506,13,FALSE)</f>
        <v>AV. EXEQUIEL GONZALES CÁCEDA 1231</v>
      </c>
      <c r="I177" t="str">
        <f>VLOOKUP(D177,DATA_SISTEMA!$A$1:$Q$506,7,FALSE)</f>
        <v>1992-08-28</v>
      </c>
      <c r="J177" s="32" t="s">
        <v>1718</v>
      </c>
      <c r="K177" s="32" t="s">
        <v>1718</v>
      </c>
      <c r="L177" s="32" t="s">
        <v>1718</v>
      </c>
      <c r="M177">
        <v>318</v>
      </c>
      <c r="N177">
        <v>0</v>
      </c>
      <c r="O177" s="32" t="str">
        <f t="shared" si="2"/>
        <v>1760020261X</v>
      </c>
      <c r="P177" s="32" t="s">
        <v>1718</v>
      </c>
      <c r="Q177" s="32" t="s">
        <v>1718</v>
      </c>
      <c r="R177" s="32" t="s">
        <v>2110</v>
      </c>
      <c r="S177" s="32" t="s">
        <v>5033</v>
      </c>
      <c r="T177" t="str">
        <f>VLOOKUP(D177,DATA_SISTEMA!$A$1:$Q$506,9,FALSE)</f>
        <v>M</v>
      </c>
      <c r="U177" s="32" t="s">
        <v>2106</v>
      </c>
      <c r="V177" s="32" t="s">
        <v>1718</v>
      </c>
      <c r="W177" s="37" t="s">
        <v>5028</v>
      </c>
      <c r="X177" s="32" t="s">
        <v>4522</v>
      </c>
      <c r="Y177" s="32" t="s">
        <v>1718</v>
      </c>
      <c r="Z177" s="32" t="s">
        <v>1718</v>
      </c>
      <c r="AA177" s="32" t="s">
        <v>5028</v>
      </c>
      <c r="AB177" s="32" t="s">
        <v>1718</v>
      </c>
      <c r="AC177" s="32" t="s">
        <v>1718</v>
      </c>
      <c r="AD177" s="32" t="s">
        <v>1718</v>
      </c>
      <c r="AE177" s="32" t="s">
        <v>1718</v>
      </c>
      <c r="AF177" s="32" t="s">
        <v>1718</v>
      </c>
      <c r="AG177" s="32" t="s">
        <v>1718</v>
      </c>
      <c r="AH177" s="32" t="s">
        <v>2107</v>
      </c>
      <c r="AI177" s="12" t="s">
        <v>1472</v>
      </c>
      <c r="AJ177" s="12" t="s">
        <v>1093</v>
      </c>
      <c r="AK177" s="12" t="s">
        <v>1094</v>
      </c>
      <c r="AL177" s="12">
        <v>47289823</v>
      </c>
      <c r="AM177" t="s">
        <v>1718</v>
      </c>
      <c r="AN177" t="s">
        <v>1718</v>
      </c>
      <c r="AO177" t="s">
        <v>1718</v>
      </c>
      <c r="AP177" t="s">
        <v>1718</v>
      </c>
      <c r="AQ177" t="s">
        <v>1718</v>
      </c>
      <c r="AR177" t="s">
        <v>1718</v>
      </c>
      <c r="AS177" t="s">
        <v>1718</v>
      </c>
      <c r="AT177" t="s">
        <v>1718</v>
      </c>
      <c r="AU177" t="s">
        <v>1718</v>
      </c>
      <c r="AV177" t="str">
        <f>VLOOKUP(D177,DATA_SISTEMA!$A$1:$Q$506,12,FALSE)</f>
        <v>CHEPEN</v>
      </c>
      <c r="AW177" t="str">
        <f>VLOOKUP(D177,DATA_SISTEMA!$A$1:$Q$506,11,FALSE)</f>
        <v>CHEPEN</v>
      </c>
      <c r="AX177" t="str">
        <f>VLOOKUP(D177,DATA_SISTEMA!$A$1:$Q$506,10,FALSE)</f>
        <v>LA LIBERTAD</v>
      </c>
      <c r="AY177" t="s">
        <v>1718</v>
      </c>
      <c r="AZ177" t="s">
        <v>5028</v>
      </c>
      <c r="BA177" t="s">
        <v>1718</v>
      </c>
      <c r="BB177" t="s">
        <v>5028</v>
      </c>
      <c r="BC177" t="s">
        <v>1718</v>
      </c>
      <c r="BD177" t="s">
        <v>5028</v>
      </c>
      <c r="BE177" t="s">
        <v>1718</v>
      </c>
      <c r="BF177" s="34" t="s">
        <v>2104</v>
      </c>
      <c r="BG177" s="12">
        <v>68.2</v>
      </c>
    </row>
    <row r="178" spans="1:59" x14ac:dyDescent="0.25">
      <c r="A178" s="4">
        <v>177</v>
      </c>
      <c r="B178" s="33" t="s">
        <v>1719</v>
      </c>
      <c r="C178" s="12" t="s">
        <v>1896</v>
      </c>
      <c r="D178" s="44" t="s">
        <v>4698</v>
      </c>
      <c r="E178" s="12" t="s">
        <v>295</v>
      </c>
      <c r="F178" s="36" t="s">
        <v>1718</v>
      </c>
      <c r="G178" s="12">
        <v>981228668</v>
      </c>
      <c r="H178" t="str">
        <f>VLOOKUP(D178,DATA_SISTEMA!$A$1:$Q$506,13,FALSE)</f>
        <v>INCA ATAHUALPA #496 - MOTUPE</v>
      </c>
      <c r="I178" t="str">
        <f>VLOOKUP(D178,DATA_SISTEMA!$A$1:$Q$506,7,FALSE)</f>
        <v>1998-01-01</v>
      </c>
      <c r="J178" s="32" t="s">
        <v>1718</v>
      </c>
      <c r="K178" s="32" t="s">
        <v>1718</v>
      </c>
      <c r="L178" s="32" t="s">
        <v>1718</v>
      </c>
      <c r="M178">
        <v>318</v>
      </c>
      <c r="N178">
        <v>0</v>
      </c>
      <c r="O178" s="32" t="str">
        <f t="shared" si="2"/>
        <v>1770020261X</v>
      </c>
      <c r="P178" s="32" t="s">
        <v>1718</v>
      </c>
      <c r="Q178" s="32" t="s">
        <v>1718</v>
      </c>
      <c r="R178" s="32" t="s">
        <v>2110</v>
      </c>
      <c r="S178" s="32" t="s">
        <v>5033</v>
      </c>
      <c r="T178" t="str">
        <f>VLOOKUP(D178,DATA_SISTEMA!$A$1:$Q$506,9,FALSE)</f>
        <v>M</v>
      </c>
      <c r="U178" s="32" t="s">
        <v>2106</v>
      </c>
      <c r="V178" s="32" t="s">
        <v>1718</v>
      </c>
      <c r="W178" s="37" t="s">
        <v>5028</v>
      </c>
      <c r="X178" s="32" t="s">
        <v>4522</v>
      </c>
      <c r="Y178" s="32" t="s">
        <v>1718</v>
      </c>
      <c r="Z178" s="32" t="s">
        <v>1718</v>
      </c>
      <c r="AA178" s="32" t="s">
        <v>5028</v>
      </c>
      <c r="AB178" s="32" t="s">
        <v>1718</v>
      </c>
      <c r="AC178" s="32" t="s">
        <v>1718</v>
      </c>
      <c r="AD178" s="32" t="s">
        <v>1718</v>
      </c>
      <c r="AE178" s="32" t="s">
        <v>1718</v>
      </c>
      <c r="AF178" s="32" t="s">
        <v>1718</v>
      </c>
      <c r="AG178" s="32" t="s">
        <v>1718</v>
      </c>
      <c r="AH178" s="32" t="s">
        <v>2107</v>
      </c>
      <c r="AI178" s="12" t="s">
        <v>1305</v>
      </c>
      <c r="AJ178" s="12" t="s">
        <v>1095</v>
      </c>
      <c r="AK178" s="12" t="s">
        <v>1096</v>
      </c>
      <c r="AL178" s="12">
        <v>70473446</v>
      </c>
      <c r="AM178" t="s">
        <v>1718</v>
      </c>
      <c r="AN178" t="s">
        <v>1718</v>
      </c>
      <c r="AO178" t="s">
        <v>1718</v>
      </c>
      <c r="AP178" t="s">
        <v>1718</v>
      </c>
      <c r="AQ178" t="s">
        <v>1718</v>
      </c>
      <c r="AR178" t="s">
        <v>1718</v>
      </c>
      <c r="AS178" t="s">
        <v>1718</v>
      </c>
      <c r="AT178" t="s">
        <v>1718</v>
      </c>
      <c r="AU178" t="s">
        <v>1718</v>
      </c>
      <c r="AV178" t="str">
        <f>VLOOKUP(D178,DATA_SISTEMA!$A$1:$Q$506,12,FALSE)</f>
        <v>MOTUPE</v>
      </c>
      <c r="AW178" t="str">
        <f>VLOOKUP(D178,DATA_SISTEMA!$A$1:$Q$506,11,FALSE)</f>
        <v>LAMBAYEQUE</v>
      </c>
      <c r="AX178" t="str">
        <f>VLOOKUP(D178,DATA_SISTEMA!$A$1:$Q$506,10,FALSE)</f>
        <v>LAMBAYEQUE</v>
      </c>
      <c r="AY178" t="s">
        <v>1718</v>
      </c>
      <c r="AZ178" t="s">
        <v>5028</v>
      </c>
      <c r="BA178" t="s">
        <v>1718</v>
      </c>
      <c r="BB178" t="s">
        <v>5028</v>
      </c>
      <c r="BC178" t="s">
        <v>1718</v>
      </c>
      <c r="BD178" t="s">
        <v>5028</v>
      </c>
      <c r="BE178" t="s">
        <v>1718</v>
      </c>
      <c r="BF178" s="34" t="s">
        <v>2104</v>
      </c>
      <c r="BG178" s="12">
        <v>68</v>
      </c>
    </row>
    <row r="179" spans="1:59" x14ac:dyDescent="0.25">
      <c r="A179" s="4">
        <v>178</v>
      </c>
      <c r="B179" s="33" t="s">
        <v>1719</v>
      </c>
      <c r="C179" s="12" t="s">
        <v>1897</v>
      </c>
      <c r="D179" s="44" t="s">
        <v>4699</v>
      </c>
      <c r="E179" s="12" t="s">
        <v>297</v>
      </c>
      <c r="F179" s="36" t="s">
        <v>1718</v>
      </c>
      <c r="G179" s="12">
        <v>930738695</v>
      </c>
      <c r="H179" t="str">
        <f>VLOOKUP(D179,DATA_SISTEMA!$A$1:$Q$506,13,FALSE)</f>
        <v>AA. HH. NUEVO EDEN MZ. B LT. 5</v>
      </c>
      <c r="I179" t="str">
        <f>VLOOKUP(D179,DATA_SISTEMA!$A$1:$Q$506,7,FALSE)</f>
        <v>2000-10-01</v>
      </c>
      <c r="J179" s="32" t="s">
        <v>1718</v>
      </c>
      <c r="K179" s="32" t="s">
        <v>1718</v>
      </c>
      <c r="L179" s="32" t="s">
        <v>1718</v>
      </c>
      <c r="M179">
        <v>318</v>
      </c>
      <c r="N179">
        <v>0</v>
      </c>
      <c r="O179" s="32" t="str">
        <f t="shared" si="2"/>
        <v>1780020261X</v>
      </c>
      <c r="P179" s="32" t="s">
        <v>1718</v>
      </c>
      <c r="Q179" s="32" t="s">
        <v>1718</v>
      </c>
      <c r="R179" s="32" t="s">
        <v>2110</v>
      </c>
      <c r="S179" s="32" t="s">
        <v>5033</v>
      </c>
      <c r="T179" t="str">
        <f>VLOOKUP(D179,DATA_SISTEMA!$A$1:$Q$506,9,FALSE)</f>
        <v>F</v>
      </c>
      <c r="U179" s="32" t="s">
        <v>2106</v>
      </c>
      <c r="V179" s="32" t="s">
        <v>1718</v>
      </c>
      <c r="W179" s="37" t="s">
        <v>5028</v>
      </c>
      <c r="X179" s="32" t="s">
        <v>4522</v>
      </c>
      <c r="Y179" s="32" t="s">
        <v>1718</v>
      </c>
      <c r="Z179" s="32" t="s">
        <v>1718</v>
      </c>
      <c r="AA179" s="32" t="s">
        <v>5028</v>
      </c>
      <c r="AB179" s="32" t="s">
        <v>1718</v>
      </c>
      <c r="AC179" s="32" t="s">
        <v>1718</v>
      </c>
      <c r="AD179" s="32" t="s">
        <v>1718</v>
      </c>
      <c r="AE179" s="32" t="s">
        <v>1718</v>
      </c>
      <c r="AF179" s="32" t="s">
        <v>1718</v>
      </c>
      <c r="AG179" s="32" t="s">
        <v>1718</v>
      </c>
      <c r="AH179" s="32" t="s">
        <v>2107</v>
      </c>
      <c r="AI179" s="12" t="s">
        <v>1473</v>
      </c>
      <c r="AJ179" s="12" t="s">
        <v>971</v>
      </c>
      <c r="AK179" s="12" t="s">
        <v>1072</v>
      </c>
      <c r="AL179" s="12">
        <v>60893958</v>
      </c>
      <c r="AM179" t="s">
        <v>1718</v>
      </c>
      <c r="AN179" t="s">
        <v>1718</v>
      </c>
      <c r="AO179" t="s">
        <v>1718</v>
      </c>
      <c r="AP179" t="s">
        <v>1718</v>
      </c>
      <c r="AQ179" t="s">
        <v>1718</v>
      </c>
      <c r="AR179" t="s">
        <v>1718</v>
      </c>
      <c r="AS179" t="s">
        <v>1718</v>
      </c>
      <c r="AT179" t="s">
        <v>1718</v>
      </c>
      <c r="AU179" t="s">
        <v>1718</v>
      </c>
      <c r="AV179" t="str">
        <f>VLOOKUP(D179,DATA_SISTEMA!$A$1:$Q$506,12,FALSE)</f>
        <v>CHIMBOTE</v>
      </c>
      <c r="AW179" t="str">
        <f>VLOOKUP(D179,DATA_SISTEMA!$A$1:$Q$506,11,FALSE)</f>
        <v>SANTA</v>
      </c>
      <c r="AX179" t="str">
        <f>VLOOKUP(D179,DATA_SISTEMA!$A$1:$Q$506,10,FALSE)</f>
        <v>ANCASH</v>
      </c>
      <c r="AY179" t="s">
        <v>1718</v>
      </c>
      <c r="AZ179" t="s">
        <v>5028</v>
      </c>
      <c r="BA179" t="s">
        <v>1718</v>
      </c>
      <c r="BB179" t="s">
        <v>5028</v>
      </c>
      <c r="BC179" t="s">
        <v>1718</v>
      </c>
      <c r="BD179" t="s">
        <v>5028</v>
      </c>
      <c r="BE179" t="s">
        <v>1718</v>
      </c>
      <c r="BF179" s="34" t="s">
        <v>2104</v>
      </c>
      <c r="BG179" s="12">
        <v>68</v>
      </c>
    </row>
    <row r="180" spans="1:59" x14ac:dyDescent="0.25">
      <c r="A180" s="4">
        <v>179</v>
      </c>
      <c r="B180" s="33" t="s">
        <v>1719</v>
      </c>
      <c r="C180" s="12" t="s">
        <v>1898</v>
      </c>
      <c r="D180" s="44" t="s">
        <v>4700</v>
      </c>
      <c r="E180" s="12" t="s">
        <v>299</v>
      </c>
      <c r="F180" s="36" t="s">
        <v>1718</v>
      </c>
      <c r="G180" s="12">
        <v>920737473</v>
      </c>
      <c r="H180" t="str">
        <f>VLOOKUP(D180,DATA_SISTEMA!$A$1:$Q$506,13,FALSE)</f>
        <v>AV PACHACUTEC 1261</v>
      </c>
      <c r="I180" t="str">
        <f>VLOOKUP(D180,DATA_SISTEMA!$A$1:$Q$506,7,FALSE)</f>
        <v>2001-10-26</v>
      </c>
      <c r="J180" s="32" t="s">
        <v>1718</v>
      </c>
      <c r="K180" s="32" t="s">
        <v>1718</v>
      </c>
      <c r="L180" s="32" t="s">
        <v>1718</v>
      </c>
      <c r="M180">
        <v>318</v>
      </c>
      <c r="N180">
        <v>0</v>
      </c>
      <c r="O180" s="32" t="str">
        <f t="shared" si="2"/>
        <v>1790020261X</v>
      </c>
      <c r="P180" s="32" t="s">
        <v>1718</v>
      </c>
      <c r="Q180" s="32" t="s">
        <v>1718</v>
      </c>
      <c r="R180" s="32" t="s">
        <v>2110</v>
      </c>
      <c r="S180" s="32" t="s">
        <v>5033</v>
      </c>
      <c r="T180" t="str">
        <f>VLOOKUP(D180,DATA_SISTEMA!$A$1:$Q$506,9,FALSE)</f>
        <v>F</v>
      </c>
      <c r="U180" s="32" t="s">
        <v>2106</v>
      </c>
      <c r="V180" s="32" t="s">
        <v>1718</v>
      </c>
      <c r="W180" s="37" t="s">
        <v>5028</v>
      </c>
      <c r="X180" s="32" t="s">
        <v>4522</v>
      </c>
      <c r="Y180" s="32" t="s">
        <v>1718</v>
      </c>
      <c r="Z180" s="32" t="s">
        <v>1718</v>
      </c>
      <c r="AA180" s="32" t="s">
        <v>5028</v>
      </c>
      <c r="AB180" s="32" t="s">
        <v>1718</v>
      </c>
      <c r="AC180" s="32" t="s">
        <v>1718</v>
      </c>
      <c r="AD180" s="32" t="s">
        <v>1718</v>
      </c>
      <c r="AE180" s="32" t="s">
        <v>1718</v>
      </c>
      <c r="AF180" s="32" t="s">
        <v>1718</v>
      </c>
      <c r="AG180" s="32" t="s">
        <v>1718</v>
      </c>
      <c r="AH180" s="32" t="s">
        <v>2107</v>
      </c>
      <c r="AI180" s="12" t="s">
        <v>1474</v>
      </c>
      <c r="AJ180" s="12" t="s">
        <v>1035</v>
      </c>
      <c r="AK180" s="12" t="s">
        <v>1097</v>
      </c>
      <c r="AL180" s="12">
        <v>72482012</v>
      </c>
      <c r="AM180" t="s">
        <v>1718</v>
      </c>
      <c r="AN180" t="s">
        <v>1718</v>
      </c>
      <c r="AO180" t="s">
        <v>1718</v>
      </c>
      <c r="AP180" t="s">
        <v>1718</v>
      </c>
      <c r="AQ180" t="s">
        <v>1718</v>
      </c>
      <c r="AR180" t="s">
        <v>1718</v>
      </c>
      <c r="AS180" t="s">
        <v>1718</v>
      </c>
      <c r="AT180" t="s">
        <v>1718</v>
      </c>
      <c r="AU180" t="s">
        <v>1718</v>
      </c>
      <c r="AV180" t="str">
        <f>VLOOKUP(D180,DATA_SISTEMA!$A$1:$Q$506,12,FALSE)</f>
        <v>LA VICTORIA</v>
      </c>
      <c r="AW180" t="str">
        <f>VLOOKUP(D180,DATA_SISTEMA!$A$1:$Q$506,11,FALSE)</f>
        <v>CHICLAYO</v>
      </c>
      <c r="AX180" t="str">
        <f>VLOOKUP(D180,DATA_SISTEMA!$A$1:$Q$506,10,FALSE)</f>
        <v>LAMBAYEQUE</v>
      </c>
      <c r="AY180" t="s">
        <v>1718</v>
      </c>
      <c r="AZ180" t="s">
        <v>5028</v>
      </c>
      <c r="BA180" t="s">
        <v>1718</v>
      </c>
      <c r="BB180" t="s">
        <v>5028</v>
      </c>
      <c r="BC180" t="s">
        <v>1718</v>
      </c>
      <c r="BD180" t="s">
        <v>5028</v>
      </c>
      <c r="BE180" t="s">
        <v>1718</v>
      </c>
      <c r="BF180" s="34" t="s">
        <v>2104</v>
      </c>
      <c r="BG180" s="12">
        <v>68</v>
      </c>
    </row>
    <row r="181" spans="1:59" x14ac:dyDescent="0.25">
      <c r="A181" s="4">
        <v>180</v>
      </c>
      <c r="B181" s="33" t="s">
        <v>1719</v>
      </c>
      <c r="C181" s="12" t="s">
        <v>1899</v>
      </c>
      <c r="D181" s="44" t="s">
        <v>4701</v>
      </c>
      <c r="E181" s="12" t="s">
        <v>301</v>
      </c>
      <c r="F181" s="36" t="s">
        <v>1718</v>
      </c>
      <c r="G181" s="12">
        <v>933961193</v>
      </c>
      <c r="H181" t="str">
        <f>VLOOKUP(D181,DATA_SISTEMA!$A$1:$Q$506,13,FALSE)</f>
        <v>AV. WILFREDO VALDIVIEZO 144 URB. LA PRIMAVERA II ETAPA CHICLAYO</v>
      </c>
      <c r="I181" t="str">
        <f>VLOOKUP(D181,DATA_SISTEMA!$A$1:$Q$506,7,FALSE)</f>
        <v>1989-11-05</v>
      </c>
      <c r="J181" s="32" t="s">
        <v>1718</v>
      </c>
      <c r="K181" s="32" t="s">
        <v>1718</v>
      </c>
      <c r="L181" s="32" t="s">
        <v>1718</v>
      </c>
      <c r="M181">
        <v>318</v>
      </c>
      <c r="N181">
        <v>0</v>
      </c>
      <c r="O181" s="32" t="str">
        <f t="shared" si="2"/>
        <v>1800020261X</v>
      </c>
      <c r="P181" s="32" t="s">
        <v>1718</v>
      </c>
      <c r="Q181" s="32" t="s">
        <v>1718</v>
      </c>
      <c r="R181" s="32" t="s">
        <v>2110</v>
      </c>
      <c r="S181" s="32" t="s">
        <v>5033</v>
      </c>
      <c r="T181" t="str">
        <f>VLOOKUP(D181,DATA_SISTEMA!$A$1:$Q$506,9,FALSE)</f>
        <v>F</v>
      </c>
      <c r="U181" s="32" t="s">
        <v>2106</v>
      </c>
      <c r="V181" s="32" t="s">
        <v>1718</v>
      </c>
      <c r="W181" s="37" t="s">
        <v>5028</v>
      </c>
      <c r="X181" s="32" t="s">
        <v>4522</v>
      </c>
      <c r="Y181" s="32" t="s">
        <v>1718</v>
      </c>
      <c r="Z181" s="32" t="s">
        <v>1718</v>
      </c>
      <c r="AA181" s="32" t="s">
        <v>5028</v>
      </c>
      <c r="AB181" s="32" t="s">
        <v>1718</v>
      </c>
      <c r="AC181" s="32" t="s">
        <v>1718</v>
      </c>
      <c r="AD181" s="32" t="s">
        <v>1718</v>
      </c>
      <c r="AE181" s="32" t="s">
        <v>1718</v>
      </c>
      <c r="AF181" s="32" t="s">
        <v>1718</v>
      </c>
      <c r="AG181" s="32" t="s">
        <v>1718</v>
      </c>
      <c r="AH181" s="32" t="s">
        <v>2107</v>
      </c>
      <c r="AI181" s="12" t="s">
        <v>1475</v>
      </c>
      <c r="AJ181" s="12" t="s">
        <v>944</v>
      </c>
      <c r="AK181" s="12" t="s">
        <v>1098</v>
      </c>
      <c r="AL181" s="12">
        <v>46043232</v>
      </c>
      <c r="AM181" t="s">
        <v>1718</v>
      </c>
      <c r="AN181" t="s">
        <v>1718</v>
      </c>
      <c r="AO181" t="s">
        <v>1718</v>
      </c>
      <c r="AP181" t="s">
        <v>1718</v>
      </c>
      <c r="AQ181" t="s">
        <v>1718</v>
      </c>
      <c r="AR181" t="s">
        <v>1718</v>
      </c>
      <c r="AS181" t="s">
        <v>1718</v>
      </c>
      <c r="AT181" t="s">
        <v>1718</v>
      </c>
      <c r="AU181" t="s">
        <v>1718</v>
      </c>
      <c r="AV181" t="str">
        <f>VLOOKUP(D181,DATA_SISTEMA!$A$1:$Q$506,12,FALSE)</f>
        <v>CHICLAYO</v>
      </c>
      <c r="AW181" t="str">
        <f>VLOOKUP(D181,DATA_SISTEMA!$A$1:$Q$506,11,FALSE)</f>
        <v>CHICLAYO</v>
      </c>
      <c r="AX181" t="str">
        <f>VLOOKUP(D181,DATA_SISTEMA!$A$1:$Q$506,10,FALSE)</f>
        <v>LAMBAYEQUE</v>
      </c>
      <c r="AY181" t="s">
        <v>1718</v>
      </c>
      <c r="AZ181" t="s">
        <v>5028</v>
      </c>
      <c r="BA181" t="s">
        <v>1718</v>
      </c>
      <c r="BB181" t="s">
        <v>5028</v>
      </c>
      <c r="BC181" t="s">
        <v>1718</v>
      </c>
      <c r="BD181" t="s">
        <v>5028</v>
      </c>
      <c r="BE181" t="s">
        <v>1718</v>
      </c>
      <c r="BF181" s="34" t="s">
        <v>2104</v>
      </c>
      <c r="BG181" s="12">
        <v>67.900000000000006</v>
      </c>
    </row>
    <row r="182" spans="1:59" x14ac:dyDescent="0.25">
      <c r="A182" s="4">
        <v>181</v>
      </c>
      <c r="B182" s="33" t="s">
        <v>1719</v>
      </c>
      <c r="C182" s="12" t="s">
        <v>1900</v>
      </c>
      <c r="D182" s="44" t="s">
        <v>4702</v>
      </c>
      <c r="E182" s="12" t="s">
        <v>303</v>
      </c>
      <c r="F182" s="36" t="s">
        <v>1718</v>
      </c>
      <c r="G182" s="12">
        <v>979146449</v>
      </c>
      <c r="H182" t="str">
        <f>VLOOKUP(D182,DATA_SISTEMA!$A$1:$Q$506,13,FALSE)</f>
        <v>PUEBLO JOVEN LOS ROSALES MZ "D" LT "22"</v>
      </c>
      <c r="I182" t="str">
        <f>VLOOKUP(D182,DATA_SISTEMA!$A$1:$Q$506,7,FALSE)</f>
        <v>1997-11-13</v>
      </c>
      <c r="J182" s="32" t="s">
        <v>1718</v>
      </c>
      <c r="K182" s="32" t="s">
        <v>1718</v>
      </c>
      <c r="L182" s="32" t="s">
        <v>1718</v>
      </c>
      <c r="M182">
        <v>318</v>
      </c>
      <c r="N182">
        <v>0</v>
      </c>
      <c r="O182" s="32" t="str">
        <f t="shared" si="2"/>
        <v>1810020261X</v>
      </c>
      <c r="P182" s="32" t="s">
        <v>1718</v>
      </c>
      <c r="Q182" s="32" t="s">
        <v>1718</v>
      </c>
      <c r="R182" s="32" t="s">
        <v>2110</v>
      </c>
      <c r="S182" s="32" t="s">
        <v>5033</v>
      </c>
      <c r="T182" t="str">
        <f>VLOOKUP(D182,DATA_SISTEMA!$A$1:$Q$506,9,FALSE)</f>
        <v>M</v>
      </c>
      <c r="U182" s="32" t="s">
        <v>2106</v>
      </c>
      <c r="V182" s="32" t="s">
        <v>1718</v>
      </c>
      <c r="W182" s="37" t="s">
        <v>5028</v>
      </c>
      <c r="X182" s="32" t="s">
        <v>4522</v>
      </c>
      <c r="Y182" s="32" t="s">
        <v>1718</v>
      </c>
      <c r="Z182" s="32" t="s">
        <v>1718</v>
      </c>
      <c r="AA182" s="32" t="s">
        <v>5028</v>
      </c>
      <c r="AB182" s="32" t="s">
        <v>1718</v>
      </c>
      <c r="AC182" s="32" t="s">
        <v>1718</v>
      </c>
      <c r="AD182" s="32" t="s">
        <v>1718</v>
      </c>
      <c r="AE182" s="32" t="s">
        <v>1718</v>
      </c>
      <c r="AF182" s="32" t="s">
        <v>1718</v>
      </c>
      <c r="AG182" s="32" t="s">
        <v>1718</v>
      </c>
      <c r="AH182" s="32" t="s">
        <v>2107</v>
      </c>
      <c r="AI182" s="12" t="s">
        <v>1476</v>
      </c>
      <c r="AJ182" s="12" t="s">
        <v>1099</v>
      </c>
      <c r="AK182" s="12" t="s">
        <v>1100</v>
      </c>
      <c r="AL182" s="12">
        <v>75753060</v>
      </c>
      <c r="AM182" t="s">
        <v>1718</v>
      </c>
      <c r="AN182" t="s">
        <v>1718</v>
      </c>
      <c r="AO182" t="s">
        <v>1718</v>
      </c>
      <c r="AP182" t="s">
        <v>1718</v>
      </c>
      <c r="AQ182" t="s">
        <v>1718</v>
      </c>
      <c r="AR182" t="s">
        <v>1718</v>
      </c>
      <c r="AS182" t="s">
        <v>1718</v>
      </c>
      <c r="AT182" t="s">
        <v>1718</v>
      </c>
      <c r="AU182" t="s">
        <v>1718</v>
      </c>
      <c r="AV182" t="str">
        <f>VLOOKUP(D182,DATA_SISTEMA!$A$1:$Q$506,12,FALSE)</f>
        <v>LA VICTORIA</v>
      </c>
      <c r="AW182" t="str">
        <f>VLOOKUP(D182,DATA_SISTEMA!$A$1:$Q$506,11,FALSE)</f>
        <v>CHICLAYO</v>
      </c>
      <c r="AX182" t="str">
        <f>VLOOKUP(D182,DATA_SISTEMA!$A$1:$Q$506,10,FALSE)</f>
        <v>LAMBAYEQUE</v>
      </c>
      <c r="AY182" t="s">
        <v>1718</v>
      </c>
      <c r="AZ182" t="s">
        <v>5028</v>
      </c>
      <c r="BA182" t="s">
        <v>1718</v>
      </c>
      <c r="BB182" t="s">
        <v>5028</v>
      </c>
      <c r="BC182" t="s">
        <v>1718</v>
      </c>
      <c r="BD182" t="s">
        <v>5028</v>
      </c>
      <c r="BE182" t="s">
        <v>1718</v>
      </c>
      <c r="BF182" s="34" t="s">
        <v>2104</v>
      </c>
      <c r="BG182" s="12">
        <v>67.099999999999994</v>
      </c>
    </row>
    <row r="183" spans="1:59" x14ac:dyDescent="0.25">
      <c r="A183" s="4">
        <v>182</v>
      </c>
      <c r="B183" s="33" t="s">
        <v>1719</v>
      </c>
      <c r="C183" s="12" t="s">
        <v>1901</v>
      </c>
      <c r="D183" s="44" t="s">
        <v>4703</v>
      </c>
      <c r="E183" s="12" t="s">
        <v>305</v>
      </c>
      <c r="F183" s="36" t="s">
        <v>1718</v>
      </c>
      <c r="G183" s="12">
        <v>921517866</v>
      </c>
      <c r="H183" t="str">
        <f>VLOOKUP(D183,DATA_SISTEMA!$A$1:$Q$506,13,FALSE)</f>
        <v>URB. LAS DUNAS MZ. E L-04</v>
      </c>
      <c r="I183" t="str">
        <f>VLOOKUP(D183,DATA_SISTEMA!$A$1:$Q$506,7,FALSE)</f>
        <v>1998-03-07</v>
      </c>
      <c r="J183" s="32" t="s">
        <v>1718</v>
      </c>
      <c r="K183" s="32" t="s">
        <v>1718</v>
      </c>
      <c r="L183" s="32" t="s">
        <v>1718</v>
      </c>
      <c r="M183">
        <v>318</v>
      </c>
      <c r="N183">
        <v>0</v>
      </c>
      <c r="O183" s="32" t="str">
        <f t="shared" si="2"/>
        <v>1820020261X</v>
      </c>
      <c r="P183" s="32" t="s">
        <v>1718</v>
      </c>
      <c r="Q183" s="32" t="s">
        <v>1718</v>
      </c>
      <c r="R183" s="32" t="s">
        <v>2110</v>
      </c>
      <c r="S183" s="32" t="s">
        <v>5033</v>
      </c>
      <c r="T183" t="str">
        <f>VLOOKUP(D183,DATA_SISTEMA!$A$1:$Q$506,9,FALSE)</f>
        <v>M</v>
      </c>
      <c r="U183" s="32" t="s">
        <v>2106</v>
      </c>
      <c r="V183" s="32" t="s">
        <v>1718</v>
      </c>
      <c r="W183" s="37" t="s">
        <v>5028</v>
      </c>
      <c r="X183" s="32" t="s">
        <v>4522</v>
      </c>
      <c r="Y183" s="32" t="s">
        <v>1718</v>
      </c>
      <c r="Z183" s="32" t="s">
        <v>1718</v>
      </c>
      <c r="AA183" s="32" t="s">
        <v>5028</v>
      </c>
      <c r="AB183" s="32" t="s">
        <v>1718</v>
      </c>
      <c r="AC183" s="32" t="s">
        <v>1718</v>
      </c>
      <c r="AD183" s="32" t="s">
        <v>1718</v>
      </c>
      <c r="AE183" s="32" t="s">
        <v>1718</v>
      </c>
      <c r="AF183" s="32" t="s">
        <v>1718</v>
      </c>
      <c r="AG183" s="32" t="s">
        <v>1718</v>
      </c>
      <c r="AH183" s="32" t="s">
        <v>2107</v>
      </c>
      <c r="AI183" s="12" t="s">
        <v>1477</v>
      </c>
      <c r="AJ183" s="12" t="s">
        <v>898</v>
      </c>
      <c r="AK183" s="12" t="s">
        <v>1101</v>
      </c>
      <c r="AL183" s="12">
        <v>76778993</v>
      </c>
      <c r="AM183" t="s">
        <v>1718</v>
      </c>
      <c r="AN183" t="s">
        <v>1718</v>
      </c>
      <c r="AO183" t="s">
        <v>1718</v>
      </c>
      <c r="AP183" t="s">
        <v>1718</v>
      </c>
      <c r="AQ183" t="s">
        <v>1718</v>
      </c>
      <c r="AR183" t="s">
        <v>1718</v>
      </c>
      <c r="AS183" t="s">
        <v>1718</v>
      </c>
      <c r="AT183" t="s">
        <v>1718</v>
      </c>
      <c r="AU183" t="s">
        <v>1718</v>
      </c>
      <c r="AV183" t="str">
        <f>VLOOKUP(D183,DATA_SISTEMA!$A$1:$Q$506,12,FALSE)</f>
        <v>LAMBAYEQUE</v>
      </c>
      <c r="AW183" t="str">
        <f>VLOOKUP(D183,DATA_SISTEMA!$A$1:$Q$506,11,FALSE)</f>
        <v>LAMBAYEQUE</v>
      </c>
      <c r="AX183" t="str">
        <f>VLOOKUP(D183,DATA_SISTEMA!$A$1:$Q$506,10,FALSE)</f>
        <v>LAMBAYEQUE</v>
      </c>
      <c r="AY183" t="s">
        <v>1718</v>
      </c>
      <c r="AZ183" t="s">
        <v>5028</v>
      </c>
      <c r="BA183" t="s">
        <v>1718</v>
      </c>
      <c r="BB183" t="s">
        <v>5028</v>
      </c>
      <c r="BC183" t="s">
        <v>1718</v>
      </c>
      <c r="BD183" t="s">
        <v>5028</v>
      </c>
      <c r="BE183" t="s">
        <v>1718</v>
      </c>
      <c r="BF183" s="34" t="s">
        <v>2104</v>
      </c>
      <c r="BG183" s="12">
        <v>66.599999999999994</v>
      </c>
    </row>
    <row r="184" spans="1:59" x14ac:dyDescent="0.25">
      <c r="A184" s="4">
        <v>183</v>
      </c>
      <c r="B184" s="33" t="s">
        <v>1719</v>
      </c>
      <c r="C184" s="12" t="s">
        <v>1902</v>
      </c>
      <c r="D184" s="44" t="s">
        <v>4704</v>
      </c>
      <c r="E184" s="12" t="s">
        <v>307</v>
      </c>
      <c r="F184" s="36" t="s">
        <v>1718</v>
      </c>
      <c r="G184" s="12">
        <v>929094355</v>
      </c>
      <c r="H184" t="str">
        <f>VLOOKUP(D184,DATA_SISTEMA!$A$1:$Q$506,13,FALSE)</f>
        <v>BUENOS AIRES #310,MANUEL GONZALES PRADA-FERREÑAFE</v>
      </c>
      <c r="I184" t="str">
        <f>VLOOKUP(D184,DATA_SISTEMA!$A$1:$Q$506,7,FALSE)</f>
        <v>1995-08-21</v>
      </c>
      <c r="J184" s="32" t="s">
        <v>1718</v>
      </c>
      <c r="K184" s="32" t="s">
        <v>1718</v>
      </c>
      <c r="L184" s="32" t="s">
        <v>1718</v>
      </c>
      <c r="M184">
        <v>318</v>
      </c>
      <c r="N184">
        <v>0</v>
      </c>
      <c r="O184" s="32" t="str">
        <f t="shared" si="2"/>
        <v>1830020261X</v>
      </c>
      <c r="P184" s="32" t="s">
        <v>1718</v>
      </c>
      <c r="Q184" s="32" t="s">
        <v>1718</v>
      </c>
      <c r="R184" s="32" t="s">
        <v>2110</v>
      </c>
      <c r="S184" s="32" t="s">
        <v>5033</v>
      </c>
      <c r="T184" t="str">
        <f>VLOOKUP(D184,DATA_SISTEMA!$A$1:$Q$506,9,FALSE)</f>
        <v>F</v>
      </c>
      <c r="U184" s="32" t="s">
        <v>2106</v>
      </c>
      <c r="V184" s="32" t="s">
        <v>1718</v>
      </c>
      <c r="W184" s="37" t="s">
        <v>5028</v>
      </c>
      <c r="X184" s="32" t="s">
        <v>4522</v>
      </c>
      <c r="Y184" s="32" t="s">
        <v>1718</v>
      </c>
      <c r="Z184" s="32" t="s">
        <v>1718</v>
      </c>
      <c r="AA184" s="32" t="s">
        <v>5028</v>
      </c>
      <c r="AB184" s="32" t="s">
        <v>1718</v>
      </c>
      <c r="AC184" s="32" t="s">
        <v>1718</v>
      </c>
      <c r="AD184" s="32" t="s">
        <v>1718</v>
      </c>
      <c r="AE184" s="32" t="s">
        <v>1718</v>
      </c>
      <c r="AF184" s="32" t="s">
        <v>1718</v>
      </c>
      <c r="AG184" s="32" t="s">
        <v>1718</v>
      </c>
      <c r="AH184" s="32" t="s">
        <v>2107</v>
      </c>
      <c r="AI184" s="12" t="s">
        <v>1478</v>
      </c>
      <c r="AJ184" s="12" t="s">
        <v>1102</v>
      </c>
      <c r="AK184" s="12" t="s">
        <v>1055</v>
      </c>
      <c r="AL184" s="12">
        <v>75984029</v>
      </c>
      <c r="AM184" t="s">
        <v>1718</v>
      </c>
      <c r="AN184" t="s">
        <v>1718</v>
      </c>
      <c r="AO184" t="s">
        <v>1718</v>
      </c>
      <c r="AP184" t="s">
        <v>1718</v>
      </c>
      <c r="AQ184" t="s">
        <v>1718</v>
      </c>
      <c r="AR184" t="s">
        <v>1718</v>
      </c>
      <c r="AS184" t="s">
        <v>1718</v>
      </c>
      <c r="AT184" t="s">
        <v>1718</v>
      </c>
      <c r="AU184" t="s">
        <v>1718</v>
      </c>
      <c r="AV184" t="str">
        <f>VLOOKUP(D184,DATA_SISTEMA!$A$1:$Q$506,12,FALSE)</f>
        <v>FERREÑAFE</v>
      </c>
      <c r="AW184" t="str">
        <f>VLOOKUP(D184,DATA_SISTEMA!$A$1:$Q$506,11,FALSE)</f>
        <v>FERREÑAFE</v>
      </c>
      <c r="AX184" t="str">
        <f>VLOOKUP(D184,DATA_SISTEMA!$A$1:$Q$506,10,FALSE)</f>
        <v>LAMBAYEQUE</v>
      </c>
      <c r="AY184" t="s">
        <v>1718</v>
      </c>
      <c r="AZ184" t="s">
        <v>5028</v>
      </c>
      <c r="BA184" t="s">
        <v>1718</v>
      </c>
      <c r="BB184" t="s">
        <v>5028</v>
      </c>
      <c r="BC184" t="s">
        <v>1718</v>
      </c>
      <c r="BD184" t="s">
        <v>5028</v>
      </c>
      <c r="BE184" t="s">
        <v>1718</v>
      </c>
      <c r="BF184" s="34" t="s">
        <v>2104</v>
      </c>
      <c r="BG184" s="12">
        <v>65.599999999999994</v>
      </c>
    </row>
    <row r="185" spans="1:59" x14ac:dyDescent="0.25">
      <c r="A185" s="4">
        <v>184</v>
      </c>
      <c r="B185" s="33" t="s">
        <v>1719</v>
      </c>
      <c r="C185" s="12" t="s">
        <v>1903</v>
      </c>
      <c r="D185" s="44" t="s">
        <v>4705</v>
      </c>
      <c r="E185" s="12" t="s">
        <v>309</v>
      </c>
      <c r="F185" s="36" t="s">
        <v>1718</v>
      </c>
      <c r="G185" s="12">
        <v>902725596</v>
      </c>
      <c r="H185" t="str">
        <f>VLOOKUP(D185,DATA_SISTEMA!$A$1:$Q$506,13,FALSE)</f>
        <v>BACA MATOS Y SAN ANTONIO</v>
      </c>
      <c r="I185" t="str">
        <f>VLOOKUP(D185,DATA_SISTEMA!$A$1:$Q$506,7,FALSE)</f>
        <v>1982-03-25</v>
      </c>
      <c r="J185" s="32" t="s">
        <v>1718</v>
      </c>
      <c r="K185" s="32" t="s">
        <v>1718</v>
      </c>
      <c r="L185" s="32" t="s">
        <v>1718</v>
      </c>
      <c r="M185">
        <v>318</v>
      </c>
      <c r="N185">
        <v>0</v>
      </c>
      <c r="O185" s="32" t="str">
        <f t="shared" si="2"/>
        <v>1840020261X</v>
      </c>
      <c r="P185" s="32" t="s">
        <v>1718</v>
      </c>
      <c r="Q185" s="32" t="s">
        <v>1718</v>
      </c>
      <c r="R185" s="32" t="s">
        <v>2110</v>
      </c>
      <c r="S185" s="32" t="s">
        <v>5033</v>
      </c>
      <c r="T185" t="str">
        <f>VLOOKUP(D185,DATA_SISTEMA!$A$1:$Q$506,9,FALSE)</f>
        <v>F</v>
      </c>
      <c r="U185" s="32" t="s">
        <v>2106</v>
      </c>
      <c r="V185" s="32" t="s">
        <v>1718</v>
      </c>
      <c r="W185" s="37" t="s">
        <v>5028</v>
      </c>
      <c r="X185" s="32" t="s">
        <v>4522</v>
      </c>
      <c r="Y185" s="32" t="s">
        <v>1718</v>
      </c>
      <c r="Z185" s="32" t="s">
        <v>1718</v>
      </c>
      <c r="AA185" s="32" t="s">
        <v>5028</v>
      </c>
      <c r="AB185" s="32" t="s">
        <v>1718</v>
      </c>
      <c r="AC185" s="32" t="s">
        <v>1718</v>
      </c>
      <c r="AD185" s="32" t="s">
        <v>1718</v>
      </c>
      <c r="AE185" s="32" t="s">
        <v>1718</v>
      </c>
      <c r="AF185" s="32" t="s">
        <v>1718</v>
      </c>
      <c r="AG185" s="32" t="s">
        <v>1718</v>
      </c>
      <c r="AH185" s="32" t="s">
        <v>2107</v>
      </c>
      <c r="AI185" s="12" t="s">
        <v>1479</v>
      </c>
      <c r="AJ185" s="12" t="s">
        <v>1103</v>
      </c>
      <c r="AK185" s="12" t="s">
        <v>1104</v>
      </c>
      <c r="AL185" s="12">
        <v>41575219</v>
      </c>
      <c r="AM185" t="s">
        <v>1718</v>
      </c>
      <c r="AN185" t="s">
        <v>1718</v>
      </c>
      <c r="AO185" t="s">
        <v>1718</v>
      </c>
      <c r="AP185" t="s">
        <v>1718</v>
      </c>
      <c r="AQ185" t="s">
        <v>1718</v>
      </c>
      <c r="AR185" t="s">
        <v>1718</v>
      </c>
      <c r="AS185" t="s">
        <v>1718</v>
      </c>
      <c r="AT185" t="s">
        <v>1718</v>
      </c>
      <c r="AU185" t="s">
        <v>1718</v>
      </c>
      <c r="AV185" t="str">
        <f>VLOOKUP(D185,DATA_SISTEMA!$A$1:$Q$506,12,FALSE)</f>
        <v>LAMBAYEQUE</v>
      </c>
      <c r="AW185" t="str">
        <f>VLOOKUP(D185,DATA_SISTEMA!$A$1:$Q$506,11,FALSE)</f>
        <v>LAMBAYEQUE</v>
      </c>
      <c r="AX185" t="str">
        <f>VLOOKUP(D185,DATA_SISTEMA!$A$1:$Q$506,10,FALSE)</f>
        <v>LAMBAYEQUE</v>
      </c>
      <c r="AY185" t="s">
        <v>1718</v>
      </c>
      <c r="AZ185" t="s">
        <v>5028</v>
      </c>
      <c r="BA185" t="s">
        <v>1718</v>
      </c>
      <c r="BB185" t="s">
        <v>5028</v>
      </c>
      <c r="BC185" t="s">
        <v>1718</v>
      </c>
      <c r="BD185" t="s">
        <v>5028</v>
      </c>
      <c r="BE185" t="s">
        <v>1718</v>
      </c>
      <c r="BF185" s="34" t="s">
        <v>2104</v>
      </c>
      <c r="BG185" s="12">
        <v>65.5</v>
      </c>
    </row>
    <row r="186" spans="1:59" x14ac:dyDescent="0.25">
      <c r="A186" s="4">
        <v>185</v>
      </c>
      <c r="B186" s="33" t="s">
        <v>1719</v>
      </c>
      <c r="C186" s="12" t="s">
        <v>1904</v>
      </c>
      <c r="D186" s="44" t="s">
        <v>4706</v>
      </c>
      <c r="E186" s="12" t="s">
        <v>311</v>
      </c>
      <c r="F186" s="36" t="s">
        <v>1718</v>
      </c>
      <c r="G186" s="12">
        <v>951044200</v>
      </c>
      <c r="H186" t="str">
        <f>VLOOKUP(D186,DATA_SISTEMA!$A$1:$Q$506,13,FALSE)</f>
        <v>AV. HUMBOLDT Y SAN CARLOS N°364</v>
      </c>
      <c r="I186" t="str">
        <f>VLOOKUP(D186,DATA_SISTEMA!$A$1:$Q$506,7,FALSE)</f>
        <v>1998-11-19</v>
      </c>
      <c r="J186" s="32" t="s">
        <v>1718</v>
      </c>
      <c r="K186" s="32" t="s">
        <v>1718</v>
      </c>
      <c r="L186" s="32" t="s">
        <v>1718</v>
      </c>
      <c r="M186">
        <v>318</v>
      </c>
      <c r="N186">
        <v>0</v>
      </c>
      <c r="O186" s="32" t="str">
        <f t="shared" si="2"/>
        <v>1850020261X</v>
      </c>
      <c r="P186" s="32" t="s">
        <v>1718</v>
      </c>
      <c r="Q186" s="32" t="s">
        <v>1718</v>
      </c>
      <c r="R186" s="32" t="s">
        <v>2110</v>
      </c>
      <c r="S186" s="32" t="s">
        <v>5033</v>
      </c>
      <c r="T186" t="str">
        <f>VLOOKUP(D186,DATA_SISTEMA!$A$1:$Q$506,9,FALSE)</f>
        <v>F</v>
      </c>
      <c r="U186" s="32" t="s">
        <v>2106</v>
      </c>
      <c r="V186" s="32" t="s">
        <v>1718</v>
      </c>
      <c r="W186" s="37" t="s">
        <v>5028</v>
      </c>
      <c r="X186" s="32" t="s">
        <v>4522</v>
      </c>
      <c r="Y186" s="32" t="s">
        <v>1718</v>
      </c>
      <c r="Z186" s="32" t="s">
        <v>1718</v>
      </c>
      <c r="AA186" s="32" t="s">
        <v>5028</v>
      </c>
      <c r="AB186" s="32" t="s">
        <v>1718</v>
      </c>
      <c r="AC186" s="32" t="s">
        <v>1718</v>
      </c>
      <c r="AD186" s="32" t="s">
        <v>1718</v>
      </c>
      <c r="AE186" s="32" t="s">
        <v>1718</v>
      </c>
      <c r="AF186" s="32" t="s">
        <v>1718</v>
      </c>
      <c r="AG186" s="32" t="s">
        <v>1718</v>
      </c>
      <c r="AH186" s="32" t="s">
        <v>2107</v>
      </c>
      <c r="AI186" s="12" t="s">
        <v>1480</v>
      </c>
      <c r="AJ186" s="12" t="s">
        <v>861</v>
      </c>
      <c r="AK186" s="12" t="s">
        <v>1105</v>
      </c>
      <c r="AL186" s="12">
        <v>71789940</v>
      </c>
      <c r="AM186" t="s">
        <v>1718</v>
      </c>
      <c r="AN186" t="s">
        <v>1718</v>
      </c>
      <c r="AO186" t="s">
        <v>1718</v>
      </c>
      <c r="AP186" t="s">
        <v>1718</v>
      </c>
      <c r="AQ186" t="s">
        <v>1718</v>
      </c>
      <c r="AR186" t="s">
        <v>1718</v>
      </c>
      <c r="AS186" t="s">
        <v>1718</v>
      </c>
      <c r="AT186" t="s">
        <v>1718</v>
      </c>
      <c r="AU186" t="s">
        <v>1718</v>
      </c>
      <c r="AV186" t="str">
        <f>VLOOKUP(D186,DATA_SISTEMA!$A$1:$Q$506,12,FALSE)</f>
        <v>CHICLAYO</v>
      </c>
      <c r="AW186" t="str">
        <f>VLOOKUP(D186,DATA_SISTEMA!$A$1:$Q$506,11,FALSE)</f>
        <v>CHICLAYO</v>
      </c>
      <c r="AX186" t="str">
        <f>VLOOKUP(D186,DATA_SISTEMA!$A$1:$Q$506,10,FALSE)</f>
        <v>LAMBAYEQUE</v>
      </c>
      <c r="AY186" t="s">
        <v>1718</v>
      </c>
      <c r="AZ186" t="s">
        <v>5028</v>
      </c>
      <c r="BA186" t="s">
        <v>1718</v>
      </c>
      <c r="BB186" t="s">
        <v>5028</v>
      </c>
      <c r="BC186" t="s">
        <v>1718</v>
      </c>
      <c r="BD186" t="s">
        <v>5028</v>
      </c>
      <c r="BE186" t="s">
        <v>1718</v>
      </c>
      <c r="BF186" s="34" t="s">
        <v>2104</v>
      </c>
      <c r="BG186" s="12">
        <v>65.400000000000006</v>
      </c>
    </row>
    <row r="187" spans="1:59" x14ac:dyDescent="0.25">
      <c r="A187" s="4">
        <v>186</v>
      </c>
      <c r="B187" s="33" t="s">
        <v>1719</v>
      </c>
      <c r="C187" s="12" t="s">
        <v>1905</v>
      </c>
      <c r="D187" s="44" t="s">
        <v>4707</v>
      </c>
      <c r="E187" s="12" t="s">
        <v>313</v>
      </c>
      <c r="F187" s="36" t="s">
        <v>1718</v>
      </c>
      <c r="G187" s="12">
        <v>973327717</v>
      </c>
      <c r="H187" t="str">
        <f>VLOOKUP(D187,DATA_SISTEMA!$A$1:$Q$506,13,FALSE)</f>
        <v>AV. JULIO FERNANDEZ DE LA OLIVA MZ 11 LT26 - AMPLIACIÓN FANNY ABANTO</v>
      </c>
      <c r="I187" t="str">
        <f>VLOOKUP(D187,DATA_SISTEMA!$A$1:$Q$506,7,FALSE)</f>
        <v>1997-10-17</v>
      </c>
      <c r="J187" s="32" t="s">
        <v>1718</v>
      </c>
      <c r="K187" s="32" t="s">
        <v>1718</v>
      </c>
      <c r="L187" s="32" t="s">
        <v>1718</v>
      </c>
      <c r="M187">
        <v>318</v>
      </c>
      <c r="N187">
        <v>0</v>
      </c>
      <c r="O187" s="32" t="str">
        <f t="shared" si="2"/>
        <v>1860020261X</v>
      </c>
      <c r="P187" s="32" t="s">
        <v>1718</v>
      </c>
      <c r="Q187" s="32" t="s">
        <v>1718</v>
      </c>
      <c r="R187" s="32" t="s">
        <v>2110</v>
      </c>
      <c r="S187" s="32" t="s">
        <v>5033</v>
      </c>
      <c r="T187" t="str">
        <f>VLOOKUP(D187,DATA_SISTEMA!$A$1:$Q$506,9,FALSE)</f>
        <v>M</v>
      </c>
      <c r="U187" s="32" t="s">
        <v>2106</v>
      </c>
      <c r="V187" s="32" t="s">
        <v>1718</v>
      </c>
      <c r="W187" s="37" t="s">
        <v>5028</v>
      </c>
      <c r="X187" s="32" t="s">
        <v>4522</v>
      </c>
      <c r="Y187" s="32" t="s">
        <v>1718</v>
      </c>
      <c r="Z187" s="32" t="s">
        <v>1718</v>
      </c>
      <c r="AA187" s="32" t="s">
        <v>5028</v>
      </c>
      <c r="AB187" s="32" t="s">
        <v>1718</v>
      </c>
      <c r="AC187" s="32" t="s">
        <v>1718</v>
      </c>
      <c r="AD187" s="32" t="s">
        <v>1718</v>
      </c>
      <c r="AE187" s="32" t="s">
        <v>1718</v>
      </c>
      <c r="AF187" s="32" t="s">
        <v>1718</v>
      </c>
      <c r="AG187" s="32" t="s">
        <v>1718</v>
      </c>
      <c r="AH187" s="32" t="s">
        <v>2107</v>
      </c>
      <c r="AI187" s="12" t="s">
        <v>1481</v>
      </c>
      <c r="AJ187" s="12" t="s">
        <v>1084</v>
      </c>
      <c r="AK187" s="12" t="s">
        <v>965</v>
      </c>
      <c r="AL187" s="12">
        <v>75754825</v>
      </c>
      <c r="AM187" t="s">
        <v>1718</v>
      </c>
      <c r="AN187" t="s">
        <v>1718</v>
      </c>
      <c r="AO187" t="s">
        <v>1718</v>
      </c>
      <c r="AP187" t="s">
        <v>1718</v>
      </c>
      <c r="AQ187" t="s">
        <v>1718</v>
      </c>
      <c r="AR187" t="s">
        <v>1718</v>
      </c>
      <c r="AS187" t="s">
        <v>1718</v>
      </c>
      <c r="AT187" t="s">
        <v>1718</v>
      </c>
      <c r="AU187" t="s">
        <v>1718</v>
      </c>
      <c r="AV187" t="str">
        <f>VLOOKUP(D187,DATA_SISTEMA!$A$1:$Q$506,12,FALSE)</f>
        <v>CHICLAYO</v>
      </c>
      <c r="AW187" t="str">
        <f>VLOOKUP(D187,DATA_SISTEMA!$A$1:$Q$506,11,FALSE)</f>
        <v>CHICLAYO</v>
      </c>
      <c r="AX187" t="str">
        <f>VLOOKUP(D187,DATA_SISTEMA!$A$1:$Q$506,10,FALSE)</f>
        <v>LAMBAYEQUE</v>
      </c>
      <c r="AY187" t="s">
        <v>1718</v>
      </c>
      <c r="AZ187" t="s">
        <v>5028</v>
      </c>
      <c r="BA187" t="s">
        <v>1718</v>
      </c>
      <c r="BB187" t="s">
        <v>5028</v>
      </c>
      <c r="BC187" t="s">
        <v>1718</v>
      </c>
      <c r="BD187" t="s">
        <v>5028</v>
      </c>
      <c r="BE187" t="s">
        <v>1718</v>
      </c>
      <c r="BF187" s="34" t="s">
        <v>2104</v>
      </c>
      <c r="BG187" s="12">
        <v>65.2</v>
      </c>
    </row>
    <row r="188" spans="1:59" x14ac:dyDescent="0.25">
      <c r="A188" s="4">
        <v>187</v>
      </c>
      <c r="B188" s="33" t="s">
        <v>1719</v>
      </c>
      <c r="C188" s="12" t="s">
        <v>1906</v>
      </c>
      <c r="D188" s="44" t="s">
        <v>4708</v>
      </c>
      <c r="E188" s="12" t="s">
        <v>315</v>
      </c>
      <c r="F188" s="36" t="s">
        <v>1718</v>
      </c>
      <c r="G188" s="12">
        <v>934671979</v>
      </c>
      <c r="H188" t="str">
        <f>VLOOKUP(D188,DATA_SISTEMA!$A$1:$Q$506,13,FALSE)</f>
        <v>CALLE MADRE DE DIOS N°508</v>
      </c>
      <c r="I188" t="str">
        <f>VLOOKUP(D188,DATA_SISTEMA!$A$1:$Q$506,7,FALSE)</f>
        <v>1996-03-31</v>
      </c>
      <c r="J188" s="32" t="s">
        <v>1718</v>
      </c>
      <c r="K188" s="32" t="s">
        <v>1718</v>
      </c>
      <c r="L188" s="32" t="s">
        <v>1718</v>
      </c>
      <c r="M188">
        <v>318</v>
      </c>
      <c r="N188">
        <v>0</v>
      </c>
      <c r="O188" s="32" t="str">
        <f t="shared" si="2"/>
        <v>1870020261X</v>
      </c>
      <c r="P188" s="32" t="s">
        <v>1718</v>
      </c>
      <c r="Q188" s="32" t="s">
        <v>1718</v>
      </c>
      <c r="R188" s="32" t="s">
        <v>2110</v>
      </c>
      <c r="S188" s="32" t="s">
        <v>5033</v>
      </c>
      <c r="T188" t="str">
        <f>VLOOKUP(D188,DATA_SISTEMA!$A$1:$Q$506,9,FALSE)</f>
        <v>M</v>
      </c>
      <c r="U188" s="32" t="s">
        <v>2106</v>
      </c>
      <c r="V188" s="32" t="s">
        <v>1718</v>
      </c>
      <c r="W188" s="37" t="s">
        <v>5028</v>
      </c>
      <c r="X188" s="32" t="s">
        <v>4522</v>
      </c>
      <c r="Y188" s="32" t="s">
        <v>1718</v>
      </c>
      <c r="Z188" s="32" t="s">
        <v>1718</v>
      </c>
      <c r="AA188" s="32" t="s">
        <v>5028</v>
      </c>
      <c r="AB188" s="32" t="s">
        <v>1718</v>
      </c>
      <c r="AC188" s="32" t="s">
        <v>1718</v>
      </c>
      <c r="AD188" s="32" t="s">
        <v>1718</v>
      </c>
      <c r="AE188" s="32" t="s">
        <v>1718</v>
      </c>
      <c r="AF188" s="32" t="s">
        <v>1718</v>
      </c>
      <c r="AG188" s="32" t="s">
        <v>1718</v>
      </c>
      <c r="AH188" s="32" t="s">
        <v>2107</v>
      </c>
      <c r="AI188" s="12" t="s">
        <v>1482</v>
      </c>
      <c r="AJ188" s="12" t="s">
        <v>989</v>
      </c>
      <c r="AK188" s="12" t="s">
        <v>877</v>
      </c>
      <c r="AL188" s="12">
        <v>72367013</v>
      </c>
      <c r="AM188" t="s">
        <v>1718</v>
      </c>
      <c r="AN188" t="s">
        <v>1718</v>
      </c>
      <c r="AO188" t="s">
        <v>1718</v>
      </c>
      <c r="AP188" t="s">
        <v>1718</v>
      </c>
      <c r="AQ188" t="s">
        <v>1718</v>
      </c>
      <c r="AR188" t="s">
        <v>1718</v>
      </c>
      <c r="AS188" t="s">
        <v>1718</v>
      </c>
      <c r="AT188" t="s">
        <v>1718</v>
      </c>
      <c r="AU188" t="s">
        <v>1718</v>
      </c>
      <c r="AV188" t="str">
        <f>VLOOKUP(D188,DATA_SISTEMA!$A$1:$Q$506,12,FALSE)</f>
        <v>BELLAVISTA</v>
      </c>
      <c r="AW188" t="str">
        <f>VLOOKUP(D188,DATA_SISTEMA!$A$1:$Q$506,11,FALSE)</f>
        <v>SULLANA</v>
      </c>
      <c r="AX188" t="str">
        <f>VLOOKUP(D188,DATA_SISTEMA!$A$1:$Q$506,10,FALSE)</f>
        <v>PIURA</v>
      </c>
      <c r="AY188" t="s">
        <v>1718</v>
      </c>
      <c r="AZ188" t="s">
        <v>5028</v>
      </c>
      <c r="BA188" t="s">
        <v>1718</v>
      </c>
      <c r="BB188" t="s">
        <v>5028</v>
      </c>
      <c r="BC188" t="s">
        <v>1718</v>
      </c>
      <c r="BD188" t="s">
        <v>5028</v>
      </c>
      <c r="BE188" t="s">
        <v>1718</v>
      </c>
      <c r="BF188" s="34" t="s">
        <v>2104</v>
      </c>
      <c r="BG188" s="12">
        <v>64.5</v>
      </c>
    </row>
    <row r="189" spans="1:59" x14ac:dyDescent="0.25">
      <c r="A189" s="4">
        <v>188</v>
      </c>
      <c r="B189" s="33" t="s">
        <v>1719</v>
      </c>
      <c r="C189" s="12" t="s">
        <v>1907</v>
      </c>
      <c r="D189" s="44" t="s">
        <v>4709</v>
      </c>
      <c r="E189" s="12" t="s">
        <v>317</v>
      </c>
      <c r="F189" s="36" t="s">
        <v>1718</v>
      </c>
      <c r="G189" s="12">
        <v>961586454</v>
      </c>
      <c r="H189" t="str">
        <f>VLOOKUP(D189,DATA_SISTEMA!$A$1:$Q$506,13,FALSE)</f>
        <v>MANUEL C. BONILLA #476</v>
      </c>
      <c r="I189" t="str">
        <f>VLOOKUP(D189,DATA_SISTEMA!$A$1:$Q$506,7,FALSE)</f>
        <v>1994-02-05</v>
      </c>
      <c r="J189" s="32" t="s">
        <v>1718</v>
      </c>
      <c r="K189" s="32" t="s">
        <v>1718</v>
      </c>
      <c r="L189" s="32" t="s">
        <v>1718</v>
      </c>
      <c r="M189">
        <v>318</v>
      </c>
      <c r="N189">
        <v>0</v>
      </c>
      <c r="O189" s="32" t="str">
        <f t="shared" si="2"/>
        <v>1880020261X</v>
      </c>
      <c r="P189" s="32" t="s">
        <v>1718</v>
      </c>
      <c r="Q189" s="32" t="s">
        <v>1718</v>
      </c>
      <c r="R189" s="32" t="s">
        <v>2110</v>
      </c>
      <c r="S189" s="32" t="s">
        <v>5033</v>
      </c>
      <c r="T189" t="str">
        <f>VLOOKUP(D189,DATA_SISTEMA!$A$1:$Q$506,9,FALSE)</f>
        <v>F</v>
      </c>
      <c r="U189" s="32" t="s">
        <v>2106</v>
      </c>
      <c r="V189" s="32" t="s">
        <v>1718</v>
      </c>
      <c r="W189" s="37" t="s">
        <v>5028</v>
      </c>
      <c r="X189" s="32" t="s">
        <v>4522</v>
      </c>
      <c r="Y189" s="32" t="s">
        <v>1718</v>
      </c>
      <c r="Z189" s="32" t="s">
        <v>1718</v>
      </c>
      <c r="AA189" s="32" t="s">
        <v>5028</v>
      </c>
      <c r="AB189" s="32" t="s">
        <v>1718</v>
      </c>
      <c r="AC189" s="32" t="s">
        <v>1718</v>
      </c>
      <c r="AD189" s="32" t="s">
        <v>1718</v>
      </c>
      <c r="AE189" s="32" t="s">
        <v>1718</v>
      </c>
      <c r="AF189" s="32" t="s">
        <v>1718</v>
      </c>
      <c r="AG189" s="32" t="s">
        <v>1718</v>
      </c>
      <c r="AH189" s="32" t="s">
        <v>2107</v>
      </c>
      <c r="AI189" s="12" t="s">
        <v>1483</v>
      </c>
      <c r="AJ189" s="12" t="s">
        <v>1106</v>
      </c>
      <c r="AK189" s="12" t="s">
        <v>1107</v>
      </c>
      <c r="AL189" s="12">
        <v>48093786</v>
      </c>
      <c r="AM189" t="s">
        <v>1718</v>
      </c>
      <c r="AN189" t="s">
        <v>1718</v>
      </c>
      <c r="AO189" t="s">
        <v>1718</v>
      </c>
      <c r="AP189" t="s">
        <v>1718</v>
      </c>
      <c r="AQ189" t="s">
        <v>1718</v>
      </c>
      <c r="AR189" t="s">
        <v>1718</v>
      </c>
      <c r="AS189" t="s">
        <v>1718</v>
      </c>
      <c r="AT189" t="s">
        <v>1718</v>
      </c>
      <c r="AU189" t="s">
        <v>1718</v>
      </c>
      <c r="AV189" t="str">
        <f>VLOOKUP(D189,DATA_SISTEMA!$A$1:$Q$506,12,FALSE)</f>
        <v>ETEN</v>
      </c>
      <c r="AW189" t="str">
        <f>VLOOKUP(D189,DATA_SISTEMA!$A$1:$Q$506,11,FALSE)</f>
        <v>CHICLAYO</v>
      </c>
      <c r="AX189" t="str">
        <f>VLOOKUP(D189,DATA_SISTEMA!$A$1:$Q$506,10,FALSE)</f>
        <v>LAMBAYEQUE</v>
      </c>
      <c r="AY189" t="s">
        <v>1718</v>
      </c>
      <c r="AZ189" t="s">
        <v>5028</v>
      </c>
      <c r="BA189" t="s">
        <v>1718</v>
      </c>
      <c r="BB189" t="s">
        <v>5028</v>
      </c>
      <c r="BC189" t="s">
        <v>1718</v>
      </c>
      <c r="BD189" t="s">
        <v>5028</v>
      </c>
      <c r="BE189" t="s">
        <v>1718</v>
      </c>
      <c r="BF189" s="34" t="s">
        <v>2104</v>
      </c>
      <c r="BG189" s="12">
        <v>64.400000000000006</v>
      </c>
    </row>
    <row r="190" spans="1:59" x14ac:dyDescent="0.25">
      <c r="A190" s="4">
        <v>189</v>
      </c>
      <c r="B190" s="33" t="s">
        <v>1719</v>
      </c>
      <c r="C190" s="12" t="s">
        <v>1908</v>
      </c>
      <c r="D190" s="44" t="s">
        <v>4710</v>
      </c>
      <c r="E190" s="12" t="s">
        <v>319</v>
      </c>
      <c r="F190" s="36" t="s">
        <v>1718</v>
      </c>
      <c r="G190" s="12">
        <v>941864115</v>
      </c>
      <c r="H190" t="str">
        <f>VLOOKUP(D190,DATA_SISTEMA!$A$1:$Q$506,13,FALSE)</f>
        <v>CALLE LA BETANIA 551</v>
      </c>
      <c r="I190" t="str">
        <f>VLOOKUP(D190,DATA_SISTEMA!$A$1:$Q$506,7,FALSE)</f>
        <v>1970-08-18</v>
      </c>
      <c r="J190" s="32" t="s">
        <v>1718</v>
      </c>
      <c r="K190" s="32" t="s">
        <v>1718</v>
      </c>
      <c r="L190" s="32" t="s">
        <v>1718</v>
      </c>
      <c r="M190">
        <v>318</v>
      </c>
      <c r="N190">
        <v>0</v>
      </c>
      <c r="O190" s="32" t="str">
        <f t="shared" si="2"/>
        <v>1890020261X</v>
      </c>
      <c r="P190" s="32" t="s">
        <v>1718</v>
      </c>
      <c r="Q190" s="32" t="s">
        <v>1718</v>
      </c>
      <c r="R190" s="32" t="s">
        <v>2110</v>
      </c>
      <c r="S190" s="32" t="s">
        <v>5033</v>
      </c>
      <c r="T190" t="str">
        <f>VLOOKUP(D190,DATA_SISTEMA!$A$1:$Q$506,9,FALSE)</f>
        <v>M</v>
      </c>
      <c r="U190" s="32" t="s">
        <v>2106</v>
      </c>
      <c r="V190" s="32" t="s">
        <v>1718</v>
      </c>
      <c r="W190" s="37" t="s">
        <v>5028</v>
      </c>
      <c r="X190" s="32" t="s">
        <v>4522</v>
      </c>
      <c r="Y190" s="32" t="s">
        <v>1718</v>
      </c>
      <c r="Z190" s="32" t="s">
        <v>1718</v>
      </c>
      <c r="AA190" s="32" t="s">
        <v>5028</v>
      </c>
      <c r="AB190" s="32" t="s">
        <v>1718</v>
      </c>
      <c r="AC190" s="32" t="s">
        <v>1718</v>
      </c>
      <c r="AD190" s="32" t="s">
        <v>1718</v>
      </c>
      <c r="AE190" s="32" t="s">
        <v>1718</v>
      </c>
      <c r="AF190" s="32" t="s">
        <v>1718</v>
      </c>
      <c r="AG190" s="32" t="s">
        <v>1718</v>
      </c>
      <c r="AH190" s="32" t="s">
        <v>2107</v>
      </c>
      <c r="AI190" s="12" t="s">
        <v>1484</v>
      </c>
      <c r="AJ190" s="12" t="s">
        <v>1108</v>
      </c>
      <c r="AK190" s="12" t="s">
        <v>1109</v>
      </c>
      <c r="AL190" s="12">
        <v>10429599</v>
      </c>
      <c r="AM190" t="s">
        <v>1718</v>
      </c>
      <c r="AN190" t="s">
        <v>1718</v>
      </c>
      <c r="AO190" t="s">
        <v>1718</v>
      </c>
      <c r="AP190" t="s">
        <v>1718</v>
      </c>
      <c r="AQ190" t="s">
        <v>1718</v>
      </c>
      <c r="AR190" t="s">
        <v>1718</v>
      </c>
      <c r="AS190" t="s">
        <v>1718</v>
      </c>
      <c r="AT190" t="s">
        <v>1718</v>
      </c>
      <c r="AU190" t="s">
        <v>1718</v>
      </c>
      <c r="AV190" t="str">
        <f>VLOOKUP(D190,DATA_SISTEMA!$A$1:$Q$506,12,FALSE)</f>
        <v>JAEN</v>
      </c>
      <c r="AW190" t="str">
        <f>VLOOKUP(D190,DATA_SISTEMA!$A$1:$Q$506,11,FALSE)</f>
        <v>JAEN</v>
      </c>
      <c r="AX190" t="str">
        <f>VLOOKUP(D190,DATA_SISTEMA!$A$1:$Q$506,10,FALSE)</f>
        <v>CAJAMARCA</v>
      </c>
      <c r="AY190" t="s">
        <v>1718</v>
      </c>
      <c r="AZ190" t="s">
        <v>5028</v>
      </c>
      <c r="BA190" t="s">
        <v>1718</v>
      </c>
      <c r="BB190" t="s">
        <v>5028</v>
      </c>
      <c r="BC190" t="s">
        <v>1718</v>
      </c>
      <c r="BD190" t="s">
        <v>5028</v>
      </c>
      <c r="BE190" t="s">
        <v>1718</v>
      </c>
      <c r="BF190" s="34" t="s">
        <v>2104</v>
      </c>
      <c r="BG190" s="12">
        <v>64.3</v>
      </c>
    </row>
    <row r="191" spans="1:59" x14ac:dyDescent="0.25">
      <c r="A191" s="4">
        <v>190</v>
      </c>
      <c r="B191" s="33" t="s">
        <v>1719</v>
      </c>
      <c r="C191" s="12" t="s">
        <v>1909</v>
      </c>
      <c r="D191" s="44" t="s">
        <v>4711</v>
      </c>
      <c r="E191" s="12" t="s">
        <v>321</v>
      </c>
      <c r="F191" s="36" t="s">
        <v>1718</v>
      </c>
      <c r="G191" s="12">
        <v>966328486</v>
      </c>
      <c r="H191" t="str">
        <f>VLOOKUP(D191,DATA_SISTEMA!$A$1:$Q$506,13,FALSE)</f>
        <v>CAPITAN QUIÑONES 342</v>
      </c>
      <c r="I191" t="str">
        <f>VLOOKUP(D191,DATA_SISTEMA!$A$1:$Q$506,7,FALSE)</f>
        <v>1979-10-01</v>
      </c>
      <c r="J191" s="32" t="s">
        <v>1718</v>
      </c>
      <c r="K191" s="32" t="s">
        <v>1718</v>
      </c>
      <c r="L191" s="32" t="s">
        <v>1718</v>
      </c>
      <c r="M191">
        <v>318</v>
      </c>
      <c r="N191">
        <v>0</v>
      </c>
      <c r="O191" s="32" t="str">
        <f t="shared" si="2"/>
        <v>1900020261X</v>
      </c>
      <c r="P191" s="32" t="s">
        <v>1718</v>
      </c>
      <c r="Q191" s="32" t="s">
        <v>1718</v>
      </c>
      <c r="R191" s="32" t="s">
        <v>2110</v>
      </c>
      <c r="S191" s="32" t="s">
        <v>5033</v>
      </c>
      <c r="T191" t="str">
        <f>VLOOKUP(D191,DATA_SISTEMA!$A$1:$Q$506,9,FALSE)</f>
        <v>M</v>
      </c>
      <c r="U191" s="32" t="s">
        <v>2106</v>
      </c>
      <c r="V191" s="32" t="s">
        <v>1718</v>
      </c>
      <c r="W191" s="37" t="s">
        <v>5028</v>
      </c>
      <c r="X191" s="32" t="s">
        <v>4522</v>
      </c>
      <c r="Y191" s="32" t="s">
        <v>1718</v>
      </c>
      <c r="Z191" s="32" t="s">
        <v>1718</v>
      </c>
      <c r="AA191" s="32" t="s">
        <v>5028</v>
      </c>
      <c r="AB191" s="32" t="s">
        <v>1718</v>
      </c>
      <c r="AC191" s="32" t="s">
        <v>1718</v>
      </c>
      <c r="AD191" s="32" t="s">
        <v>1718</v>
      </c>
      <c r="AE191" s="32" t="s">
        <v>1718</v>
      </c>
      <c r="AF191" s="32" t="s">
        <v>1718</v>
      </c>
      <c r="AG191" s="32" t="s">
        <v>1718</v>
      </c>
      <c r="AH191" s="32" t="s">
        <v>2107</v>
      </c>
      <c r="AI191" s="12" t="s">
        <v>1485</v>
      </c>
      <c r="AJ191" s="12" t="s">
        <v>1110</v>
      </c>
      <c r="AK191" s="12" t="s">
        <v>900</v>
      </c>
      <c r="AL191" s="12">
        <v>80518197</v>
      </c>
      <c r="AM191" t="s">
        <v>1718</v>
      </c>
      <c r="AN191" t="s">
        <v>1718</v>
      </c>
      <c r="AO191" t="s">
        <v>1718</v>
      </c>
      <c r="AP191" t="s">
        <v>1718</v>
      </c>
      <c r="AQ191" t="s">
        <v>1718</v>
      </c>
      <c r="AR191" t="s">
        <v>1718</v>
      </c>
      <c r="AS191" t="s">
        <v>1718</v>
      </c>
      <c r="AT191" t="s">
        <v>1718</v>
      </c>
      <c r="AU191" t="s">
        <v>1718</v>
      </c>
      <c r="AV191" t="str">
        <f>VLOOKUP(D191,DATA_SISTEMA!$A$1:$Q$506,12,FALSE)</f>
        <v>JAEN</v>
      </c>
      <c r="AW191" t="str">
        <f>VLOOKUP(D191,DATA_SISTEMA!$A$1:$Q$506,11,FALSE)</f>
        <v>JAEN</v>
      </c>
      <c r="AX191" t="str">
        <f>VLOOKUP(D191,DATA_SISTEMA!$A$1:$Q$506,10,FALSE)</f>
        <v>CAJAMARCA</v>
      </c>
      <c r="AY191" t="s">
        <v>1718</v>
      </c>
      <c r="AZ191" t="s">
        <v>5028</v>
      </c>
      <c r="BA191" t="s">
        <v>1718</v>
      </c>
      <c r="BB191" t="s">
        <v>5028</v>
      </c>
      <c r="BC191" t="s">
        <v>1718</v>
      </c>
      <c r="BD191" t="s">
        <v>5028</v>
      </c>
      <c r="BE191" t="s">
        <v>1718</v>
      </c>
      <c r="BF191" s="34" t="s">
        <v>2104</v>
      </c>
      <c r="BG191" s="12">
        <v>64</v>
      </c>
    </row>
    <row r="192" spans="1:59" x14ac:dyDescent="0.25">
      <c r="A192" s="4">
        <v>191</v>
      </c>
      <c r="B192" s="33" t="s">
        <v>1719</v>
      </c>
      <c r="C192" s="12" t="s">
        <v>1910</v>
      </c>
      <c r="D192" s="44" t="s">
        <v>4712</v>
      </c>
      <c r="E192" s="12" t="s">
        <v>323</v>
      </c>
      <c r="F192" s="36" t="s">
        <v>1718</v>
      </c>
      <c r="G192" s="12">
        <v>984524804</v>
      </c>
      <c r="H192" t="str">
        <f>VLOOKUP(D192,DATA_SISTEMA!$A$1:$Q$506,13,FALSE)</f>
        <v>CALLE15, MZN5LOTE 9</v>
      </c>
      <c r="I192" t="str">
        <f>VLOOKUP(D192,DATA_SISTEMA!$A$1:$Q$506,7,FALSE)</f>
        <v>1986-12-08</v>
      </c>
      <c r="J192" s="32" t="s">
        <v>1718</v>
      </c>
      <c r="K192" s="32" t="s">
        <v>1718</v>
      </c>
      <c r="L192" s="32" t="s">
        <v>1718</v>
      </c>
      <c r="M192">
        <v>318</v>
      </c>
      <c r="N192">
        <v>0</v>
      </c>
      <c r="O192" s="32" t="str">
        <f t="shared" si="2"/>
        <v>1910020261X</v>
      </c>
      <c r="P192" s="32" t="s">
        <v>1718</v>
      </c>
      <c r="Q192" s="32" t="s">
        <v>1718</v>
      </c>
      <c r="R192" s="32" t="s">
        <v>2110</v>
      </c>
      <c r="S192" s="32" t="s">
        <v>5033</v>
      </c>
      <c r="T192" t="str">
        <f>VLOOKUP(D192,DATA_SISTEMA!$A$1:$Q$506,9,FALSE)</f>
        <v>F</v>
      </c>
      <c r="U192" s="32" t="s">
        <v>2106</v>
      </c>
      <c r="V192" s="32" t="s">
        <v>1718</v>
      </c>
      <c r="W192" s="37" t="s">
        <v>5028</v>
      </c>
      <c r="X192" s="32" t="s">
        <v>4522</v>
      </c>
      <c r="Y192" s="32" t="s">
        <v>1718</v>
      </c>
      <c r="Z192" s="32" t="s">
        <v>1718</v>
      </c>
      <c r="AA192" s="32" t="s">
        <v>5028</v>
      </c>
      <c r="AB192" s="32" t="s">
        <v>1718</v>
      </c>
      <c r="AC192" s="32" t="s">
        <v>1718</v>
      </c>
      <c r="AD192" s="32" t="s">
        <v>1718</v>
      </c>
      <c r="AE192" s="32" t="s">
        <v>1718</v>
      </c>
      <c r="AF192" s="32" t="s">
        <v>1718</v>
      </c>
      <c r="AG192" s="32" t="s">
        <v>1718</v>
      </c>
      <c r="AH192" s="32" t="s">
        <v>2107</v>
      </c>
      <c r="AI192" s="12" t="s">
        <v>1486</v>
      </c>
      <c r="AJ192" s="12" t="s">
        <v>1111</v>
      </c>
      <c r="AK192" s="12" t="s">
        <v>979</v>
      </c>
      <c r="AL192" s="12">
        <v>44807764</v>
      </c>
      <c r="AM192" t="s">
        <v>1718</v>
      </c>
      <c r="AN192" t="s">
        <v>1718</v>
      </c>
      <c r="AO192" t="s">
        <v>1718</v>
      </c>
      <c r="AP192" t="s">
        <v>1718</v>
      </c>
      <c r="AQ192" t="s">
        <v>1718</v>
      </c>
      <c r="AR192" t="s">
        <v>1718</v>
      </c>
      <c r="AS192" t="s">
        <v>1718</v>
      </c>
      <c r="AT192" t="s">
        <v>1718</v>
      </c>
      <c r="AU192" t="s">
        <v>1718</v>
      </c>
      <c r="AV192" t="str">
        <f>VLOOKUP(D192,DATA_SISTEMA!$A$1:$Q$506,12,FALSE)</f>
        <v>OCALLI</v>
      </c>
      <c r="AW192" t="str">
        <f>VLOOKUP(D192,DATA_SISTEMA!$A$1:$Q$506,11,FALSE)</f>
        <v>LUYA</v>
      </c>
      <c r="AX192" t="str">
        <f>VLOOKUP(D192,DATA_SISTEMA!$A$1:$Q$506,10,FALSE)</f>
        <v>AMAZONAS</v>
      </c>
      <c r="AY192" t="s">
        <v>1718</v>
      </c>
      <c r="AZ192" t="s">
        <v>5028</v>
      </c>
      <c r="BA192" t="s">
        <v>1718</v>
      </c>
      <c r="BB192" t="s">
        <v>5028</v>
      </c>
      <c r="BC192" t="s">
        <v>1718</v>
      </c>
      <c r="BD192" t="s">
        <v>5028</v>
      </c>
      <c r="BE192" t="s">
        <v>1718</v>
      </c>
      <c r="BF192" s="34" t="s">
        <v>2104</v>
      </c>
      <c r="BG192" s="12">
        <v>63.4</v>
      </c>
    </row>
    <row r="193" spans="1:59" x14ac:dyDescent="0.25">
      <c r="A193" s="4">
        <v>192</v>
      </c>
      <c r="B193" s="33" t="s">
        <v>1719</v>
      </c>
      <c r="C193" s="12" t="s">
        <v>1911</v>
      </c>
      <c r="D193" s="44" t="s">
        <v>4713</v>
      </c>
      <c r="E193" s="12" t="s">
        <v>325</v>
      </c>
      <c r="F193" s="36" t="s">
        <v>1718</v>
      </c>
      <c r="G193" s="12">
        <v>937623366</v>
      </c>
      <c r="H193" t="str">
        <f>VLOOKUP(D193,DATA_SISTEMA!$A$1:$Q$506,13,FALSE)</f>
        <v>CALLE LOS GLADIOLOS 306 URB. LOS PARQUES</v>
      </c>
      <c r="I193" t="str">
        <f>VLOOKUP(D193,DATA_SISTEMA!$A$1:$Q$506,7,FALSE)</f>
        <v>1992-08-18</v>
      </c>
      <c r="J193" s="32" t="s">
        <v>1718</v>
      </c>
      <c r="K193" s="32" t="s">
        <v>1718</v>
      </c>
      <c r="L193" s="32" t="s">
        <v>1718</v>
      </c>
      <c r="M193">
        <v>318</v>
      </c>
      <c r="N193">
        <v>0</v>
      </c>
      <c r="O193" s="32" t="str">
        <f t="shared" si="2"/>
        <v>1920020261X</v>
      </c>
      <c r="P193" s="32" t="s">
        <v>1718</v>
      </c>
      <c r="Q193" s="32" t="s">
        <v>1718</v>
      </c>
      <c r="R193" s="32" t="s">
        <v>2110</v>
      </c>
      <c r="S193" s="32" t="s">
        <v>5033</v>
      </c>
      <c r="T193" t="str">
        <f>VLOOKUP(D193,DATA_SISTEMA!$A$1:$Q$506,9,FALSE)</f>
        <v>F</v>
      </c>
      <c r="U193" s="32" t="s">
        <v>2106</v>
      </c>
      <c r="V193" s="32" t="s">
        <v>1718</v>
      </c>
      <c r="W193" s="37" t="s">
        <v>5028</v>
      </c>
      <c r="X193" s="32" t="s">
        <v>4522</v>
      </c>
      <c r="Y193" s="32" t="s">
        <v>1718</v>
      </c>
      <c r="Z193" s="32" t="s">
        <v>1718</v>
      </c>
      <c r="AA193" s="32" t="s">
        <v>5028</v>
      </c>
      <c r="AB193" s="32" t="s">
        <v>1718</v>
      </c>
      <c r="AC193" s="32" t="s">
        <v>1718</v>
      </c>
      <c r="AD193" s="32" t="s">
        <v>1718</v>
      </c>
      <c r="AE193" s="32" t="s">
        <v>1718</v>
      </c>
      <c r="AF193" s="32" t="s">
        <v>1718</v>
      </c>
      <c r="AG193" s="32" t="s">
        <v>1718</v>
      </c>
      <c r="AH193" s="32" t="s">
        <v>2107</v>
      </c>
      <c r="AI193" s="12" t="s">
        <v>1487</v>
      </c>
      <c r="AJ193" s="12" t="s">
        <v>991</v>
      </c>
      <c r="AK193" s="12" t="s">
        <v>976</v>
      </c>
      <c r="AL193" s="12">
        <v>47390896</v>
      </c>
      <c r="AM193" t="s">
        <v>1718</v>
      </c>
      <c r="AN193" t="s">
        <v>1718</v>
      </c>
      <c r="AO193" t="s">
        <v>1718</v>
      </c>
      <c r="AP193" t="s">
        <v>1718</v>
      </c>
      <c r="AQ193" t="s">
        <v>1718</v>
      </c>
      <c r="AR193" t="s">
        <v>1718</v>
      </c>
      <c r="AS193" t="s">
        <v>1718</v>
      </c>
      <c r="AT193" t="s">
        <v>1718</v>
      </c>
      <c r="AU193" t="s">
        <v>1718</v>
      </c>
      <c r="AV193" t="str">
        <f>VLOOKUP(D193,DATA_SISTEMA!$A$1:$Q$506,12,FALSE)</f>
        <v>CHICLAYO</v>
      </c>
      <c r="AW193" t="str">
        <f>VLOOKUP(D193,DATA_SISTEMA!$A$1:$Q$506,11,FALSE)</f>
        <v>CHICLAYO</v>
      </c>
      <c r="AX193" t="str">
        <f>VLOOKUP(D193,DATA_SISTEMA!$A$1:$Q$506,10,FALSE)</f>
        <v>LAMBAYEQUE</v>
      </c>
      <c r="AY193" t="s">
        <v>1718</v>
      </c>
      <c r="AZ193" t="s">
        <v>5028</v>
      </c>
      <c r="BA193" t="s">
        <v>1718</v>
      </c>
      <c r="BB193" t="s">
        <v>5028</v>
      </c>
      <c r="BC193" t="s">
        <v>1718</v>
      </c>
      <c r="BD193" t="s">
        <v>5028</v>
      </c>
      <c r="BE193" t="s">
        <v>1718</v>
      </c>
      <c r="BF193" s="34" t="s">
        <v>2104</v>
      </c>
      <c r="BG193" s="12">
        <v>62.8</v>
      </c>
    </row>
    <row r="194" spans="1:59" x14ac:dyDescent="0.25">
      <c r="A194" s="4">
        <v>193</v>
      </c>
      <c r="B194" s="33" t="s">
        <v>1719</v>
      </c>
      <c r="C194" s="12" t="s">
        <v>1912</v>
      </c>
      <c r="D194" s="44" t="s">
        <v>4714</v>
      </c>
      <c r="E194" s="12" t="s">
        <v>327</v>
      </c>
      <c r="F194" s="36" t="s">
        <v>1718</v>
      </c>
      <c r="G194" s="12">
        <v>968327058</v>
      </c>
      <c r="H194" t="str">
        <f>VLOOKUP(D194,DATA_SISTEMA!$A$1:$Q$506,13,FALSE)</f>
        <v>PRIMERO DE MAYO JR CUSCO MZ-G LT-4</v>
      </c>
      <c r="I194" t="str">
        <f>VLOOKUP(D194,DATA_SISTEMA!$A$1:$Q$506,7,FALSE)</f>
        <v>2003-04-08</v>
      </c>
      <c r="J194" s="32" t="s">
        <v>1718</v>
      </c>
      <c r="K194" s="32" t="s">
        <v>1718</v>
      </c>
      <c r="L194" s="32" t="s">
        <v>1718</v>
      </c>
      <c r="M194">
        <v>318</v>
      </c>
      <c r="N194">
        <v>0</v>
      </c>
      <c r="O194" s="32" t="str">
        <f t="shared" si="2"/>
        <v>1930020261X</v>
      </c>
      <c r="P194" s="32" t="s">
        <v>1718</v>
      </c>
      <c r="Q194" s="32" t="s">
        <v>1718</v>
      </c>
      <c r="R194" s="32" t="s">
        <v>2110</v>
      </c>
      <c r="S194" s="32" t="s">
        <v>5033</v>
      </c>
      <c r="T194" t="str">
        <f>VLOOKUP(D194,DATA_SISTEMA!$A$1:$Q$506,9,FALSE)</f>
        <v>F</v>
      </c>
      <c r="U194" s="32" t="s">
        <v>2106</v>
      </c>
      <c r="V194" s="32" t="s">
        <v>1718</v>
      </c>
      <c r="W194" s="37" t="s">
        <v>5028</v>
      </c>
      <c r="X194" s="32" t="s">
        <v>4522</v>
      </c>
      <c r="Y194" s="32" t="s">
        <v>1718</v>
      </c>
      <c r="Z194" s="32" t="s">
        <v>1718</v>
      </c>
      <c r="AA194" s="32" t="s">
        <v>5028</v>
      </c>
      <c r="AB194" s="32" t="s">
        <v>1718</v>
      </c>
      <c r="AC194" s="32" t="s">
        <v>1718</v>
      </c>
      <c r="AD194" s="32" t="s">
        <v>1718</v>
      </c>
      <c r="AE194" s="32" t="s">
        <v>1718</v>
      </c>
      <c r="AF194" s="32" t="s">
        <v>1718</v>
      </c>
      <c r="AG194" s="32" t="s">
        <v>1718</v>
      </c>
      <c r="AH194" s="32" t="s">
        <v>2107</v>
      </c>
      <c r="AI194" s="12" t="s">
        <v>1488</v>
      </c>
      <c r="AJ194" s="12" t="s">
        <v>1298</v>
      </c>
      <c r="AK194" s="12" t="s">
        <v>1112</v>
      </c>
      <c r="AL194" s="12">
        <v>71819726</v>
      </c>
      <c r="AM194" t="s">
        <v>1718</v>
      </c>
      <c r="AN194" t="s">
        <v>1718</v>
      </c>
      <c r="AO194" t="s">
        <v>1718</v>
      </c>
      <c r="AP194" t="s">
        <v>1718</v>
      </c>
      <c r="AQ194" t="s">
        <v>1718</v>
      </c>
      <c r="AR194" t="s">
        <v>1718</v>
      </c>
      <c r="AS194" t="s">
        <v>1718</v>
      </c>
      <c r="AT194" t="s">
        <v>1718</v>
      </c>
      <c r="AU194" t="s">
        <v>1718</v>
      </c>
      <c r="AV194" t="str">
        <f>VLOOKUP(D194,DATA_SISTEMA!$A$1:$Q$506,12,FALSE)</f>
        <v>NUEVO CHIMBOTE</v>
      </c>
      <c r="AW194" t="str">
        <f>VLOOKUP(D194,DATA_SISTEMA!$A$1:$Q$506,11,FALSE)</f>
        <v>SANTA</v>
      </c>
      <c r="AX194" t="str">
        <f>VLOOKUP(D194,DATA_SISTEMA!$A$1:$Q$506,10,FALSE)</f>
        <v>ANCASH</v>
      </c>
      <c r="AY194" t="s">
        <v>1718</v>
      </c>
      <c r="AZ194" t="s">
        <v>5028</v>
      </c>
      <c r="BA194" t="s">
        <v>1718</v>
      </c>
      <c r="BB194" t="s">
        <v>5028</v>
      </c>
      <c r="BC194" t="s">
        <v>1718</v>
      </c>
      <c r="BD194" t="s">
        <v>5028</v>
      </c>
      <c r="BE194" t="s">
        <v>1718</v>
      </c>
      <c r="BF194" s="34" t="s">
        <v>2104</v>
      </c>
      <c r="BG194" s="12">
        <v>62.2</v>
      </c>
    </row>
    <row r="195" spans="1:59" x14ac:dyDescent="0.25">
      <c r="A195" s="4">
        <v>194</v>
      </c>
      <c r="B195" s="33" t="s">
        <v>1719</v>
      </c>
      <c r="C195" s="12" t="s">
        <v>1913</v>
      </c>
      <c r="D195" s="44" t="s">
        <v>4715</v>
      </c>
      <c r="E195" s="12" t="s">
        <v>329</v>
      </c>
      <c r="F195" s="36" t="s">
        <v>1718</v>
      </c>
      <c r="G195" s="12">
        <v>980096005</v>
      </c>
      <c r="H195" t="str">
        <f>VLOOKUP(D195,DATA_SISTEMA!$A$1:$Q$506,13,FALSE)</f>
        <v>DEMETRIO ACOSTA #778 P.J. SAN MARTIN - LAMBAYEQUE</v>
      </c>
      <c r="I195" t="str">
        <f>VLOOKUP(D195,DATA_SISTEMA!$A$1:$Q$506,7,FALSE)</f>
        <v>2000-04-26</v>
      </c>
      <c r="J195" s="32" t="s">
        <v>1718</v>
      </c>
      <c r="K195" s="32" t="s">
        <v>1718</v>
      </c>
      <c r="L195" s="32" t="s">
        <v>1718</v>
      </c>
      <c r="M195">
        <v>318</v>
      </c>
      <c r="N195">
        <v>0</v>
      </c>
      <c r="O195" s="32" t="str">
        <f t="shared" ref="O195:O258" si="3">_xlfn.CONCAT(A195,"0020261X")</f>
        <v>1940020261X</v>
      </c>
      <c r="P195" s="32" t="s">
        <v>1718</v>
      </c>
      <c r="Q195" s="32" t="s">
        <v>1718</v>
      </c>
      <c r="R195" s="32" t="s">
        <v>2110</v>
      </c>
      <c r="S195" s="32" t="s">
        <v>5033</v>
      </c>
      <c r="T195" t="str">
        <f>VLOOKUP(D195,DATA_SISTEMA!$A$1:$Q$506,9,FALSE)</f>
        <v>M</v>
      </c>
      <c r="U195" s="32" t="s">
        <v>2106</v>
      </c>
      <c r="V195" s="32" t="s">
        <v>1718</v>
      </c>
      <c r="W195" s="37" t="s">
        <v>5028</v>
      </c>
      <c r="X195" s="32" t="s">
        <v>4522</v>
      </c>
      <c r="Y195" s="32" t="s">
        <v>1718</v>
      </c>
      <c r="Z195" s="32" t="s">
        <v>1718</v>
      </c>
      <c r="AA195" s="32" t="s">
        <v>5028</v>
      </c>
      <c r="AB195" s="32" t="s">
        <v>1718</v>
      </c>
      <c r="AC195" s="32" t="s">
        <v>1718</v>
      </c>
      <c r="AD195" s="32" t="s">
        <v>1718</v>
      </c>
      <c r="AE195" s="32" t="s">
        <v>1718</v>
      </c>
      <c r="AF195" s="32" t="s">
        <v>1718</v>
      </c>
      <c r="AG195" s="32" t="s">
        <v>1718</v>
      </c>
      <c r="AH195" s="32" t="s">
        <v>2107</v>
      </c>
      <c r="AI195" s="12" t="s">
        <v>1489</v>
      </c>
      <c r="AJ195" s="12" t="s">
        <v>886</v>
      </c>
      <c r="AK195" s="12" t="s">
        <v>885</v>
      </c>
      <c r="AL195" s="12">
        <v>73527759</v>
      </c>
      <c r="AM195" t="s">
        <v>1718</v>
      </c>
      <c r="AN195" t="s">
        <v>1718</v>
      </c>
      <c r="AO195" t="s">
        <v>1718</v>
      </c>
      <c r="AP195" t="s">
        <v>1718</v>
      </c>
      <c r="AQ195" t="s">
        <v>1718</v>
      </c>
      <c r="AR195" t="s">
        <v>1718</v>
      </c>
      <c r="AS195" t="s">
        <v>1718</v>
      </c>
      <c r="AT195" t="s">
        <v>1718</v>
      </c>
      <c r="AU195" t="s">
        <v>1718</v>
      </c>
      <c r="AV195" t="str">
        <f>VLOOKUP(D195,DATA_SISTEMA!$A$1:$Q$506,12,FALSE)</f>
        <v>LAMBAYEQUE</v>
      </c>
      <c r="AW195" t="str">
        <f>VLOOKUP(D195,DATA_SISTEMA!$A$1:$Q$506,11,FALSE)</f>
        <v>LAMBAYEQUE</v>
      </c>
      <c r="AX195" t="str">
        <f>VLOOKUP(D195,DATA_SISTEMA!$A$1:$Q$506,10,FALSE)</f>
        <v>LAMBAYEQUE</v>
      </c>
      <c r="AY195" t="s">
        <v>1718</v>
      </c>
      <c r="AZ195" t="s">
        <v>5028</v>
      </c>
      <c r="BA195" t="s">
        <v>1718</v>
      </c>
      <c r="BB195" t="s">
        <v>5028</v>
      </c>
      <c r="BC195" t="s">
        <v>1718</v>
      </c>
      <c r="BD195" t="s">
        <v>5028</v>
      </c>
      <c r="BE195" t="s">
        <v>1718</v>
      </c>
      <c r="BF195" s="34" t="s">
        <v>2104</v>
      </c>
      <c r="BG195" s="12">
        <v>62</v>
      </c>
    </row>
    <row r="196" spans="1:59" x14ac:dyDescent="0.25">
      <c r="A196" s="4">
        <v>195</v>
      </c>
      <c r="B196" s="33" t="s">
        <v>1719</v>
      </c>
      <c r="C196" s="12" t="s">
        <v>1914</v>
      </c>
      <c r="D196" s="44" t="s">
        <v>4716</v>
      </c>
      <c r="E196" s="12" t="s">
        <v>331</v>
      </c>
      <c r="F196" s="36" t="s">
        <v>1718</v>
      </c>
      <c r="G196" s="12">
        <v>936816461</v>
      </c>
      <c r="H196" t="str">
        <f>VLOOKUP(D196,DATA_SISTEMA!$A$1:$Q$506,13,FALSE)</f>
        <v>MZ. "B" LT 03 AA.HH VICTOR RAUL</v>
      </c>
      <c r="I196" t="str">
        <f>VLOOKUP(D196,DATA_SISTEMA!$A$1:$Q$506,7,FALSE)</f>
        <v>1987-01-25</v>
      </c>
      <c r="J196" s="32" t="s">
        <v>1718</v>
      </c>
      <c r="K196" s="32" t="s">
        <v>1718</v>
      </c>
      <c r="L196" s="32" t="s">
        <v>1718</v>
      </c>
      <c r="M196">
        <v>318</v>
      </c>
      <c r="N196">
        <v>0</v>
      </c>
      <c r="O196" s="32" t="str">
        <f t="shared" si="3"/>
        <v>1950020261X</v>
      </c>
      <c r="P196" s="32" t="s">
        <v>1718</v>
      </c>
      <c r="Q196" s="32" t="s">
        <v>1718</v>
      </c>
      <c r="R196" s="32" t="s">
        <v>2110</v>
      </c>
      <c r="S196" s="32" t="s">
        <v>5033</v>
      </c>
      <c r="T196" t="str">
        <f>VLOOKUP(D196,DATA_SISTEMA!$A$1:$Q$506,9,FALSE)</f>
        <v>F</v>
      </c>
      <c r="U196" s="32" t="s">
        <v>2106</v>
      </c>
      <c r="V196" s="32" t="s">
        <v>1718</v>
      </c>
      <c r="W196" s="37" t="s">
        <v>5028</v>
      </c>
      <c r="X196" s="32" t="s">
        <v>4522</v>
      </c>
      <c r="Y196" s="32" t="s">
        <v>1718</v>
      </c>
      <c r="Z196" s="32" t="s">
        <v>1718</v>
      </c>
      <c r="AA196" s="32" t="s">
        <v>5028</v>
      </c>
      <c r="AB196" s="32" t="s">
        <v>1718</v>
      </c>
      <c r="AC196" s="32" t="s">
        <v>1718</v>
      </c>
      <c r="AD196" s="32" t="s">
        <v>1718</v>
      </c>
      <c r="AE196" s="32" t="s">
        <v>1718</v>
      </c>
      <c r="AF196" s="32" t="s">
        <v>1718</v>
      </c>
      <c r="AG196" s="32" t="s">
        <v>1718</v>
      </c>
      <c r="AH196" s="32" t="s">
        <v>2107</v>
      </c>
      <c r="AI196" s="12" t="s">
        <v>1490</v>
      </c>
      <c r="AJ196" s="12" t="s">
        <v>947</v>
      </c>
      <c r="AK196" s="12" t="s">
        <v>1113</v>
      </c>
      <c r="AL196" s="12">
        <v>44378022</v>
      </c>
      <c r="AM196" t="s">
        <v>1718</v>
      </c>
      <c r="AN196" t="s">
        <v>1718</v>
      </c>
      <c r="AO196" t="s">
        <v>1718</v>
      </c>
      <c r="AP196" t="s">
        <v>1718</v>
      </c>
      <c r="AQ196" t="s">
        <v>1718</v>
      </c>
      <c r="AR196" t="s">
        <v>1718</v>
      </c>
      <c r="AS196" t="s">
        <v>1718</v>
      </c>
      <c r="AT196" t="s">
        <v>1718</v>
      </c>
      <c r="AU196" t="s">
        <v>1718</v>
      </c>
      <c r="AV196" t="str">
        <f>VLOOKUP(D196,DATA_SISTEMA!$A$1:$Q$506,12,FALSE)</f>
        <v>LAMBAYEQUE</v>
      </c>
      <c r="AW196" t="str">
        <f>VLOOKUP(D196,DATA_SISTEMA!$A$1:$Q$506,11,FALSE)</f>
        <v>LAMBAYEQUE</v>
      </c>
      <c r="AX196" t="str">
        <f>VLOOKUP(D196,DATA_SISTEMA!$A$1:$Q$506,10,FALSE)</f>
        <v>LAMBAYEQUE</v>
      </c>
      <c r="AY196" t="s">
        <v>1718</v>
      </c>
      <c r="AZ196" t="s">
        <v>5028</v>
      </c>
      <c r="BA196" t="s">
        <v>1718</v>
      </c>
      <c r="BB196" t="s">
        <v>5028</v>
      </c>
      <c r="BC196" t="s">
        <v>1718</v>
      </c>
      <c r="BD196" t="s">
        <v>5028</v>
      </c>
      <c r="BE196" t="s">
        <v>1718</v>
      </c>
      <c r="BF196" s="34" t="s">
        <v>2104</v>
      </c>
      <c r="BG196" s="12">
        <v>62</v>
      </c>
    </row>
    <row r="197" spans="1:59" x14ac:dyDescent="0.25">
      <c r="A197" s="4">
        <v>196</v>
      </c>
      <c r="B197" s="33" t="s">
        <v>1719</v>
      </c>
      <c r="C197" s="12" t="s">
        <v>1915</v>
      </c>
      <c r="D197" s="44" t="s">
        <v>4717</v>
      </c>
      <c r="E197" s="12" t="s">
        <v>333</v>
      </c>
      <c r="F197" s="36" t="s">
        <v>1718</v>
      </c>
      <c r="G197" s="12">
        <v>989473749</v>
      </c>
      <c r="H197" t="str">
        <f>VLOOKUP(D197,DATA_SISTEMA!$A$1:$Q$506,13,FALSE)</f>
        <v>URB.LAS PLAMERAS DE L VALLE MZ-M LT.03-SAN ISIDRO</v>
      </c>
      <c r="I197" t="str">
        <f>VLOOKUP(D197,DATA_SISTEMA!$A$1:$Q$506,7,FALSE)</f>
        <v>1986-06-03</v>
      </c>
      <c r="J197" s="32" t="s">
        <v>1718</v>
      </c>
      <c r="K197" s="32" t="s">
        <v>1718</v>
      </c>
      <c r="L197" s="32" t="s">
        <v>1718</v>
      </c>
      <c r="M197">
        <v>318</v>
      </c>
      <c r="N197">
        <v>0</v>
      </c>
      <c r="O197" s="32" t="str">
        <f t="shared" si="3"/>
        <v>1960020261X</v>
      </c>
      <c r="P197" s="32" t="s">
        <v>1718</v>
      </c>
      <c r="Q197" s="32" t="s">
        <v>1718</v>
      </c>
      <c r="R197" s="32" t="s">
        <v>2110</v>
      </c>
      <c r="S197" s="32" t="s">
        <v>5033</v>
      </c>
      <c r="T197" t="str">
        <f>VLOOKUP(D197,DATA_SISTEMA!$A$1:$Q$506,9,FALSE)</f>
        <v>M</v>
      </c>
      <c r="U197" s="32" t="s">
        <v>2106</v>
      </c>
      <c r="V197" s="32" t="s">
        <v>1718</v>
      </c>
      <c r="W197" s="37" t="s">
        <v>5028</v>
      </c>
      <c r="X197" s="32" t="s">
        <v>4522</v>
      </c>
      <c r="Y197" s="32" t="s">
        <v>1718</v>
      </c>
      <c r="Z197" s="32" t="s">
        <v>1718</v>
      </c>
      <c r="AA197" s="32" t="s">
        <v>5028</v>
      </c>
      <c r="AB197" s="32" t="s">
        <v>1718</v>
      </c>
      <c r="AC197" s="32" t="s">
        <v>1718</v>
      </c>
      <c r="AD197" s="32" t="s">
        <v>1718</v>
      </c>
      <c r="AE197" s="32" t="s">
        <v>1718</v>
      </c>
      <c r="AF197" s="32" t="s">
        <v>1718</v>
      </c>
      <c r="AG197" s="32" t="s">
        <v>1718</v>
      </c>
      <c r="AH197" s="32" t="s">
        <v>2107</v>
      </c>
      <c r="AI197" s="12" t="s">
        <v>1491</v>
      </c>
      <c r="AJ197" s="12" t="s">
        <v>1114</v>
      </c>
      <c r="AK197" s="12" t="s">
        <v>1115</v>
      </c>
      <c r="AL197" s="12">
        <v>44089297</v>
      </c>
      <c r="AM197" t="s">
        <v>1718</v>
      </c>
      <c r="AN197" t="s">
        <v>1718</v>
      </c>
      <c r="AO197" t="s">
        <v>1718</v>
      </c>
      <c r="AP197" t="s">
        <v>1718</v>
      </c>
      <c r="AQ197" t="s">
        <v>1718</v>
      </c>
      <c r="AR197" t="s">
        <v>1718</v>
      </c>
      <c r="AS197" t="s">
        <v>1718</v>
      </c>
      <c r="AT197" t="s">
        <v>1718</v>
      </c>
      <c r="AU197" t="s">
        <v>1718</v>
      </c>
      <c r="AV197" t="str">
        <f>VLOOKUP(D197,DATA_SISTEMA!$A$1:$Q$506,12,FALSE)</f>
        <v>TRUJILLO</v>
      </c>
      <c r="AW197" t="str">
        <f>VLOOKUP(D197,DATA_SISTEMA!$A$1:$Q$506,11,FALSE)</f>
        <v>TRUJILLO</v>
      </c>
      <c r="AX197" t="str">
        <f>VLOOKUP(D197,DATA_SISTEMA!$A$1:$Q$506,10,FALSE)</f>
        <v>LA LIBERTAD</v>
      </c>
      <c r="AY197" t="s">
        <v>1718</v>
      </c>
      <c r="AZ197" t="s">
        <v>5028</v>
      </c>
      <c r="BA197" t="s">
        <v>1718</v>
      </c>
      <c r="BB197" t="s">
        <v>5028</v>
      </c>
      <c r="BC197" t="s">
        <v>1718</v>
      </c>
      <c r="BD197" t="s">
        <v>5028</v>
      </c>
      <c r="BE197" t="s">
        <v>1718</v>
      </c>
      <c r="BF197" s="34" t="s">
        <v>2104</v>
      </c>
      <c r="BG197" s="12">
        <v>60.7</v>
      </c>
    </row>
    <row r="198" spans="1:59" x14ac:dyDescent="0.25">
      <c r="A198" s="4">
        <v>197</v>
      </c>
      <c r="B198" s="33" t="s">
        <v>1719</v>
      </c>
      <c r="C198" s="12" t="s">
        <v>1916</v>
      </c>
      <c r="D198" s="44" t="s">
        <v>4718</v>
      </c>
      <c r="E198" s="12" t="s">
        <v>335</v>
      </c>
      <c r="F198" s="36" t="s">
        <v>1718</v>
      </c>
      <c r="G198" s="12">
        <v>980425226</v>
      </c>
      <c r="H198" t="str">
        <f>VLOOKUP(D198,DATA_SISTEMA!$A$1:$Q$506,13,FALSE)</f>
        <v>ATAHUALPA 1025</v>
      </c>
      <c r="I198" t="str">
        <f>VLOOKUP(D198,DATA_SISTEMA!$A$1:$Q$506,7,FALSE)</f>
        <v>1993-10-30</v>
      </c>
      <c r="J198" s="32" t="s">
        <v>1718</v>
      </c>
      <c r="K198" s="32" t="s">
        <v>1718</v>
      </c>
      <c r="L198" s="32" t="s">
        <v>1718</v>
      </c>
      <c r="M198">
        <v>318</v>
      </c>
      <c r="N198">
        <v>0</v>
      </c>
      <c r="O198" s="32" t="str">
        <f t="shared" si="3"/>
        <v>1970020261X</v>
      </c>
      <c r="P198" s="32" t="s">
        <v>1718</v>
      </c>
      <c r="Q198" s="32" t="s">
        <v>1718</v>
      </c>
      <c r="R198" s="32" t="s">
        <v>2110</v>
      </c>
      <c r="S198" s="32" t="s">
        <v>5033</v>
      </c>
      <c r="T198" t="str">
        <f>VLOOKUP(D198,DATA_SISTEMA!$A$1:$Q$506,9,FALSE)</f>
        <v>F</v>
      </c>
      <c r="U198" s="32" t="s">
        <v>2106</v>
      </c>
      <c r="V198" s="32" t="s">
        <v>1718</v>
      </c>
      <c r="W198" s="37" t="s">
        <v>5028</v>
      </c>
      <c r="X198" s="32" t="s">
        <v>4522</v>
      </c>
      <c r="Y198" s="32" t="s">
        <v>1718</v>
      </c>
      <c r="Z198" s="32" t="s">
        <v>1718</v>
      </c>
      <c r="AA198" s="32" t="s">
        <v>5028</v>
      </c>
      <c r="AB198" s="32" t="s">
        <v>1718</v>
      </c>
      <c r="AC198" s="32" t="s">
        <v>1718</v>
      </c>
      <c r="AD198" s="32" t="s">
        <v>1718</v>
      </c>
      <c r="AE198" s="32" t="s">
        <v>1718</v>
      </c>
      <c r="AF198" s="32" t="s">
        <v>1718</v>
      </c>
      <c r="AG198" s="32" t="s">
        <v>1718</v>
      </c>
      <c r="AH198" s="32" t="s">
        <v>2107</v>
      </c>
      <c r="AI198" s="12" t="s">
        <v>1492</v>
      </c>
      <c r="AJ198" s="12" t="s">
        <v>1116</v>
      </c>
      <c r="AK198" s="12" t="s">
        <v>1117</v>
      </c>
      <c r="AL198" s="12">
        <v>48074428</v>
      </c>
      <c r="AM198" t="s">
        <v>1718</v>
      </c>
      <c r="AN198" t="s">
        <v>1718</v>
      </c>
      <c r="AO198" t="s">
        <v>1718</v>
      </c>
      <c r="AP198" t="s">
        <v>1718</v>
      </c>
      <c r="AQ198" t="s">
        <v>1718</v>
      </c>
      <c r="AR198" t="s">
        <v>1718</v>
      </c>
      <c r="AS198" t="s">
        <v>1718</v>
      </c>
      <c r="AT198" t="s">
        <v>1718</v>
      </c>
      <c r="AU198" t="s">
        <v>1718</v>
      </c>
      <c r="AV198" t="str">
        <f>VLOOKUP(D198,DATA_SISTEMA!$A$1:$Q$506,12,FALSE)</f>
        <v>JOSE LEONARDO ORTIZ</v>
      </c>
      <c r="AW198" t="str">
        <f>VLOOKUP(D198,DATA_SISTEMA!$A$1:$Q$506,11,FALSE)</f>
        <v>CHICLAYO</v>
      </c>
      <c r="AX198" t="str">
        <f>VLOOKUP(D198,DATA_SISTEMA!$A$1:$Q$506,10,FALSE)</f>
        <v>LAMBAYEQUE</v>
      </c>
      <c r="AY198" t="s">
        <v>1718</v>
      </c>
      <c r="AZ198" t="s">
        <v>5028</v>
      </c>
      <c r="BA198" t="s">
        <v>1718</v>
      </c>
      <c r="BB198" t="s">
        <v>5028</v>
      </c>
      <c r="BC198" t="s">
        <v>1718</v>
      </c>
      <c r="BD198" t="s">
        <v>5028</v>
      </c>
      <c r="BE198" t="s">
        <v>1718</v>
      </c>
      <c r="BF198" s="34" t="s">
        <v>2104</v>
      </c>
      <c r="BG198" s="12">
        <v>60.4</v>
      </c>
    </row>
    <row r="199" spans="1:59" x14ac:dyDescent="0.25">
      <c r="A199" s="4">
        <v>198</v>
      </c>
      <c r="B199" s="33" t="s">
        <v>1719</v>
      </c>
      <c r="C199" s="12" t="s">
        <v>1917</v>
      </c>
      <c r="D199" s="44" t="s">
        <v>4719</v>
      </c>
      <c r="E199" s="12" t="s">
        <v>337</v>
      </c>
      <c r="F199" s="36" t="s">
        <v>1718</v>
      </c>
      <c r="G199" s="12">
        <v>975102141</v>
      </c>
      <c r="H199" t="str">
        <f>VLOOKUP(D199,DATA_SISTEMA!$A$1:$Q$506,13,FALSE)</f>
        <v>LAS ESMERALDAS 1579</v>
      </c>
      <c r="I199" t="str">
        <f>VLOOKUP(D199,DATA_SISTEMA!$A$1:$Q$506,7,FALSE)</f>
        <v>1974-09-27</v>
      </c>
      <c r="J199" s="32" t="s">
        <v>1718</v>
      </c>
      <c r="K199" s="32" t="s">
        <v>1718</v>
      </c>
      <c r="L199" s="32" t="s">
        <v>1718</v>
      </c>
      <c r="M199">
        <v>318</v>
      </c>
      <c r="N199">
        <v>0</v>
      </c>
      <c r="O199" s="32" t="str">
        <f t="shared" si="3"/>
        <v>1980020261X</v>
      </c>
      <c r="P199" s="32" t="s">
        <v>1718</v>
      </c>
      <c r="Q199" s="32" t="s">
        <v>1718</v>
      </c>
      <c r="R199" s="32" t="s">
        <v>2110</v>
      </c>
      <c r="S199" s="32" t="s">
        <v>5033</v>
      </c>
      <c r="T199" t="str">
        <f>VLOOKUP(D199,DATA_SISTEMA!$A$1:$Q$506,9,FALSE)</f>
        <v>F</v>
      </c>
      <c r="U199" s="32" t="s">
        <v>2106</v>
      </c>
      <c r="V199" s="32" t="s">
        <v>1718</v>
      </c>
      <c r="W199" s="37" t="s">
        <v>5028</v>
      </c>
      <c r="X199" s="32" t="s">
        <v>4522</v>
      </c>
      <c r="Y199" s="32" t="s">
        <v>1718</v>
      </c>
      <c r="Z199" s="32" t="s">
        <v>1718</v>
      </c>
      <c r="AA199" s="32" t="s">
        <v>5028</v>
      </c>
      <c r="AB199" s="32" t="s">
        <v>1718</v>
      </c>
      <c r="AC199" s="32" t="s">
        <v>1718</v>
      </c>
      <c r="AD199" s="32" t="s">
        <v>1718</v>
      </c>
      <c r="AE199" s="32" t="s">
        <v>1718</v>
      </c>
      <c r="AF199" s="32" t="s">
        <v>1718</v>
      </c>
      <c r="AG199" s="32" t="s">
        <v>1718</v>
      </c>
      <c r="AH199" s="32" t="s">
        <v>2107</v>
      </c>
      <c r="AI199" s="12" t="s">
        <v>1493</v>
      </c>
      <c r="AJ199" s="12" t="s">
        <v>900</v>
      </c>
      <c r="AK199" s="12" t="s">
        <v>1118</v>
      </c>
      <c r="AL199" s="12">
        <v>16784162</v>
      </c>
      <c r="AM199" t="s">
        <v>1718</v>
      </c>
      <c r="AN199" t="s">
        <v>1718</v>
      </c>
      <c r="AO199" t="s">
        <v>1718</v>
      </c>
      <c r="AP199" t="s">
        <v>1718</v>
      </c>
      <c r="AQ199" t="s">
        <v>1718</v>
      </c>
      <c r="AR199" t="s">
        <v>1718</v>
      </c>
      <c r="AS199" t="s">
        <v>1718</v>
      </c>
      <c r="AT199" t="s">
        <v>1718</v>
      </c>
      <c r="AU199" t="s">
        <v>1718</v>
      </c>
      <c r="AV199" t="str">
        <f>VLOOKUP(D199,DATA_SISTEMA!$A$1:$Q$506,12,FALSE)</f>
        <v>LAMBAYEQUE</v>
      </c>
      <c r="AW199" t="str">
        <f>VLOOKUP(D199,DATA_SISTEMA!$A$1:$Q$506,11,FALSE)</f>
        <v>LAMBAYEQUE</v>
      </c>
      <c r="AX199" t="str">
        <f>VLOOKUP(D199,DATA_SISTEMA!$A$1:$Q$506,10,FALSE)</f>
        <v>LAMBAYEQUE</v>
      </c>
      <c r="AY199" t="s">
        <v>1718</v>
      </c>
      <c r="AZ199" t="s">
        <v>5028</v>
      </c>
      <c r="BA199" t="s">
        <v>1718</v>
      </c>
      <c r="BB199" t="s">
        <v>5028</v>
      </c>
      <c r="BC199" t="s">
        <v>1718</v>
      </c>
      <c r="BD199" t="s">
        <v>5028</v>
      </c>
      <c r="BE199" t="s">
        <v>1718</v>
      </c>
      <c r="BF199" s="34" t="s">
        <v>2104</v>
      </c>
      <c r="BG199" s="12">
        <v>60.2</v>
      </c>
    </row>
    <row r="200" spans="1:59" x14ac:dyDescent="0.25">
      <c r="A200" s="4">
        <v>199</v>
      </c>
      <c r="B200" s="33" t="s">
        <v>1719</v>
      </c>
      <c r="C200" s="12" t="s">
        <v>1918</v>
      </c>
      <c r="D200" s="44" t="s">
        <v>4720</v>
      </c>
      <c r="E200" s="12" t="s">
        <v>339</v>
      </c>
      <c r="F200" s="36" t="s">
        <v>1718</v>
      </c>
      <c r="G200" s="12">
        <v>955329861</v>
      </c>
      <c r="H200" t="str">
        <f>VLOOKUP(D200,DATA_SISTEMA!$A$1:$Q$506,13,FALSE)</f>
        <v>CALLE MADRE DE DIOS 508</v>
      </c>
      <c r="I200" t="str">
        <f>VLOOKUP(D200,DATA_SISTEMA!$A$1:$Q$506,7,FALSE)</f>
        <v>1999-04-10</v>
      </c>
      <c r="J200" s="32" t="s">
        <v>1718</v>
      </c>
      <c r="K200" s="32" t="s">
        <v>1718</v>
      </c>
      <c r="L200" s="32" t="s">
        <v>1718</v>
      </c>
      <c r="M200">
        <v>318</v>
      </c>
      <c r="N200">
        <v>0</v>
      </c>
      <c r="O200" s="32" t="str">
        <f t="shared" si="3"/>
        <v>1990020261X</v>
      </c>
      <c r="P200" s="32" t="s">
        <v>1718</v>
      </c>
      <c r="Q200" s="32" t="s">
        <v>1718</v>
      </c>
      <c r="R200" s="32" t="s">
        <v>2110</v>
      </c>
      <c r="S200" s="32" t="s">
        <v>5033</v>
      </c>
      <c r="T200" t="str">
        <f>VLOOKUP(D200,DATA_SISTEMA!$A$1:$Q$506,9,FALSE)</f>
        <v>F</v>
      </c>
      <c r="U200" s="32" t="s">
        <v>2106</v>
      </c>
      <c r="V200" s="32" t="s">
        <v>1718</v>
      </c>
      <c r="W200" s="37" t="s">
        <v>5028</v>
      </c>
      <c r="X200" s="32" t="s">
        <v>4522</v>
      </c>
      <c r="Y200" s="32" t="s">
        <v>1718</v>
      </c>
      <c r="Z200" s="32" t="s">
        <v>1718</v>
      </c>
      <c r="AA200" s="32" t="s">
        <v>5028</v>
      </c>
      <c r="AB200" s="32" t="s">
        <v>1718</v>
      </c>
      <c r="AC200" s="32" t="s">
        <v>1718</v>
      </c>
      <c r="AD200" s="32" t="s">
        <v>1718</v>
      </c>
      <c r="AE200" s="32" t="s">
        <v>1718</v>
      </c>
      <c r="AF200" s="32" t="s">
        <v>1718</v>
      </c>
      <c r="AG200" s="32" t="s">
        <v>1718</v>
      </c>
      <c r="AH200" s="32" t="s">
        <v>2107</v>
      </c>
      <c r="AI200" s="12" t="s">
        <v>1494</v>
      </c>
      <c r="AJ200" s="12" t="s">
        <v>989</v>
      </c>
      <c r="AK200" s="12" t="s">
        <v>877</v>
      </c>
      <c r="AL200" s="12">
        <v>72895043</v>
      </c>
      <c r="AM200" t="s">
        <v>1718</v>
      </c>
      <c r="AN200" t="s">
        <v>1718</v>
      </c>
      <c r="AO200" t="s">
        <v>1718</v>
      </c>
      <c r="AP200" t="s">
        <v>1718</v>
      </c>
      <c r="AQ200" t="s">
        <v>1718</v>
      </c>
      <c r="AR200" t="s">
        <v>1718</v>
      </c>
      <c r="AS200" t="s">
        <v>1718</v>
      </c>
      <c r="AT200" t="s">
        <v>1718</v>
      </c>
      <c r="AU200" t="s">
        <v>1718</v>
      </c>
      <c r="AV200" t="str">
        <f>VLOOKUP(D200,DATA_SISTEMA!$A$1:$Q$506,12,FALSE)</f>
        <v>BELLAVISTA</v>
      </c>
      <c r="AW200" t="str">
        <f>VLOOKUP(D200,DATA_SISTEMA!$A$1:$Q$506,11,FALSE)</f>
        <v>SULLANA</v>
      </c>
      <c r="AX200" t="str">
        <f>VLOOKUP(D200,DATA_SISTEMA!$A$1:$Q$506,10,FALSE)</f>
        <v>PIURA</v>
      </c>
      <c r="AY200" t="s">
        <v>1718</v>
      </c>
      <c r="AZ200" t="s">
        <v>5028</v>
      </c>
      <c r="BA200" t="s">
        <v>1718</v>
      </c>
      <c r="BB200" t="s">
        <v>5028</v>
      </c>
      <c r="BC200" t="s">
        <v>1718</v>
      </c>
      <c r="BD200" t="s">
        <v>5028</v>
      </c>
      <c r="BE200" t="s">
        <v>1718</v>
      </c>
      <c r="BF200" s="34" t="s">
        <v>2104</v>
      </c>
      <c r="BG200" s="12">
        <v>59.9</v>
      </c>
    </row>
    <row r="201" spans="1:59" x14ac:dyDescent="0.25">
      <c r="A201" s="4">
        <v>200</v>
      </c>
      <c r="B201" s="33" t="s">
        <v>1719</v>
      </c>
      <c r="C201" s="12" t="s">
        <v>1919</v>
      </c>
      <c r="D201" s="44" t="s">
        <v>4721</v>
      </c>
      <c r="E201" s="12" t="s">
        <v>341</v>
      </c>
      <c r="F201" s="36" t="s">
        <v>1718</v>
      </c>
      <c r="G201" s="12">
        <v>900786652</v>
      </c>
      <c r="H201" t="str">
        <f>VLOOKUP(D201,DATA_SISTEMA!$A$1:$Q$506,13,FALSE)</f>
        <v>MERMES N°248</v>
      </c>
      <c r="I201" t="str">
        <f>VLOOKUP(D201,DATA_SISTEMA!$A$1:$Q$506,7,FALSE)</f>
        <v>2002-01-29</v>
      </c>
      <c r="J201" s="32" t="s">
        <v>1718</v>
      </c>
      <c r="K201" s="32" t="s">
        <v>1718</v>
      </c>
      <c r="L201" s="32" t="s">
        <v>1718</v>
      </c>
      <c r="M201">
        <v>318</v>
      </c>
      <c r="N201">
        <v>0</v>
      </c>
      <c r="O201" s="32" t="str">
        <f t="shared" si="3"/>
        <v>2000020261X</v>
      </c>
      <c r="P201" s="32" t="s">
        <v>1718</v>
      </c>
      <c r="Q201" s="32" t="s">
        <v>1718</v>
      </c>
      <c r="R201" s="32" t="s">
        <v>2110</v>
      </c>
      <c r="S201" s="32" t="s">
        <v>5033</v>
      </c>
      <c r="T201" t="str">
        <f>VLOOKUP(D201,DATA_SISTEMA!$A$1:$Q$506,9,FALSE)</f>
        <v>F</v>
      </c>
      <c r="U201" s="32" t="s">
        <v>2106</v>
      </c>
      <c r="V201" s="32" t="s">
        <v>1718</v>
      </c>
      <c r="W201" s="37" t="s">
        <v>5028</v>
      </c>
      <c r="X201" s="32" t="s">
        <v>4522</v>
      </c>
      <c r="Y201" s="32" t="s">
        <v>1718</v>
      </c>
      <c r="Z201" s="32" t="s">
        <v>1718</v>
      </c>
      <c r="AA201" s="32" t="s">
        <v>5028</v>
      </c>
      <c r="AB201" s="32" t="s">
        <v>1718</v>
      </c>
      <c r="AC201" s="32" t="s">
        <v>1718</v>
      </c>
      <c r="AD201" s="32" t="s">
        <v>1718</v>
      </c>
      <c r="AE201" s="32" t="s">
        <v>1718</v>
      </c>
      <c r="AF201" s="32" t="s">
        <v>1718</v>
      </c>
      <c r="AG201" s="32" t="s">
        <v>1718</v>
      </c>
      <c r="AH201" s="32" t="s">
        <v>2107</v>
      </c>
      <c r="AI201" s="12" t="s">
        <v>1495</v>
      </c>
      <c r="AJ201" s="12" t="s">
        <v>1119</v>
      </c>
      <c r="AK201" s="12" t="s">
        <v>1120</v>
      </c>
      <c r="AL201" s="12">
        <v>75791458</v>
      </c>
      <c r="AM201" t="s">
        <v>1718</v>
      </c>
      <c r="AN201" t="s">
        <v>1718</v>
      </c>
      <c r="AO201" t="s">
        <v>1718</v>
      </c>
      <c r="AP201" t="s">
        <v>1718</v>
      </c>
      <c r="AQ201" t="s">
        <v>1718</v>
      </c>
      <c r="AR201" t="s">
        <v>1718</v>
      </c>
      <c r="AS201" t="s">
        <v>1718</v>
      </c>
      <c r="AT201" t="s">
        <v>1718</v>
      </c>
      <c r="AU201" t="s">
        <v>1718</v>
      </c>
      <c r="AV201" t="str">
        <f>VLOOKUP(D201,DATA_SISTEMA!$A$1:$Q$506,12,FALSE)</f>
        <v>JOSE LEONARDO ORTIZ</v>
      </c>
      <c r="AW201" t="str">
        <f>VLOOKUP(D201,DATA_SISTEMA!$A$1:$Q$506,11,FALSE)</f>
        <v>CHICLAYO</v>
      </c>
      <c r="AX201" t="str">
        <f>VLOOKUP(D201,DATA_SISTEMA!$A$1:$Q$506,10,FALSE)</f>
        <v>LAMBAYEQUE</v>
      </c>
      <c r="AY201" t="s">
        <v>1718</v>
      </c>
      <c r="AZ201" t="s">
        <v>5028</v>
      </c>
      <c r="BA201" t="s">
        <v>1718</v>
      </c>
      <c r="BB201" t="s">
        <v>5028</v>
      </c>
      <c r="BC201" t="s">
        <v>1718</v>
      </c>
      <c r="BD201" t="s">
        <v>5028</v>
      </c>
      <c r="BE201" t="s">
        <v>1718</v>
      </c>
      <c r="BF201" s="34" t="s">
        <v>2104</v>
      </c>
      <c r="BG201" s="12">
        <v>59.8</v>
      </c>
    </row>
    <row r="202" spans="1:59" x14ac:dyDescent="0.25">
      <c r="A202" s="4">
        <v>201</v>
      </c>
      <c r="B202" s="33" t="s">
        <v>1719</v>
      </c>
      <c r="C202" s="12" t="s">
        <v>1920</v>
      </c>
      <c r="D202" s="44" t="s">
        <v>4722</v>
      </c>
      <c r="E202" s="12" t="s">
        <v>343</v>
      </c>
      <c r="F202" s="36" t="s">
        <v>1718</v>
      </c>
      <c r="G202" s="12">
        <v>932117577</v>
      </c>
      <c r="H202" t="str">
        <f>VLOOKUP(D202,DATA_SISTEMA!$A$1:$Q$506,13,FALSE)</f>
        <v>AVENIDA ZARUMILLA 840</v>
      </c>
      <c r="I202" t="str">
        <f>VLOOKUP(D202,DATA_SISTEMA!$A$1:$Q$506,7,FALSE)</f>
        <v>1997-10-20</v>
      </c>
      <c r="J202" s="32" t="s">
        <v>1718</v>
      </c>
      <c r="K202" s="32" t="s">
        <v>1718</v>
      </c>
      <c r="L202" s="32" t="s">
        <v>1718</v>
      </c>
      <c r="M202">
        <v>318</v>
      </c>
      <c r="N202">
        <v>0</v>
      </c>
      <c r="O202" s="32" t="str">
        <f t="shared" si="3"/>
        <v>2010020261X</v>
      </c>
      <c r="P202" s="32" t="s">
        <v>1718</v>
      </c>
      <c r="Q202" s="32" t="s">
        <v>1718</v>
      </c>
      <c r="R202" s="32" t="s">
        <v>2110</v>
      </c>
      <c r="S202" s="32" t="s">
        <v>5033</v>
      </c>
      <c r="T202" t="str">
        <f>VLOOKUP(D202,DATA_SISTEMA!$A$1:$Q$506,9,FALSE)</f>
        <v>F</v>
      </c>
      <c r="U202" s="32" t="s">
        <v>2106</v>
      </c>
      <c r="V202" s="32" t="s">
        <v>1718</v>
      </c>
      <c r="W202" s="37" t="s">
        <v>5028</v>
      </c>
      <c r="X202" s="32" t="s">
        <v>4522</v>
      </c>
      <c r="Y202" s="32" t="s">
        <v>1718</v>
      </c>
      <c r="Z202" s="32" t="s">
        <v>1718</v>
      </c>
      <c r="AA202" s="32" t="s">
        <v>5028</v>
      </c>
      <c r="AB202" s="32" t="s">
        <v>1718</v>
      </c>
      <c r="AC202" s="32" t="s">
        <v>1718</v>
      </c>
      <c r="AD202" s="32" t="s">
        <v>1718</v>
      </c>
      <c r="AE202" s="32" t="s">
        <v>1718</v>
      </c>
      <c r="AF202" s="32" t="s">
        <v>1718</v>
      </c>
      <c r="AG202" s="32" t="s">
        <v>1718</v>
      </c>
      <c r="AH202" s="32" t="s">
        <v>2107</v>
      </c>
      <c r="AI202" s="12" t="s">
        <v>1496</v>
      </c>
      <c r="AJ202" s="12" t="s">
        <v>1121</v>
      </c>
      <c r="AK202" s="12" t="s">
        <v>1122</v>
      </c>
      <c r="AL202" s="12">
        <v>71004749</v>
      </c>
      <c r="AM202" t="s">
        <v>1718</v>
      </c>
      <c r="AN202" t="s">
        <v>1718</v>
      </c>
      <c r="AO202" t="s">
        <v>1718</v>
      </c>
      <c r="AP202" t="s">
        <v>1718</v>
      </c>
      <c r="AQ202" t="s">
        <v>1718</v>
      </c>
      <c r="AR202" t="s">
        <v>1718</v>
      </c>
      <c r="AS202" t="s">
        <v>1718</v>
      </c>
      <c r="AT202" t="s">
        <v>1718</v>
      </c>
      <c r="AU202" t="s">
        <v>1718</v>
      </c>
      <c r="AV202" t="str">
        <f>VLOOKUP(D202,DATA_SISTEMA!$A$1:$Q$506,12,FALSE)</f>
        <v>CHICLAYO</v>
      </c>
      <c r="AW202" t="str">
        <f>VLOOKUP(D202,DATA_SISTEMA!$A$1:$Q$506,11,FALSE)</f>
        <v>CHICLAYO</v>
      </c>
      <c r="AX202" t="str">
        <f>VLOOKUP(D202,DATA_SISTEMA!$A$1:$Q$506,10,FALSE)</f>
        <v>LAMBAYEQUE</v>
      </c>
      <c r="AY202" t="s">
        <v>1718</v>
      </c>
      <c r="AZ202" t="s">
        <v>5028</v>
      </c>
      <c r="BA202" t="s">
        <v>1718</v>
      </c>
      <c r="BB202" t="s">
        <v>5028</v>
      </c>
      <c r="BC202" t="s">
        <v>1718</v>
      </c>
      <c r="BD202" t="s">
        <v>5028</v>
      </c>
      <c r="BE202" t="s">
        <v>1718</v>
      </c>
      <c r="BF202" s="34" t="s">
        <v>2104</v>
      </c>
      <c r="BG202" s="12">
        <v>57.9</v>
      </c>
    </row>
    <row r="203" spans="1:59" x14ac:dyDescent="0.25">
      <c r="A203" s="4">
        <v>202</v>
      </c>
      <c r="B203" s="33" t="s">
        <v>1719</v>
      </c>
      <c r="C203" s="12" t="s">
        <v>1921</v>
      </c>
      <c r="D203" s="44" t="s">
        <v>4723</v>
      </c>
      <c r="E203" s="12" t="s">
        <v>345</v>
      </c>
      <c r="F203" s="36" t="s">
        <v>1718</v>
      </c>
      <c r="G203" s="12">
        <v>904405225</v>
      </c>
      <c r="H203" t="str">
        <f>VLOOKUP(D203,DATA_SISTEMA!$A$1:$Q$506,13,FALSE)</f>
        <v>CALLE PEDRO DIEZ CANSECO N° 155 -URB REMIGIO SILVA</v>
      </c>
      <c r="I203" t="str">
        <f>VLOOKUP(D203,DATA_SISTEMA!$A$1:$Q$506,7,FALSE)</f>
        <v>1992-11-10</v>
      </c>
      <c r="J203" s="32" t="s">
        <v>1718</v>
      </c>
      <c r="K203" s="32" t="s">
        <v>1718</v>
      </c>
      <c r="L203" s="32" t="s">
        <v>1718</v>
      </c>
      <c r="M203">
        <v>318</v>
      </c>
      <c r="N203">
        <v>0</v>
      </c>
      <c r="O203" s="32" t="str">
        <f t="shared" si="3"/>
        <v>2020020261X</v>
      </c>
      <c r="P203" s="32" t="s">
        <v>1718</v>
      </c>
      <c r="Q203" s="32" t="s">
        <v>1718</v>
      </c>
      <c r="R203" s="32" t="s">
        <v>2110</v>
      </c>
      <c r="S203" s="32" t="s">
        <v>5033</v>
      </c>
      <c r="T203" t="str">
        <f>VLOOKUP(D203,DATA_SISTEMA!$A$1:$Q$506,9,FALSE)</f>
        <v>M</v>
      </c>
      <c r="U203" s="32" t="s">
        <v>2106</v>
      </c>
      <c r="V203" s="32" t="s">
        <v>1718</v>
      </c>
      <c r="W203" s="37" t="s">
        <v>5028</v>
      </c>
      <c r="X203" s="32" t="s">
        <v>4522</v>
      </c>
      <c r="Y203" s="32" t="s">
        <v>1718</v>
      </c>
      <c r="Z203" s="32" t="s">
        <v>1718</v>
      </c>
      <c r="AA203" s="32" t="s">
        <v>5028</v>
      </c>
      <c r="AB203" s="32" t="s">
        <v>1718</v>
      </c>
      <c r="AC203" s="32" t="s">
        <v>1718</v>
      </c>
      <c r="AD203" s="32" t="s">
        <v>1718</v>
      </c>
      <c r="AE203" s="32" t="s">
        <v>1718</v>
      </c>
      <c r="AF203" s="32" t="s">
        <v>1718</v>
      </c>
      <c r="AG203" s="32" t="s">
        <v>1718</v>
      </c>
      <c r="AH203" s="32" t="s">
        <v>2107</v>
      </c>
      <c r="AI203" s="12" t="s">
        <v>1497</v>
      </c>
      <c r="AJ203" s="12" t="s">
        <v>1123</v>
      </c>
      <c r="AK203" s="12" t="s">
        <v>921</v>
      </c>
      <c r="AL203" s="12">
        <v>47987149</v>
      </c>
      <c r="AM203" t="s">
        <v>1718</v>
      </c>
      <c r="AN203" t="s">
        <v>1718</v>
      </c>
      <c r="AO203" t="s">
        <v>1718</v>
      </c>
      <c r="AP203" t="s">
        <v>1718</v>
      </c>
      <c r="AQ203" t="s">
        <v>1718</v>
      </c>
      <c r="AR203" t="s">
        <v>1718</v>
      </c>
      <c r="AS203" t="s">
        <v>1718</v>
      </c>
      <c r="AT203" t="s">
        <v>1718</v>
      </c>
      <c r="AU203" t="s">
        <v>1718</v>
      </c>
      <c r="AV203" t="str">
        <f>VLOOKUP(D203,DATA_SISTEMA!$A$1:$Q$506,12,FALSE)</f>
        <v>CHICLAYO</v>
      </c>
      <c r="AW203" t="str">
        <f>VLOOKUP(D203,DATA_SISTEMA!$A$1:$Q$506,11,FALSE)</f>
        <v>CHICLAYO</v>
      </c>
      <c r="AX203" t="str">
        <f>VLOOKUP(D203,DATA_SISTEMA!$A$1:$Q$506,10,FALSE)</f>
        <v>LAMBAYEQUE</v>
      </c>
      <c r="AY203" t="s">
        <v>1718</v>
      </c>
      <c r="AZ203" t="s">
        <v>5028</v>
      </c>
      <c r="BA203" t="s">
        <v>1718</v>
      </c>
      <c r="BB203" t="s">
        <v>5028</v>
      </c>
      <c r="BC203" t="s">
        <v>1718</v>
      </c>
      <c r="BD203" t="s">
        <v>5028</v>
      </c>
      <c r="BE203" t="s">
        <v>1718</v>
      </c>
      <c r="BF203" s="34" t="s">
        <v>2104</v>
      </c>
      <c r="BG203" s="12">
        <v>57</v>
      </c>
    </row>
    <row r="204" spans="1:59" x14ac:dyDescent="0.25">
      <c r="A204" s="4">
        <v>203</v>
      </c>
      <c r="B204" s="33" t="s">
        <v>1719</v>
      </c>
      <c r="C204" s="12" t="s">
        <v>1922</v>
      </c>
      <c r="D204" s="44" t="s">
        <v>4724</v>
      </c>
      <c r="E204" s="12" t="s">
        <v>347</v>
      </c>
      <c r="F204" s="36" t="s">
        <v>1718</v>
      </c>
      <c r="G204" s="12">
        <v>968185208</v>
      </c>
      <c r="H204" t="str">
        <f>VLOOKUP(D204,DATA_SISTEMA!$A$1:$Q$506,13,FALSE)</f>
        <v>PIURA 809</v>
      </c>
      <c r="I204" t="str">
        <f>VLOOKUP(D204,DATA_SISTEMA!$A$1:$Q$506,7,FALSE)</f>
        <v>1994-09-04</v>
      </c>
      <c r="J204" s="32" t="s">
        <v>1718</v>
      </c>
      <c r="K204" s="32" t="s">
        <v>1718</v>
      </c>
      <c r="L204" s="32" t="s">
        <v>1718</v>
      </c>
      <c r="M204">
        <v>318</v>
      </c>
      <c r="N204">
        <v>0</v>
      </c>
      <c r="O204" s="32" t="str">
        <f t="shared" si="3"/>
        <v>2030020261X</v>
      </c>
      <c r="P204" s="32" t="s">
        <v>1718</v>
      </c>
      <c r="Q204" s="32" t="s">
        <v>1718</v>
      </c>
      <c r="R204" s="32" t="s">
        <v>2110</v>
      </c>
      <c r="S204" s="32" t="s">
        <v>5033</v>
      </c>
      <c r="T204" t="str">
        <f>VLOOKUP(D204,DATA_SISTEMA!$A$1:$Q$506,9,FALSE)</f>
        <v>F</v>
      </c>
      <c r="U204" s="32" t="s">
        <v>2106</v>
      </c>
      <c r="V204" s="32" t="s">
        <v>1718</v>
      </c>
      <c r="W204" s="37" t="s">
        <v>5028</v>
      </c>
      <c r="X204" s="32" t="s">
        <v>4522</v>
      </c>
      <c r="Y204" s="32" t="s">
        <v>1718</v>
      </c>
      <c r="Z204" s="32" t="s">
        <v>1718</v>
      </c>
      <c r="AA204" s="32" t="s">
        <v>5028</v>
      </c>
      <c r="AB204" s="32" t="s">
        <v>1718</v>
      </c>
      <c r="AC204" s="32" t="s">
        <v>1718</v>
      </c>
      <c r="AD204" s="32" t="s">
        <v>1718</v>
      </c>
      <c r="AE204" s="32" t="s">
        <v>1718</v>
      </c>
      <c r="AF204" s="32" t="s">
        <v>1718</v>
      </c>
      <c r="AG204" s="32" t="s">
        <v>1718</v>
      </c>
      <c r="AH204" s="32" t="s">
        <v>2107</v>
      </c>
      <c r="AI204" s="12" t="s">
        <v>1498</v>
      </c>
      <c r="AJ204" s="12" t="s">
        <v>1124</v>
      </c>
      <c r="AK204" s="12" t="s">
        <v>1125</v>
      </c>
      <c r="AL204" s="12">
        <v>76959064</v>
      </c>
      <c r="AM204" t="s">
        <v>1718</v>
      </c>
      <c r="AN204" t="s">
        <v>1718</v>
      </c>
      <c r="AO204" t="s">
        <v>1718</v>
      </c>
      <c r="AP204" t="s">
        <v>1718</v>
      </c>
      <c r="AQ204" t="s">
        <v>1718</v>
      </c>
      <c r="AR204" t="s">
        <v>1718</v>
      </c>
      <c r="AS204" t="s">
        <v>1718</v>
      </c>
      <c r="AT204" t="s">
        <v>1718</v>
      </c>
      <c r="AU204" t="s">
        <v>1718</v>
      </c>
      <c r="AV204" t="str">
        <f>VLOOKUP(D204,DATA_SISTEMA!$A$1:$Q$506,12,FALSE)</f>
        <v>LAMBAYEQUE</v>
      </c>
      <c r="AW204" t="str">
        <f>VLOOKUP(D204,DATA_SISTEMA!$A$1:$Q$506,11,FALSE)</f>
        <v>LAMBAYEQUE</v>
      </c>
      <c r="AX204" t="str">
        <f>VLOOKUP(D204,DATA_SISTEMA!$A$1:$Q$506,10,FALSE)</f>
        <v>LAMBAYEQUE</v>
      </c>
      <c r="AY204" t="s">
        <v>1718</v>
      </c>
      <c r="AZ204" t="s">
        <v>5028</v>
      </c>
      <c r="BA204" t="s">
        <v>1718</v>
      </c>
      <c r="BB204" t="s">
        <v>5028</v>
      </c>
      <c r="BC204" t="s">
        <v>1718</v>
      </c>
      <c r="BD204" t="s">
        <v>5028</v>
      </c>
      <c r="BE204" t="s">
        <v>1718</v>
      </c>
      <c r="BF204" s="34" t="s">
        <v>2104</v>
      </c>
      <c r="BG204" s="12">
        <v>56.6</v>
      </c>
    </row>
    <row r="205" spans="1:59" x14ac:dyDescent="0.25">
      <c r="A205" s="4">
        <v>204</v>
      </c>
      <c r="B205" s="33" t="s">
        <v>1719</v>
      </c>
      <c r="C205" s="12" t="s">
        <v>1923</v>
      </c>
      <c r="D205" s="44" t="s">
        <v>4725</v>
      </c>
      <c r="E205" s="12" t="s">
        <v>349</v>
      </c>
      <c r="F205" s="36" t="s">
        <v>1718</v>
      </c>
      <c r="G205" s="12">
        <v>952809556</v>
      </c>
      <c r="H205" t="str">
        <f>VLOOKUP(D205,DATA_SISTEMA!$A$1:$Q$506,13,FALSE)</f>
        <v>CARLOS STEIN MZ I , LT 18, JOSÉ LEONARDO ORTIZ</v>
      </c>
      <c r="I205" t="str">
        <f>VLOOKUP(D205,DATA_SISTEMA!$A$1:$Q$506,7,FALSE)</f>
        <v>1973-08-04</v>
      </c>
      <c r="J205" s="32" t="s">
        <v>1718</v>
      </c>
      <c r="K205" s="32" t="s">
        <v>1718</v>
      </c>
      <c r="L205" s="32" t="s">
        <v>1718</v>
      </c>
      <c r="M205">
        <v>318</v>
      </c>
      <c r="N205">
        <v>0</v>
      </c>
      <c r="O205" s="32" t="str">
        <f t="shared" si="3"/>
        <v>2040020261X</v>
      </c>
      <c r="P205" s="32" t="s">
        <v>1718</v>
      </c>
      <c r="Q205" s="32" t="s">
        <v>1718</v>
      </c>
      <c r="R205" s="32" t="s">
        <v>2110</v>
      </c>
      <c r="S205" s="32" t="s">
        <v>5033</v>
      </c>
      <c r="T205" t="str">
        <f>VLOOKUP(D205,DATA_SISTEMA!$A$1:$Q$506,9,FALSE)</f>
        <v>M</v>
      </c>
      <c r="U205" s="32" t="s">
        <v>2106</v>
      </c>
      <c r="V205" s="32" t="s">
        <v>1718</v>
      </c>
      <c r="W205" s="37" t="s">
        <v>5028</v>
      </c>
      <c r="X205" s="32" t="s">
        <v>4522</v>
      </c>
      <c r="Y205" s="32" t="s">
        <v>1718</v>
      </c>
      <c r="Z205" s="32" t="s">
        <v>1718</v>
      </c>
      <c r="AA205" s="32" t="s">
        <v>5028</v>
      </c>
      <c r="AB205" s="32" t="s">
        <v>1718</v>
      </c>
      <c r="AC205" s="32" t="s">
        <v>1718</v>
      </c>
      <c r="AD205" s="32" t="s">
        <v>1718</v>
      </c>
      <c r="AE205" s="32" t="s">
        <v>1718</v>
      </c>
      <c r="AF205" s="32" t="s">
        <v>1718</v>
      </c>
      <c r="AG205" s="32" t="s">
        <v>1718</v>
      </c>
      <c r="AH205" s="32" t="s">
        <v>2107</v>
      </c>
      <c r="AI205" s="12" t="s">
        <v>1499</v>
      </c>
      <c r="AJ205" s="12" t="s">
        <v>1070</v>
      </c>
      <c r="AK205" s="12" t="s">
        <v>1126</v>
      </c>
      <c r="AL205" s="12">
        <v>16774611</v>
      </c>
      <c r="AM205" t="s">
        <v>1718</v>
      </c>
      <c r="AN205" t="s">
        <v>1718</v>
      </c>
      <c r="AO205" t="s">
        <v>1718</v>
      </c>
      <c r="AP205" t="s">
        <v>1718</v>
      </c>
      <c r="AQ205" t="s">
        <v>1718</v>
      </c>
      <c r="AR205" t="s">
        <v>1718</v>
      </c>
      <c r="AS205" t="s">
        <v>1718</v>
      </c>
      <c r="AT205" t="s">
        <v>1718</v>
      </c>
      <c r="AU205" t="s">
        <v>1718</v>
      </c>
      <c r="AV205" t="str">
        <f>VLOOKUP(D205,DATA_SISTEMA!$A$1:$Q$506,12,FALSE)</f>
        <v>PICSI</v>
      </c>
      <c r="AW205" t="str">
        <f>VLOOKUP(D205,DATA_SISTEMA!$A$1:$Q$506,11,FALSE)</f>
        <v>CHICLAYO</v>
      </c>
      <c r="AX205" t="str">
        <f>VLOOKUP(D205,DATA_SISTEMA!$A$1:$Q$506,10,FALSE)</f>
        <v>LAMBAYEQUE</v>
      </c>
      <c r="AY205" t="s">
        <v>1718</v>
      </c>
      <c r="AZ205" t="s">
        <v>5028</v>
      </c>
      <c r="BA205" t="s">
        <v>1718</v>
      </c>
      <c r="BB205" t="s">
        <v>5028</v>
      </c>
      <c r="BC205" t="s">
        <v>1718</v>
      </c>
      <c r="BD205" t="s">
        <v>5028</v>
      </c>
      <c r="BE205" t="s">
        <v>1718</v>
      </c>
      <c r="BF205" s="34" t="s">
        <v>2104</v>
      </c>
      <c r="BG205" s="12">
        <v>55.8</v>
      </c>
    </row>
    <row r="206" spans="1:59" x14ac:dyDescent="0.25">
      <c r="A206" s="4">
        <v>205</v>
      </c>
      <c r="B206" s="33" t="s">
        <v>1719</v>
      </c>
      <c r="C206" s="12" t="s">
        <v>1924</v>
      </c>
      <c r="D206" s="44" t="s">
        <v>4726</v>
      </c>
      <c r="E206" s="12" t="s">
        <v>352</v>
      </c>
      <c r="F206" s="36" t="s">
        <v>1718</v>
      </c>
      <c r="G206" s="12">
        <v>963128554</v>
      </c>
      <c r="H206" t="str">
        <f>VLOOKUP(D206,DATA_SISTEMA!$A$1:$Q$506,13,FALSE)</f>
        <v>LA LIBERTAD #231 URB.CARLOS STEIN</v>
      </c>
      <c r="I206" t="str">
        <f>VLOOKUP(D206,DATA_SISTEMA!$A$1:$Q$506,7,FALSE)</f>
        <v>1973-12-06</v>
      </c>
      <c r="J206" s="32" t="s">
        <v>1718</v>
      </c>
      <c r="K206" s="32" t="s">
        <v>1718</v>
      </c>
      <c r="L206" s="32" t="s">
        <v>1718</v>
      </c>
      <c r="M206">
        <v>318</v>
      </c>
      <c r="N206">
        <v>0</v>
      </c>
      <c r="O206" s="32" t="str">
        <f t="shared" si="3"/>
        <v>2050020261X</v>
      </c>
      <c r="P206" s="32" t="s">
        <v>1718</v>
      </c>
      <c r="Q206" s="32" t="s">
        <v>1718</v>
      </c>
      <c r="R206" s="32" t="s">
        <v>2110</v>
      </c>
      <c r="S206" s="32" t="s">
        <v>5033</v>
      </c>
      <c r="T206" t="str">
        <f>VLOOKUP(D206,DATA_SISTEMA!$A$1:$Q$506,9,FALSE)</f>
        <v>F</v>
      </c>
      <c r="U206" s="32" t="s">
        <v>2106</v>
      </c>
      <c r="V206" s="32" t="s">
        <v>1718</v>
      </c>
      <c r="W206" s="37" t="s">
        <v>5028</v>
      </c>
      <c r="X206" s="32" t="s">
        <v>4522</v>
      </c>
      <c r="Y206" s="32" t="s">
        <v>1718</v>
      </c>
      <c r="Z206" s="32" t="s">
        <v>1718</v>
      </c>
      <c r="AA206" s="32" t="s">
        <v>5028</v>
      </c>
      <c r="AB206" s="32" t="s">
        <v>1718</v>
      </c>
      <c r="AC206" s="32" t="s">
        <v>1718</v>
      </c>
      <c r="AD206" s="32" t="s">
        <v>1718</v>
      </c>
      <c r="AE206" s="32" t="s">
        <v>1718</v>
      </c>
      <c r="AF206" s="32" t="s">
        <v>1718</v>
      </c>
      <c r="AG206" s="32" t="s">
        <v>1718</v>
      </c>
      <c r="AH206" s="32" t="s">
        <v>2107</v>
      </c>
      <c r="AI206" s="12" t="s">
        <v>1500</v>
      </c>
      <c r="AJ206" s="12" t="s">
        <v>1120</v>
      </c>
      <c r="AK206" s="12" t="s">
        <v>1127</v>
      </c>
      <c r="AL206" s="12" t="s">
        <v>350</v>
      </c>
      <c r="AM206" t="s">
        <v>1718</v>
      </c>
      <c r="AN206" t="s">
        <v>1718</v>
      </c>
      <c r="AO206" t="s">
        <v>1718</v>
      </c>
      <c r="AP206" t="s">
        <v>1718</v>
      </c>
      <c r="AQ206" t="s">
        <v>1718</v>
      </c>
      <c r="AR206" t="s">
        <v>1718</v>
      </c>
      <c r="AS206" t="s">
        <v>1718</v>
      </c>
      <c r="AT206" t="s">
        <v>1718</v>
      </c>
      <c r="AU206" t="s">
        <v>1718</v>
      </c>
      <c r="AV206" t="str">
        <f>VLOOKUP(D206,DATA_SISTEMA!$A$1:$Q$506,12,FALSE)</f>
        <v>JOSE LEONARDO ORTIZ</v>
      </c>
      <c r="AW206" t="str">
        <f>VLOOKUP(D206,DATA_SISTEMA!$A$1:$Q$506,11,FALSE)</f>
        <v>CHICLAYO</v>
      </c>
      <c r="AX206" t="str">
        <f>VLOOKUP(D206,DATA_SISTEMA!$A$1:$Q$506,10,FALSE)</f>
        <v>LAMBAYEQUE</v>
      </c>
      <c r="AY206" t="s">
        <v>1718</v>
      </c>
      <c r="AZ206" t="s">
        <v>5028</v>
      </c>
      <c r="BA206" t="s">
        <v>1718</v>
      </c>
      <c r="BB206" t="s">
        <v>5028</v>
      </c>
      <c r="BC206" t="s">
        <v>1718</v>
      </c>
      <c r="BD206" t="s">
        <v>5028</v>
      </c>
      <c r="BE206" t="s">
        <v>1718</v>
      </c>
      <c r="BF206" s="34" t="s">
        <v>2104</v>
      </c>
      <c r="BG206" s="12">
        <v>55.7</v>
      </c>
    </row>
    <row r="207" spans="1:59" x14ac:dyDescent="0.25">
      <c r="A207" s="4">
        <v>206</v>
      </c>
      <c r="B207" s="33" t="s">
        <v>1719</v>
      </c>
      <c r="C207" s="12" t="s">
        <v>1925</v>
      </c>
      <c r="D207" s="44" t="s">
        <v>4727</v>
      </c>
      <c r="E207" s="12" t="s">
        <v>355</v>
      </c>
      <c r="F207" s="36" t="s">
        <v>1718</v>
      </c>
      <c r="G207" s="12">
        <v>975618503</v>
      </c>
      <c r="H207" t="str">
        <f>VLOOKUP(D207,DATA_SISTEMA!$A$1:$Q$506,13,FALSE)</f>
        <v>AV. ELVIRA GARCIA GARCIA 920- DPTO 303 URB. PATAZCA - CHICLAYO</v>
      </c>
      <c r="I207" t="str">
        <f>VLOOKUP(D207,DATA_SISTEMA!$A$1:$Q$506,7,FALSE)</f>
        <v>1963-10-19</v>
      </c>
      <c r="J207" s="32" t="s">
        <v>1718</v>
      </c>
      <c r="K207" s="32" t="s">
        <v>1718</v>
      </c>
      <c r="L207" s="32" t="s">
        <v>1718</v>
      </c>
      <c r="M207">
        <v>318</v>
      </c>
      <c r="N207">
        <v>0</v>
      </c>
      <c r="O207" s="32" t="str">
        <f t="shared" si="3"/>
        <v>2060020261X</v>
      </c>
      <c r="P207" s="32" t="s">
        <v>1718</v>
      </c>
      <c r="Q207" s="32" t="s">
        <v>1718</v>
      </c>
      <c r="R207" s="32" t="s">
        <v>2110</v>
      </c>
      <c r="S207" s="32" t="s">
        <v>5033</v>
      </c>
      <c r="T207" t="str">
        <f>VLOOKUP(D207,DATA_SISTEMA!$A$1:$Q$506,9,FALSE)</f>
        <v>M</v>
      </c>
      <c r="U207" s="32" t="s">
        <v>2106</v>
      </c>
      <c r="V207" s="32" t="s">
        <v>1718</v>
      </c>
      <c r="W207" s="37" t="s">
        <v>5028</v>
      </c>
      <c r="X207" s="32" t="s">
        <v>4522</v>
      </c>
      <c r="Y207" s="32" t="s">
        <v>1718</v>
      </c>
      <c r="Z207" s="32" t="s">
        <v>1718</v>
      </c>
      <c r="AA207" s="32" t="s">
        <v>5028</v>
      </c>
      <c r="AB207" s="32" t="s">
        <v>1718</v>
      </c>
      <c r="AC207" s="32" t="s">
        <v>1718</v>
      </c>
      <c r="AD207" s="32" t="s">
        <v>1718</v>
      </c>
      <c r="AE207" s="32" t="s">
        <v>1718</v>
      </c>
      <c r="AF207" s="32" t="s">
        <v>1718</v>
      </c>
      <c r="AG207" s="32" t="s">
        <v>1718</v>
      </c>
      <c r="AH207" s="32" t="s">
        <v>2107</v>
      </c>
      <c r="AI207" s="12" t="s">
        <v>1369</v>
      </c>
      <c r="AJ207" s="12" t="s">
        <v>1128</v>
      </c>
      <c r="AK207" s="12" t="s">
        <v>1129</v>
      </c>
      <c r="AL207" s="12" t="s">
        <v>353</v>
      </c>
      <c r="AM207" t="s">
        <v>1718</v>
      </c>
      <c r="AN207" t="s">
        <v>1718</v>
      </c>
      <c r="AO207" t="s">
        <v>1718</v>
      </c>
      <c r="AP207" t="s">
        <v>1718</v>
      </c>
      <c r="AQ207" t="s">
        <v>1718</v>
      </c>
      <c r="AR207" t="s">
        <v>1718</v>
      </c>
      <c r="AS207" t="s">
        <v>1718</v>
      </c>
      <c r="AT207" t="s">
        <v>1718</v>
      </c>
      <c r="AU207" t="s">
        <v>1718</v>
      </c>
      <c r="AV207" t="str">
        <f>VLOOKUP(D207,DATA_SISTEMA!$A$1:$Q$506,12,FALSE)</f>
        <v>CHICLAYO</v>
      </c>
      <c r="AW207" t="str">
        <f>VLOOKUP(D207,DATA_SISTEMA!$A$1:$Q$506,11,FALSE)</f>
        <v>CHICLAYO</v>
      </c>
      <c r="AX207" t="str">
        <f>VLOOKUP(D207,DATA_SISTEMA!$A$1:$Q$506,10,FALSE)</f>
        <v>LAMBAYEQUE</v>
      </c>
      <c r="AY207" t="s">
        <v>1718</v>
      </c>
      <c r="AZ207" t="s">
        <v>5028</v>
      </c>
      <c r="BA207" t="s">
        <v>1718</v>
      </c>
      <c r="BB207" t="s">
        <v>5028</v>
      </c>
      <c r="BC207" t="s">
        <v>1718</v>
      </c>
      <c r="BD207" t="s">
        <v>5028</v>
      </c>
      <c r="BE207" t="s">
        <v>1718</v>
      </c>
      <c r="BF207" s="34" t="s">
        <v>2104</v>
      </c>
      <c r="BG207" s="12">
        <v>55</v>
      </c>
    </row>
    <row r="208" spans="1:59" x14ac:dyDescent="0.25">
      <c r="A208" s="4">
        <v>207</v>
      </c>
      <c r="B208" s="33" t="s">
        <v>1719</v>
      </c>
      <c r="C208" s="12" t="s">
        <v>1926</v>
      </c>
      <c r="D208" s="44" t="s">
        <v>4728</v>
      </c>
      <c r="E208" s="12" t="s">
        <v>357</v>
      </c>
      <c r="F208" s="36" t="s">
        <v>1718</v>
      </c>
      <c r="G208" s="12">
        <v>979410962</v>
      </c>
      <c r="H208" t="str">
        <f>VLOOKUP(D208,DATA_SISTEMA!$A$1:$Q$506,13,FALSE)</f>
        <v>1080 AV. MIGUEL GRAU 1080</v>
      </c>
      <c r="I208" t="str">
        <f>VLOOKUP(D208,DATA_SISTEMA!$A$1:$Q$506,7,FALSE)</f>
        <v>1974-08-15</v>
      </c>
      <c r="J208" s="32" t="s">
        <v>1718</v>
      </c>
      <c r="K208" s="32" t="s">
        <v>1718</v>
      </c>
      <c r="L208" s="32" t="s">
        <v>1718</v>
      </c>
      <c r="M208">
        <v>318</v>
      </c>
      <c r="N208">
        <v>0</v>
      </c>
      <c r="O208" s="32" t="str">
        <f t="shared" si="3"/>
        <v>2070020261X</v>
      </c>
      <c r="P208" s="32" t="s">
        <v>1718</v>
      </c>
      <c r="Q208" s="32" t="s">
        <v>1718</v>
      </c>
      <c r="R208" s="32" t="s">
        <v>2110</v>
      </c>
      <c r="S208" s="32" t="s">
        <v>5033</v>
      </c>
      <c r="T208" t="str">
        <f>VLOOKUP(D208,DATA_SISTEMA!$A$1:$Q$506,9,FALSE)</f>
        <v>F</v>
      </c>
      <c r="U208" s="32" t="s">
        <v>2106</v>
      </c>
      <c r="V208" s="32" t="s">
        <v>1718</v>
      </c>
      <c r="W208" s="37" t="s">
        <v>5028</v>
      </c>
      <c r="X208" s="32" t="s">
        <v>4522</v>
      </c>
      <c r="Y208" s="32" t="s">
        <v>1718</v>
      </c>
      <c r="Z208" s="32" t="s">
        <v>1718</v>
      </c>
      <c r="AA208" s="32" t="s">
        <v>5028</v>
      </c>
      <c r="AB208" s="32" t="s">
        <v>1718</v>
      </c>
      <c r="AC208" s="32" t="s">
        <v>1718</v>
      </c>
      <c r="AD208" s="32" t="s">
        <v>1718</v>
      </c>
      <c r="AE208" s="32" t="s">
        <v>1718</v>
      </c>
      <c r="AF208" s="32" t="s">
        <v>1718</v>
      </c>
      <c r="AG208" s="32" t="s">
        <v>1718</v>
      </c>
      <c r="AH208" s="32" t="s">
        <v>2107</v>
      </c>
      <c r="AI208" s="12" t="s">
        <v>1501</v>
      </c>
      <c r="AJ208" s="12" t="s">
        <v>1130</v>
      </c>
      <c r="AK208" s="12" t="s">
        <v>1131</v>
      </c>
      <c r="AL208" s="12">
        <v>16691936</v>
      </c>
      <c r="AM208" t="s">
        <v>1718</v>
      </c>
      <c r="AN208" t="s">
        <v>1718</v>
      </c>
      <c r="AO208" t="s">
        <v>1718</v>
      </c>
      <c r="AP208" t="s">
        <v>1718</v>
      </c>
      <c r="AQ208" t="s">
        <v>1718</v>
      </c>
      <c r="AR208" t="s">
        <v>1718</v>
      </c>
      <c r="AS208" t="s">
        <v>1718</v>
      </c>
      <c r="AT208" t="s">
        <v>1718</v>
      </c>
      <c r="AU208" t="s">
        <v>1718</v>
      </c>
      <c r="AV208" t="str">
        <f>VLOOKUP(D208,DATA_SISTEMA!$A$1:$Q$506,12,FALSE)</f>
        <v>CHICLAYO</v>
      </c>
      <c r="AW208" t="str">
        <f>VLOOKUP(D208,DATA_SISTEMA!$A$1:$Q$506,11,FALSE)</f>
        <v>CHICLAYO</v>
      </c>
      <c r="AX208" t="str">
        <f>VLOOKUP(D208,DATA_SISTEMA!$A$1:$Q$506,10,FALSE)</f>
        <v>LAMBAYEQUE</v>
      </c>
      <c r="AY208" t="s">
        <v>1718</v>
      </c>
      <c r="AZ208" t="s">
        <v>5028</v>
      </c>
      <c r="BA208" t="s">
        <v>1718</v>
      </c>
      <c r="BB208" t="s">
        <v>5028</v>
      </c>
      <c r="BC208" t="s">
        <v>1718</v>
      </c>
      <c r="BD208" t="s">
        <v>5028</v>
      </c>
      <c r="BE208" t="s">
        <v>1718</v>
      </c>
      <c r="BF208" s="34" t="s">
        <v>2104</v>
      </c>
      <c r="BG208" s="12">
        <v>52.8</v>
      </c>
    </row>
    <row r="209" spans="1:59" x14ac:dyDescent="0.25">
      <c r="A209" s="4">
        <v>208</v>
      </c>
      <c r="B209" s="33" t="s">
        <v>1719</v>
      </c>
      <c r="C209" s="12" t="s">
        <v>1927</v>
      </c>
      <c r="D209" s="44" t="s">
        <v>4729</v>
      </c>
      <c r="E209" s="12" t="s">
        <v>359</v>
      </c>
      <c r="F209" s="36" t="s">
        <v>1718</v>
      </c>
      <c r="G209" s="12">
        <v>936244503</v>
      </c>
      <c r="H209" t="str">
        <f>VLOOKUP(D209,DATA_SISTEMA!$A$1:$Q$506,13,FALSE)</f>
        <v>LOS MITOS 252 - 9 DE OCTUBRE</v>
      </c>
      <c r="I209" t="str">
        <f>VLOOKUP(D209,DATA_SISTEMA!$A$1:$Q$506,7,FALSE)</f>
        <v>1996-02-11</v>
      </c>
      <c r="J209" s="32" t="s">
        <v>1718</v>
      </c>
      <c r="K209" s="32" t="s">
        <v>1718</v>
      </c>
      <c r="L209" s="32" t="s">
        <v>1718</v>
      </c>
      <c r="M209">
        <v>318</v>
      </c>
      <c r="N209">
        <v>0</v>
      </c>
      <c r="O209" s="32" t="str">
        <f t="shared" si="3"/>
        <v>2080020261X</v>
      </c>
      <c r="P209" s="32" t="s">
        <v>1718</v>
      </c>
      <c r="Q209" s="32" t="s">
        <v>1718</v>
      </c>
      <c r="R209" s="32" t="s">
        <v>2110</v>
      </c>
      <c r="S209" s="32" t="s">
        <v>5033</v>
      </c>
      <c r="T209" t="str">
        <f>VLOOKUP(D209,DATA_SISTEMA!$A$1:$Q$506,9,FALSE)</f>
        <v>F</v>
      </c>
      <c r="U209" s="32" t="s">
        <v>2106</v>
      </c>
      <c r="V209" s="32" t="s">
        <v>1718</v>
      </c>
      <c r="W209" s="37" t="s">
        <v>5028</v>
      </c>
      <c r="X209" s="32" t="s">
        <v>4522</v>
      </c>
      <c r="Y209" s="32" t="s">
        <v>1718</v>
      </c>
      <c r="Z209" s="32" t="s">
        <v>1718</v>
      </c>
      <c r="AA209" s="32" t="s">
        <v>5028</v>
      </c>
      <c r="AB209" s="32" t="s">
        <v>1718</v>
      </c>
      <c r="AC209" s="32" t="s">
        <v>1718</v>
      </c>
      <c r="AD209" s="32" t="s">
        <v>1718</v>
      </c>
      <c r="AE209" s="32" t="s">
        <v>1718</v>
      </c>
      <c r="AF209" s="32" t="s">
        <v>1718</v>
      </c>
      <c r="AG209" s="32" t="s">
        <v>1718</v>
      </c>
      <c r="AH209" s="32" t="s">
        <v>2107</v>
      </c>
      <c r="AI209" s="12" t="s">
        <v>1502</v>
      </c>
      <c r="AJ209" s="12" t="s">
        <v>995</v>
      </c>
      <c r="AK209" s="12" t="s">
        <v>1015</v>
      </c>
      <c r="AL209" s="12">
        <v>72523216</v>
      </c>
      <c r="AM209" t="s">
        <v>1718</v>
      </c>
      <c r="AN209" t="s">
        <v>1718</v>
      </c>
      <c r="AO209" t="s">
        <v>1718</v>
      </c>
      <c r="AP209" t="s">
        <v>1718</v>
      </c>
      <c r="AQ209" t="s">
        <v>1718</v>
      </c>
      <c r="AR209" t="s">
        <v>1718</v>
      </c>
      <c r="AS209" t="s">
        <v>1718</v>
      </c>
      <c r="AT209" t="s">
        <v>1718</v>
      </c>
      <c r="AU209" t="s">
        <v>1718</v>
      </c>
      <c r="AV209" t="str">
        <f>VLOOKUP(D209,DATA_SISTEMA!$A$1:$Q$506,12,FALSE)</f>
        <v>CHICLAYO</v>
      </c>
      <c r="AW209" t="str">
        <f>VLOOKUP(D209,DATA_SISTEMA!$A$1:$Q$506,11,FALSE)</f>
        <v>CHICLAYO</v>
      </c>
      <c r="AX209" t="str">
        <f>VLOOKUP(D209,DATA_SISTEMA!$A$1:$Q$506,10,FALSE)</f>
        <v>LAMBAYEQUE</v>
      </c>
      <c r="AY209" t="s">
        <v>1718</v>
      </c>
      <c r="AZ209" t="s">
        <v>5028</v>
      </c>
      <c r="BA209" t="s">
        <v>1718</v>
      </c>
      <c r="BB209" t="s">
        <v>5028</v>
      </c>
      <c r="BC209" t="s">
        <v>1718</v>
      </c>
      <c r="BD209" t="s">
        <v>5028</v>
      </c>
      <c r="BE209" t="s">
        <v>1718</v>
      </c>
      <c r="BF209" s="34" t="s">
        <v>2104</v>
      </c>
      <c r="BG209" s="12">
        <v>52</v>
      </c>
    </row>
    <row r="210" spans="1:59" x14ac:dyDescent="0.25">
      <c r="A210" s="4">
        <v>209</v>
      </c>
      <c r="B210" s="33" t="s">
        <v>1719</v>
      </c>
      <c r="C210" s="12" t="s">
        <v>1928</v>
      </c>
      <c r="D210" s="44" t="s">
        <v>4730</v>
      </c>
      <c r="E210" s="12" t="s">
        <v>361</v>
      </c>
      <c r="F210" s="36" t="s">
        <v>1718</v>
      </c>
      <c r="G210" s="12">
        <v>962179687</v>
      </c>
      <c r="H210" t="str">
        <f>VLOOKUP(D210,DATA_SISTEMA!$A$1:$Q$506,13,FALSE)</f>
        <v>CALLE LIMA 103</v>
      </c>
      <c r="I210" t="str">
        <f>VLOOKUP(D210,DATA_SISTEMA!$A$1:$Q$506,7,FALSE)</f>
        <v>1985-03-17</v>
      </c>
      <c r="J210" s="32" t="s">
        <v>1718</v>
      </c>
      <c r="K210" s="32" t="s">
        <v>1718</v>
      </c>
      <c r="L210" s="32" t="s">
        <v>1718</v>
      </c>
      <c r="M210">
        <v>318</v>
      </c>
      <c r="N210">
        <v>0</v>
      </c>
      <c r="O210" s="32" t="str">
        <f t="shared" si="3"/>
        <v>2090020261X</v>
      </c>
      <c r="P210" s="32" t="s">
        <v>1718</v>
      </c>
      <c r="Q210" s="32" t="s">
        <v>1718</v>
      </c>
      <c r="R210" s="32" t="s">
        <v>2110</v>
      </c>
      <c r="S210" s="32" t="s">
        <v>5033</v>
      </c>
      <c r="T210" t="str">
        <f>VLOOKUP(D210,DATA_SISTEMA!$A$1:$Q$506,9,FALSE)</f>
        <v>F</v>
      </c>
      <c r="U210" s="32" t="s">
        <v>2106</v>
      </c>
      <c r="V210" s="32" t="s">
        <v>1718</v>
      </c>
      <c r="W210" s="37" t="s">
        <v>5028</v>
      </c>
      <c r="X210" s="32" t="s">
        <v>4522</v>
      </c>
      <c r="Y210" s="32" t="s">
        <v>1718</v>
      </c>
      <c r="Z210" s="32" t="s">
        <v>1718</v>
      </c>
      <c r="AA210" s="32" t="s">
        <v>5028</v>
      </c>
      <c r="AB210" s="32" t="s">
        <v>1718</v>
      </c>
      <c r="AC210" s="32" t="s">
        <v>1718</v>
      </c>
      <c r="AD210" s="32" t="s">
        <v>1718</v>
      </c>
      <c r="AE210" s="32" t="s">
        <v>1718</v>
      </c>
      <c r="AF210" s="32" t="s">
        <v>1718</v>
      </c>
      <c r="AG210" s="32" t="s">
        <v>1718</v>
      </c>
      <c r="AH210" s="32" t="s">
        <v>2107</v>
      </c>
      <c r="AI210" s="12" t="s">
        <v>1503</v>
      </c>
      <c r="AJ210" s="12" t="s">
        <v>1132</v>
      </c>
      <c r="AK210" s="12" t="s">
        <v>891</v>
      </c>
      <c r="AL210" s="12">
        <v>42870365</v>
      </c>
      <c r="AM210" t="s">
        <v>1718</v>
      </c>
      <c r="AN210" t="s">
        <v>1718</v>
      </c>
      <c r="AO210" t="s">
        <v>1718</v>
      </c>
      <c r="AP210" t="s">
        <v>1718</v>
      </c>
      <c r="AQ210" t="s">
        <v>1718</v>
      </c>
      <c r="AR210" t="s">
        <v>1718</v>
      </c>
      <c r="AS210" t="s">
        <v>1718</v>
      </c>
      <c r="AT210" t="s">
        <v>1718</v>
      </c>
      <c r="AU210" t="s">
        <v>1718</v>
      </c>
      <c r="AV210" t="str">
        <f>VLOOKUP(D210,DATA_SISTEMA!$A$1:$Q$506,12,FALSE)</f>
        <v>POMALCA</v>
      </c>
      <c r="AW210" t="str">
        <f>VLOOKUP(D210,DATA_SISTEMA!$A$1:$Q$506,11,FALSE)</f>
        <v>CHICLAYO</v>
      </c>
      <c r="AX210" t="str">
        <f>VLOOKUP(D210,DATA_SISTEMA!$A$1:$Q$506,10,FALSE)</f>
        <v>LAMBAYEQUE</v>
      </c>
      <c r="AY210" t="s">
        <v>1718</v>
      </c>
      <c r="AZ210" t="s">
        <v>5028</v>
      </c>
      <c r="BA210" t="s">
        <v>1718</v>
      </c>
      <c r="BB210" t="s">
        <v>5028</v>
      </c>
      <c r="BC210" t="s">
        <v>1718</v>
      </c>
      <c r="BD210" t="s">
        <v>5028</v>
      </c>
      <c r="BE210" t="s">
        <v>1718</v>
      </c>
      <c r="BF210" s="34" t="s">
        <v>2104</v>
      </c>
      <c r="BG210" s="12">
        <v>51</v>
      </c>
    </row>
    <row r="211" spans="1:59" x14ac:dyDescent="0.25">
      <c r="A211" s="4">
        <v>210</v>
      </c>
      <c r="B211" s="33" t="s">
        <v>1719</v>
      </c>
      <c r="C211" s="16" t="s">
        <v>1929</v>
      </c>
      <c r="D211" s="45" t="s">
        <v>4731</v>
      </c>
      <c r="E211" s="16" t="s">
        <v>417</v>
      </c>
      <c r="F211" s="36" t="s">
        <v>1718</v>
      </c>
      <c r="G211" s="16">
        <v>983846148</v>
      </c>
      <c r="H211" t="str">
        <f>VLOOKUP(D211,DATA_SISTEMA!$A$1:$Q$506,13,FALSE)</f>
        <v>CALLE AMAZONAS 1113</v>
      </c>
      <c r="I211" t="str">
        <f>VLOOKUP(D211,DATA_SISTEMA!$A$1:$Q$506,7,FALSE)</f>
        <v>1999-10-04</v>
      </c>
      <c r="J211" s="32" t="s">
        <v>1718</v>
      </c>
      <c r="K211" s="32" t="s">
        <v>1718</v>
      </c>
      <c r="L211" s="32" t="s">
        <v>1718</v>
      </c>
      <c r="M211">
        <v>312</v>
      </c>
      <c r="N211">
        <v>0</v>
      </c>
      <c r="O211" s="32" t="str">
        <f t="shared" si="3"/>
        <v>2100020261X</v>
      </c>
      <c r="P211" s="32" t="s">
        <v>1718</v>
      </c>
      <c r="Q211" s="32" t="s">
        <v>1718</v>
      </c>
      <c r="R211" s="32" t="s">
        <v>2110</v>
      </c>
      <c r="S211" s="32" t="s">
        <v>5033</v>
      </c>
      <c r="T211" t="str">
        <f>VLOOKUP(D211,DATA_SISTEMA!$A$1:$Q$506,9,FALSE)</f>
        <v>M</v>
      </c>
      <c r="U211" s="32" t="s">
        <v>2106</v>
      </c>
      <c r="V211" s="32" t="s">
        <v>1718</v>
      </c>
      <c r="W211" s="37" t="s">
        <v>5028</v>
      </c>
      <c r="X211" s="32" t="s">
        <v>4522</v>
      </c>
      <c r="Y211" s="32" t="s">
        <v>1718</v>
      </c>
      <c r="Z211" s="32" t="s">
        <v>1718</v>
      </c>
      <c r="AA211" s="32" t="s">
        <v>5028</v>
      </c>
      <c r="AB211" s="32" t="s">
        <v>1718</v>
      </c>
      <c r="AC211" s="32" t="s">
        <v>1718</v>
      </c>
      <c r="AD211" s="32" t="s">
        <v>1718</v>
      </c>
      <c r="AE211" s="32" t="s">
        <v>1718</v>
      </c>
      <c r="AF211" s="32" t="s">
        <v>1718</v>
      </c>
      <c r="AG211" s="32" t="s">
        <v>1718</v>
      </c>
      <c r="AH211" s="32" t="s">
        <v>2107</v>
      </c>
      <c r="AI211" s="16" t="s">
        <v>1504</v>
      </c>
      <c r="AJ211" s="16" t="s">
        <v>1133</v>
      </c>
      <c r="AK211" s="16" t="s">
        <v>1134</v>
      </c>
      <c r="AL211" s="16">
        <v>72928145</v>
      </c>
      <c r="AM211" t="s">
        <v>1718</v>
      </c>
      <c r="AN211" t="s">
        <v>1718</v>
      </c>
      <c r="AO211" t="s">
        <v>1718</v>
      </c>
      <c r="AP211" t="s">
        <v>1718</v>
      </c>
      <c r="AQ211" t="s">
        <v>1718</v>
      </c>
      <c r="AR211" t="s">
        <v>1718</v>
      </c>
      <c r="AS211" t="s">
        <v>1718</v>
      </c>
      <c r="AT211" t="s">
        <v>1718</v>
      </c>
      <c r="AU211" t="s">
        <v>1718</v>
      </c>
      <c r="AV211" t="str">
        <f>VLOOKUP(D211,DATA_SISTEMA!$A$1:$Q$506,12,FALSE)</f>
        <v>CHICLAYO</v>
      </c>
      <c r="AW211" t="str">
        <f>VLOOKUP(D211,DATA_SISTEMA!$A$1:$Q$506,11,FALSE)</f>
        <v>CHICLAYO</v>
      </c>
      <c r="AX211" t="str">
        <f>VLOOKUP(D211,DATA_SISTEMA!$A$1:$Q$506,10,FALSE)</f>
        <v>LAMBAYEQUE</v>
      </c>
      <c r="AY211" t="s">
        <v>1718</v>
      </c>
      <c r="AZ211" t="s">
        <v>5028</v>
      </c>
      <c r="BA211" t="s">
        <v>1718</v>
      </c>
      <c r="BB211" t="s">
        <v>5028</v>
      </c>
      <c r="BC211" t="s">
        <v>1718</v>
      </c>
      <c r="BD211" t="s">
        <v>5028</v>
      </c>
      <c r="BE211" t="s">
        <v>1718</v>
      </c>
      <c r="BF211" s="34" t="s">
        <v>2104</v>
      </c>
      <c r="BG211" s="16">
        <v>77.3</v>
      </c>
    </row>
    <row r="212" spans="1:59" x14ac:dyDescent="0.25">
      <c r="A212" s="4">
        <v>211</v>
      </c>
      <c r="B212" s="33" t="s">
        <v>1719</v>
      </c>
      <c r="C212" s="16" t="s">
        <v>1930</v>
      </c>
      <c r="D212" s="45" t="s">
        <v>4732</v>
      </c>
      <c r="E212" s="16" t="s">
        <v>420</v>
      </c>
      <c r="F212" s="36" t="s">
        <v>1718</v>
      </c>
      <c r="G212" s="16">
        <v>992278663</v>
      </c>
      <c r="H212" t="str">
        <f>VLOOKUP(D212,DATA_SISTEMA!$A$1:$Q$506,13,FALSE)</f>
        <v>AV GRAU 650 URB. CAMPODÓNICO</v>
      </c>
      <c r="I212" t="str">
        <f>VLOOKUP(D212,DATA_SISTEMA!$A$1:$Q$506,7,FALSE)</f>
        <v>1995-01-31</v>
      </c>
      <c r="J212" s="32" t="s">
        <v>1718</v>
      </c>
      <c r="K212" s="32" t="s">
        <v>1718</v>
      </c>
      <c r="L212" s="32" t="s">
        <v>1718</v>
      </c>
      <c r="M212">
        <v>312</v>
      </c>
      <c r="N212">
        <v>0</v>
      </c>
      <c r="O212" s="32" t="str">
        <f t="shared" si="3"/>
        <v>2110020261X</v>
      </c>
      <c r="P212" s="32" t="s">
        <v>1718</v>
      </c>
      <c r="Q212" s="32" t="s">
        <v>1718</v>
      </c>
      <c r="R212" s="32" t="s">
        <v>2110</v>
      </c>
      <c r="S212" s="32" t="s">
        <v>5033</v>
      </c>
      <c r="T212" t="str">
        <f>VLOOKUP(D212,DATA_SISTEMA!$A$1:$Q$506,9,FALSE)</f>
        <v>M</v>
      </c>
      <c r="U212" s="32" t="s">
        <v>2106</v>
      </c>
      <c r="V212" s="32" t="s">
        <v>1718</v>
      </c>
      <c r="W212" s="37" t="s">
        <v>5028</v>
      </c>
      <c r="X212" s="32" t="s">
        <v>4522</v>
      </c>
      <c r="Y212" s="32" t="s">
        <v>1718</v>
      </c>
      <c r="Z212" s="32" t="s">
        <v>1718</v>
      </c>
      <c r="AA212" s="32" t="s">
        <v>5028</v>
      </c>
      <c r="AB212" s="32" t="s">
        <v>1718</v>
      </c>
      <c r="AC212" s="32" t="s">
        <v>1718</v>
      </c>
      <c r="AD212" s="32" t="s">
        <v>1718</v>
      </c>
      <c r="AE212" s="32" t="s">
        <v>1718</v>
      </c>
      <c r="AF212" s="32" t="s">
        <v>1718</v>
      </c>
      <c r="AG212" s="32" t="s">
        <v>1718</v>
      </c>
      <c r="AH212" s="32" t="s">
        <v>2107</v>
      </c>
      <c r="AI212" s="16" t="s">
        <v>1505</v>
      </c>
      <c r="AJ212" s="16" t="s">
        <v>1135</v>
      </c>
      <c r="AK212" s="16" t="s">
        <v>1136</v>
      </c>
      <c r="AL212" s="16">
        <v>70840720</v>
      </c>
      <c r="AM212" t="s">
        <v>1718</v>
      </c>
      <c r="AN212" t="s">
        <v>1718</v>
      </c>
      <c r="AO212" t="s">
        <v>1718</v>
      </c>
      <c r="AP212" t="s">
        <v>1718</v>
      </c>
      <c r="AQ212" t="s">
        <v>1718</v>
      </c>
      <c r="AR212" t="s">
        <v>1718</v>
      </c>
      <c r="AS212" t="s">
        <v>1718</v>
      </c>
      <c r="AT212" t="s">
        <v>1718</v>
      </c>
      <c r="AU212" t="s">
        <v>1718</v>
      </c>
      <c r="AV212" t="str">
        <f>VLOOKUP(D212,DATA_SISTEMA!$A$1:$Q$506,12,FALSE)</f>
        <v>CHICLAYO</v>
      </c>
      <c r="AW212" t="str">
        <f>VLOOKUP(D212,DATA_SISTEMA!$A$1:$Q$506,11,FALSE)</f>
        <v>CHICLAYO</v>
      </c>
      <c r="AX212" t="str">
        <f>VLOOKUP(D212,DATA_SISTEMA!$A$1:$Q$506,10,FALSE)</f>
        <v>LAMBAYEQUE</v>
      </c>
      <c r="AY212" t="s">
        <v>1718</v>
      </c>
      <c r="AZ212" t="s">
        <v>5028</v>
      </c>
      <c r="BA212" t="s">
        <v>1718</v>
      </c>
      <c r="BB212" t="s">
        <v>5028</v>
      </c>
      <c r="BC212" t="s">
        <v>1718</v>
      </c>
      <c r="BD212" t="s">
        <v>5028</v>
      </c>
      <c r="BE212" t="s">
        <v>1718</v>
      </c>
      <c r="BF212" s="34" t="s">
        <v>2104</v>
      </c>
      <c r="BG212" s="16">
        <v>75.599999999999994</v>
      </c>
    </row>
    <row r="213" spans="1:59" x14ac:dyDescent="0.25">
      <c r="A213" s="4">
        <v>212</v>
      </c>
      <c r="B213" s="33" t="s">
        <v>1719</v>
      </c>
      <c r="C213" s="16" t="s">
        <v>1931</v>
      </c>
      <c r="D213" s="45" t="s">
        <v>4733</v>
      </c>
      <c r="E213" s="16" t="s">
        <v>422</v>
      </c>
      <c r="F213" s="36" t="s">
        <v>1718</v>
      </c>
      <c r="G213" s="16">
        <v>996617036</v>
      </c>
      <c r="H213" t="str">
        <f>VLOOKUP(D213,DATA_SISTEMA!$A$1:$Q$506,13,FALSE)</f>
        <v>URB.INGENIERO II BOSQUE DE POMAC 118</v>
      </c>
      <c r="I213" t="str">
        <f>VLOOKUP(D213,DATA_SISTEMA!$A$1:$Q$506,7,FALSE)</f>
        <v>1983-08-19</v>
      </c>
      <c r="J213" s="32" t="s">
        <v>1718</v>
      </c>
      <c r="K213" s="32" t="s">
        <v>1718</v>
      </c>
      <c r="L213" s="32" t="s">
        <v>1718</v>
      </c>
      <c r="M213">
        <v>312</v>
      </c>
      <c r="N213">
        <v>0</v>
      </c>
      <c r="O213" s="32" t="str">
        <f t="shared" si="3"/>
        <v>2120020261X</v>
      </c>
      <c r="P213" s="32" t="s">
        <v>1718</v>
      </c>
      <c r="Q213" s="32" t="s">
        <v>1718</v>
      </c>
      <c r="R213" s="32" t="s">
        <v>2110</v>
      </c>
      <c r="S213" s="32" t="s">
        <v>5033</v>
      </c>
      <c r="T213" t="str">
        <f>VLOOKUP(D213,DATA_SISTEMA!$A$1:$Q$506,9,FALSE)</f>
        <v>F</v>
      </c>
      <c r="U213" s="32" t="s">
        <v>2106</v>
      </c>
      <c r="V213" s="32" t="s">
        <v>1718</v>
      </c>
      <c r="W213" s="37" t="s">
        <v>5028</v>
      </c>
      <c r="X213" s="32" t="s">
        <v>4522</v>
      </c>
      <c r="Y213" s="32" t="s">
        <v>1718</v>
      </c>
      <c r="Z213" s="32" t="s">
        <v>1718</v>
      </c>
      <c r="AA213" s="32" t="s">
        <v>5028</v>
      </c>
      <c r="AB213" s="32" t="s">
        <v>1718</v>
      </c>
      <c r="AC213" s="32" t="s">
        <v>1718</v>
      </c>
      <c r="AD213" s="32" t="s">
        <v>1718</v>
      </c>
      <c r="AE213" s="32" t="s">
        <v>1718</v>
      </c>
      <c r="AF213" s="32" t="s">
        <v>1718</v>
      </c>
      <c r="AG213" s="32" t="s">
        <v>1718</v>
      </c>
      <c r="AH213" s="32" t="s">
        <v>2107</v>
      </c>
      <c r="AI213" s="16" t="s">
        <v>1506</v>
      </c>
      <c r="AJ213" s="16" t="s">
        <v>1123</v>
      </c>
      <c r="AK213" s="16" t="s">
        <v>1137</v>
      </c>
      <c r="AL213" s="16">
        <v>42062400</v>
      </c>
      <c r="AM213" t="s">
        <v>1718</v>
      </c>
      <c r="AN213" t="s">
        <v>1718</v>
      </c>
      <c r="AO213" t="s">
        <v>1718</v>
      </c>
      <c r="AP213" t="s">
        <v>1718</v>
      </c>
      <c r="AQ213" t="s">
        <v>1718</v>
      </c>
      <c r="AR213" t="s">
        <v>1718</v>
      </c>
      <c r="AS213" t="s">
        <v>1718</v>
      </c>
      <c r="AT213" t="s">
        <v>1718</v>
      </c>
      <c r="AU213" t="s">
        <v>1718</v>
      </c>
      <c r="AV213" t="str">
        <f>VLOOKUP(D213,DATA_SISTEMA!$A$1:$Q$506,12,FALSE)</f>
        <v>CHICLAYO</v>
      </c>
      <c r="AW213" t="str">
        <f>VLOOKUP(D213,DATA_SISTEMA!$A$1:$Q$506,11,FALSE)</f>
        <v>CHICLAYO</v>
      </c>
      <c r="AX213" t="str">
        <f>VLOOKUP(D213,DATA_SISTEMA!$A$1:$Q$506,10,FALSE)</f>
        <v>LAMBAYEQUE</v>
      </c>
      <c r="AY213" t="s">
        <v>1718</v>
      </c>
      <c r="AZ213" t="s">
        <v>5028</v>
      </c>
      <c r="BA213" t="s">
        <v>1718</v>
      </c>
      <c r="BB213" t="s">
        <v>5028</v>
      </c>
      <c r="BC213" t="s">
        <v>1718</v>
      </c>
      <c r="BD213" t="s">
        <v>5028</v>
      </c>
      <c r="BE213" t="s">
        <v>1718</v>
      </c>
      <c r="BF213" s="34" t="s">
        <v>2104</v>
      </c>
      <c r="BG213" s="16">
        <v>74</v>
      </c>
    </row>
    <row r="214" spans="1:59" x14ac:dyDescent="0.25">
      <c r="A214" s="4">
        <v>213</v>
      </c>
      <c r="B214" s="33" t="s">
        <v>1719</v>
      </c>
      <c r="C214" s="16" t="s">
        <v>1932</v>
      </c>
      <c r="D214" s="45" t="s">
        <v>4734</v>
      </c>
      <c r="E214" s="16" t="s">
        <v>424</v>
      </c>
      <c r="F214" s="36" t="s">
        <v>1718</v>
      </c>
      <c r="G214" s="16">
        <v>939080978</v>
      </c>
      <c r="H214" t="str">
        <f>VLOOKUP(D214,DATA_SISTEMA!$A$1:$Q$506,13,FALSE)</f>
        <v>LA LLANURA MZ. F LOTE 15</v>
      </c>
      <c r="I214" t="str">
        <f>VLOOKUP(D214,DATA_SISTEMA!$A$1:$Q$506,7,FALSE)</f>
        <v>1988-04-25</v>
      </c>
      <c r="J214" s="32" t="s">
        <v>1718</v>
      </c>
      <c r="K214" s="32" t="s">
        <v>1718</v>
      </c>
      <c r="L214" s="32" t="s">
        <v>1718</v>
      </c>
      <c r="M214">
        <v>312</v>
      </c>
      <c r="N214">
        <v>0</v>
      </c>
      <c r="O214" s="32" t="str">
        <f t="shared" si="3"/>
        <v>2130020261X</v>
      </c>
      <c r="P214" s="32" t="s">
        <v>1718</v>
      </c>
      <c r="Q214" s="32" t="s">
        <v>1718</v>
      </c>
      <c r="R214" s="32" t="s">
        <v>2110</v>
      </c>
      <c r="S214" s="32" t="s">
        <v>5033</v>
      </c>
      <c r="T214" t="str">
        <f>VLOOKUP(D214,DATA_SISTEMA!$A$1:$Q$506,9,FALSE)</f>
        <v>M</v>
      </c>
      <c r="U214" s="32" t="s">
        <v>2106</v>
      </c>
      <c r="V214" s="32" t="s">
        <v>1718</v>
      </c>
      <c r="W214" s="37" t="s">
        <v>5028</v>
      </c>
      <c r="X214" s="32" t="s">
        <v>4522</v>
      </c>
      <c r="Y214" s="32" t="s">
        <v>1718</v>
      </c>
      <c r="Z214" s="32" t="s">
        <v>1718</v>
      </c>
      <c r="AA214" s="32" t="s">
        <v>5028</v>
      </c>
      <c r="AB214" s="32" t="s">
        <v>1718</v>
      </c>
      <c r="AC214" s="32" t="s">
        <v>1718</v>
      </c>
      <c r="AD214" s="32" t="s">
        <v>1718</v>
      </c>
      <c r="AE214" s="32" t="s">
        <v>1718</v>
      </c>
      <c r="AF214" s="32" t="s">
        <v>1718</v>
      </c>
      <c r="AG214" s="32" t="s">
        <v>1718</v>
      </c>
      <c r="AH214" s="32" t="s">
        <v>2107</v>
      </c>
      <c r="AI214" s="16" t="s">
        <v>1507</v>
      </c>
      <c r="AJ214" s="16" t="s">
        <v>1138</v>
      </c>
      <c r="AK214" s="16" t="s">
        <v>1139</v>
      </c>
      <c r="AL214" s="16">
        <v>45038251</v>
      </c>
      <c r="AM214" t="s">
        <v>1718</v>
      </c>
      <c r="AN214" t="s">
        <v>1718</v>
      </c>
      <c r="AO214" t="s">
        <v>1718</v>
      </c>
      <c r="AP214" t="s">
        <v>1718</v>
      </c>
      <c r="AQ214" t="s">
        <v>1718</v>
      </c>
      <c r="AR214" t="s">
        <v>1718</v>
      </c>
      <c r="AS214" t="s">
        <v>1718</v>
      </c>
      <c r="AT214" t="s">
        <v>1718</v>
      </c>
      <c r="AU214" t="s">
        <v>1718</v>
      </c>
      <c r="AV214" t="str">
        <f>VLOOKUP(D214,DATA_SISTEMA!$A$1:$Q$506,12,FALSE)</f>
        <v>CHICLAYO</v>
      </c>
      <c r="AW214" t="str">
        <f>VLOOKUP(D214,DATA_SISTEMA!$A$1:$Q$506,11,FALSE)</f>
        <v>CHICLAYO</v>
      </c>
      <c r="AX214" t="str">
        <f>VLOOKUP(D214,DATA_SISTEMA!$A$1:$Q$506,10,FALSE)</f>
        <v>LAMBAYEQUE</v>
      </c>
      <c r="AY214" t="s">
        <v>1718</v>
      </c>
      <c r="AZ214" t="s">
        <v>5028</v>
      </c>
      <c r="BA214" t="s">
        <v>1718</v>
      </c>
      <c r="BB214" t="s">
        <v>5028</v>
      </c>
      <c r="BC214" t="s">
        <v>1718</v>
      </c>
      <c r="BD214" t="s">
        <v>5028</v>
      </c>
      <c r="BE214" t="s">
        <v>1718</v>
      </c>
      <c r="BF214" s="34" t="s">
        <v>2104</v>
      </c>
      <c r="BG214" s="16">
        <v>73.5</v>
      </c>
    </row>
    <row r="215" spans="1:59" x14ac:dyDescent="0.25">
      <c r="A215" s="4">
        <v>214</v>
      </c>
      <c r="B215" s="33" t="s">
        <v>1719</v>
      </c>
      <c r="C215" s="16" t="s">
        <v>1933</v>
      </c>
      <c r="D215" s="45" t="s">
        <v>4735</v>
      </c>
      <c r="E215" s="16" t="s">
        <v>426</v>
      </c>
      <c r="F215" s="36" t="s">
        <v>1718</v>
      </c>
      <c r="G215" s="16">
        <v>950796249</v>
      </c>
      <c r="H215" t="str">
        <f>VLOOKUP(D215,DATA_SISTEMA!$A$1:$Q$506,13,FALSE)</f>
        <v>CALLE 28 DE JULIO # 366</v>
      </c>
      <c r="I215" t="str">
        <f>VLOOKUP(D215,DATA_SISTEMA!$A$1:$Q$506,7,FALSE)</f>
        <v>1986-06-02</v>
      </c>
      <c r="J215" s="32" t="s">
        <v>1718</v>
      </c>
      <c r="K215" s="32" t="s">
        <v>1718</v>
      </c>
      <c r="L215" s="32" t="s">
        <v>1718</v>
      </c>
      <c r="M215">
        <v>312</v>
      </c>
      <c r="N215">
        <v>0</v>
      </c>
      <c r="O215" s="32" t="str">
        <f t="shared" si="3"/>
        <v>2140020261X</v>
      </c>
      <c r="P215" s="32" t="s">
        <v>1718</v>
      </c>
      <c r="Q215" s="32" t="s">
        <v>1718</v>
      </c>
      <c r="R215" s="32" t="s">
        <v>2110</v>
      </c>
      <c r="S215" s="32" t="s">
        <v>5033</v>
      </c>
      <c r="T215" t="str">
        <f>VLOOKUP(D215,DATA_SISTEMA!$A$1:$Q$506,9,FALSE)</f>
        <v>M</v>
      </c>
      <c r="U215" s="32" t="s">
        <v>2106</v>
      </c>
      <c r="V215" s="32" t="s">
        <v>1718</v>
      </c>
      <c r="W215" s="37" t="s">
        <v>5028</v>
      </c>
      <c r="X215" s="32" t="s">
        <v>4522</v>
      </c>
      <c r="Y215" s="32" t="s">
        <v>1718</v>
      </c>
      <c r="Z215" s="32" t="s">
        <v>1718</v>
      </c>
      <c r="AA215" s="32" t="s">
        <v>5028</v>
      </c>
      <c r="AB215" s="32" t="s">
        <v>1718</v>
      </c>
      <c r="AC215" s="32" t="s">
        <v>1718</v>
      </c>
      <c r="AD215" s="32" t="s">
        <v>1718</v>
      </c>
      <c r="AE215" s="32" t="s">
        <v>1718</v>
      </c>
      <c r="AF215" s="32" t="s">
        <v>1718</v>
      </c>
      <c r="AG215" s="32" t="s">
        <v>1718</v>
      </c>
      <c r="AH215" s="32" t="s">
        <v>2107</v>
      </c>
      <c r="AI215" s="16" t="s">
        <v>1508</v>
      </c>
      <c r="AJ215" s="16" t="s">
        <v>916</v>
      </c>
      <c r="AK215" s="16" t="s">
        <v>1140</v>
      </c>
      <c r="AL215" s="16">
        <v>43734675</v>
      </c>
      <c r="AM215" t="s">
        <v>1718</v>
      </c>
      <c r="AN215" t="s">
        <v>1718</v>
      </c>
      <c r="AO215" t="s">
        <v>1718</v>
      </c>
      <c r="AP215" t="s">
        <v>1718</v>
      </c>
      <c r="AQ215" t="s">
        <v>1718</v>
      </c>
      <c r="AR215" t="s">
        <v>1718</v>
      </c>
      <c r="AS215" t="s">
        <v>1718</v>
      </c>
      <c r="AT215" t="s">
        <v>1718</v>
      </c>
      <c r="AU215" t="s">
        <v>1718</v>
      </c>
      <c r="AV215" t="str">
        <f>VLOOKUP(D215,DATA_SISTEMA!$A$1:$Q$506,12,FALSE)</f>
        <v>CHICLAYO</v>
      </c>
      <c r="AW215" t="str">
        <f>VLOOKUP(D215,DATA_SISTEMA!$A$1:$Q$506,11,FALSE)</f>
        <v>CHICLAYO</v>
      </c>
      <c r="AX215" t="str">
        <f>VLOOKUP(D215,DATA_SISTEMA!$A$1:$Q$506,10,FALSE)</f>
        <v>LAMBAYEQUE</v>
      </c>
      <c r="AY215" t="s">
        <v>1718</v>
      </c>
      <c r="AZ215" t="s">
        <v>5028</v>
      </c>
      <c r="BA215" t="s">
        <v>1718</v>
      </c>
      <c r="BB215" t="s">
        <v>5028</v>
      </c>
      <c r="BC215" t="s">
        <v>1718</v>
      </c>
      <c r="BD215" t="s">
        <v>5028</v>
      </c>
      <c r="BE215" t="s">
        <v>1718</v>
      </c>
      <c r="BF215" s="34" t="s">
        <v>2104</v>
      </c>
      <c r="BG215" s="16">
        <v>70.2</v>
      </c>
    </row>
    <row r="216" spans="1:59" x14ac:dyDescent="0.25">
      <c r="A216" s="4">
        <v>215</v>
      </c>
      <c r="B216" s="33" t="s">
        <v>1719</v>
      </c>
      <c r="C216" s="16" t="s">
        <v>1934</v>
      </c>
      <c r="D216" s="45" t="s">
        <v>4736</v>
      </c>
      <c r="E216" s="16" t="s">
        <v>428</v>
      </c>
      <c r="F216" s="36" t="s">
        <v>1718</v>
      </c>
      <c r="G216" s="16">
        <v>979541769</v>
      </c>
      <c r="H216" t="str">
        <f>VLOOKUP(D216,DATA_SISTEMA!$A$1:$Q$506,13,FALSE)</f>
        <v>PUERTAS DEL SOL GALILEA MZ H LOTE 06</v>
      </c>
      <c r="I216" t="str">
        <f>VLOOKUP(D216,DATA_SISTEMA!$A$1:$Q$506,7,FALSE)</f>
        <v>2003-04-14</v>
      </c>
      <c r="J216" s="32" t="s">
        <v>1718</v>
      </c>
      <c r="K216" s="32" t="s">
        <v>1718</v>
      </c>
      <c r="L216" s="32" t="s">
        <v>1718</v>
      </c>
      <c r="M216">
        <v>312</v>
      </c>
      <c r="N216">
        <v>0</v>
      </c>
      <c r="O216" s="32" t="str">
        <f t="shared" si="3"/>
        <v>2150020261X</v>
      </c>
      <c r="P216" s="32" t="s">
        <v>1718</v>
      </c>
      <c r="Q216" s="32" t="s">
        <v>1718</v>
      </c>
      <c r="R216" s="32" t="s">
        <v>2110</v>
      </c>
      <c r="S216" s="32" t="s">
        <v>5033</v>
      </c>
      <c r="T216" t="str">
        <f>VLOOKUP(D216,DATA_SISTEMA!$A$1:$Q$506,9,FALSE)</f>
        <v>M</v>
      </c>
      <c r="U216" s="32" t="s">
        <v>2106</v>
      </c>
      <c r="V216" s="32" t="s">
        <v>1718</v>
      </c>
      <c r="W216" s="37" t="s">
        <v>5028</v>
      </c>
      <c r="X216" s="32" t="s">
        <v>4522</v>
      </c>
      <c r="Y216" s="32" t="s">
        <v>1718</v>
      </c>
      <c r="Z216" s="32" t="s">
        <v>1718</v>
      </c>
      <c r="AA216" s="32" t="s">
        <v>5028</v>
      </c>
      <c r="AB216" s="32" t="s">
        <v>1718</v>
      </c>
      <c r="AC216" s="32" t="s">
        <v>1718</v>
      </c>
      <c r="AD216" s="32" t="s">
        <v>1718</v>
      </c>
      <c r="AE216" s="32" t="s">
        <v>1718</v>
      </c>
      <c r="AF216" s="32" t="s">
        <v>1718</v>
      </c>
      <c r="AG216" s="32" t="s">
        <v>1718</v>
      </c>
      <c r="AH216" s="32" t="s">
        <v>2107</v>
      </c>
      <c r="AI216" s="16" t="s">
        <v>1509</v>
      </c>
      <c r="AJ216" s="16" t="s">
        <v>1141</v>
      </c>
      <c r="AK216" s="16" t="s">
        <v>1142</v>
      </c>
      <c r="AL216" s="16">
        <v>71415312</v>
      </c>
      <c r="AM216" t="s">
        <v>1718</v>
      </c>
      <c r="AN216" t="s">
        <v>1718</v>
      </c>
      <c r="AO216" t="s">
        <v>1718</v>
      </c>
      <c r="AP216" t="s">
        <v>1718</v>
      </c>
      <c r="AQ216" t="s">
        <v>1718</v>
      </c>
      <c r="AR216" t="s">
        <v>1718</v>
      </c>
      <c r="AS216" t="s">
        <v>1718</v>
      </c>
      <c r="AT216" t="s">
        <v>1718</v>
      </c>
      <c r="AU216" t="s">
        <v>1718</v>
      </c>
      <c r="AV216" t="str">
        <f>VLOOKUP(D216,DATA_SISTEMA!$A$1:$Q$506,12,FALSE)</f>
        <v>LA VICTORIA</v>
      </c>
      <c r="AW216" t="str">
        <f>VLOOKUP(D216,DATA_SISTEMA!$A$1:$Q$506,11,FALSE)</f>
        <v>CHICLAYO</v>
      </c>
      <c r="AX216" t="str">
        <f>VLOOKUP(D216,DATA_SISTEMA!$A$1:$Q$506,10,FALSE)</f>
        <v>LAMBAYEQUE</v>
      </c>
      <c r="AY216" t="s">
        <v>1718</v>
      </c>
      <c r="AZ216" t="s">
        <v>5028</v>
      </c>
      <c r="BA216" t="s">
        <v>1718</v>
      </c>
      <c r="BB216" t="s">
        <v>5028</v>
      </c>
      <c r="BC216" t="s">
        <v>1718</v>
      </c>
      <c r="BD216" t="s">
        <v>5028</v>
      </c>
      <c r="BE216" t="s">
        <v>1718</v>
      </c>
      <c r="BF216" s="34" t="s">
        <v>2104</v>
      </c>
      <c r="BG216" s="16">
        <v>68.599999999999994</v>
      </c>
    </row>
    <row r="217" spans="1:59" x14ac:dyDescent="0.25">
      <c r="A217" s="4">
        <v>216</v>
      </c>
      <c r="B217" s="33" t="s">
        <v>1719</v>
      </c>
      <c r="C217" s="16" t="s">
        <v>1935</v>
      </c>
      <c r="D217" s="45" t="s">
        <v>4737</v>
      </c>
      <c r="E217" s="16" t="s">
        <v>430</v>
      </c>
      <c r="F217" s="36" t="s">
        <v>1718</v>
      </c>
      <c r="G217" s="16">
        <v>979014146</v>
      </c>
      <c r="H217" t="str">
        <f>VLOOKUP(D217,DATA_SISTEMA!$A$1:$Q$506,13,FALSE)</f>
        <v>ATAHUALPA 1052</v>
      </c>
      <c r="I217" t="str">
        <f>VLOOKUP(D217,DATA_SISTEMA!$A$1:$Q$506,7,FALSE)</f>
        <v>1989-09-09</v>
      </c>
      <c r="J217" s="32" t="s">
        <v>1718</v>
      </c>
      <c r="K217" s="32" t="s">
        <v>1718</v>
      </c>
      <c r="L217" s="32" t="s">
        <v>1718</v>
      </c>
      <c r="M217">
        <v>312</v>
      </c>
      <c r="N217">
        <v>0</v>
      </c>
      <c r="O217" s="32" t="str">
        <f t="shared" si="3"/>
        <v>2160020261X</v>
      </c>
      <c r="P217" s="32" t="s">
        <v>1718</v>
      </c>
      <c r="Q217" s="32" t="s">
        <v>1718</v>
      </c>
      <c r="R217" s="32" t="s">
        <v>2110</v>
      </c>
      <c r="S217" s="32" t="s">
        <v>5033</v>
      </c>
      <c r="T217" t="str">
        <f>VLOOKUP(D217,DATA_SISTEMA!$A$1:$Q$506,9,FALSE)</f>
        <v>F</v>
      </c>
      <c r="U217" s="32" t="s">
        <v>2106</v>
      </c>
      <c r="V217" s="32" t="s">
        <v>1718</v>
      </c>
      <c r="W217" s="37" t="s">
        <v>5028</v>
      </c>
      <c r="X217" s="32" t="s">
        <v>4522</v>
      </c>
      <c r="Y217" s="32" t="s">
        <v>1718</v>
      </c>
      <c r="Z217" s="32" t="s">
        <v>1718</v>
      </c>
      <c r="AA217" s="32" t="s">
        <v>5028</v>
      </c>
      <c r="AB217" s="32" t="s">
        <v>1718</v>
      </c>
      <c r="AC217" s="32" t="s">
        <v>1718</v>
      </c>
      <c r="AD217" s="32" t="s">
        <v>1718</v>
      </c>
      <c r="AE217" s="32" t="s">
        <v>1718</v>
      </c>
      <c r="AF217" s="32" t="s">
        <v>1718</v>
      </c>
      <c r="AG217" s="32" t="s">
        <v>1718</v>
      </c>
      <c r="AH217" s="32" t="s">
        <v>2107</v>
      </c>
      <c r="AI217" s="16" t="s">
        <v>1510</v>
      </c>
      <c r="AJ217" s="16" t="s">
        <v>947</v>
      </c>
      <c r="AK217" s="16" t="s">
        <v>1143</v>
      </c>
      <c r="AL217" s="16">
        <v>45907492</v>
      </c>
      <c r="AM217" t="s">
        <v>1718</v>
      </c>
      <c r="AN217" t="s">
        <v>1718</v>
      </c>
      <c r="AO217" t="s">
        <v>1718</v>
      </c>
      <c r="AP217" t="s">
        <v>1718</v>
      </c>
      <c r="AQ217" t="s">
        <v>1718</v>
      </c>
      <c r="AR217" t="s">
        <v>1718</v>
      </c>
      <c r="AS217" t="s">
        <v>1718</v>
      </c>
      <c r="AT217" t="s">
        <v>1718</v>
      </c>
      <c r="AU217" t="s">
        <v>1718</v>
      </c>
      <c r="AV217" t="str">
        <f>VLOOKUP(D217,DATA_SISTEMA!$A$1:$Q$506,12,FALSE)</f>
        <v>JOSE LEONARDO ORTIZ</v>
      </c>
      <c r="AW217" t="str">
        <f>VLOOKUP(D217,DATA_SISTEMA!$A$1:$Q$506,11,FALSE)</f>
        <v>CHICLAYO</v>
      </c>
      <c r="AX217" t="str">
        <f>VLOOKUP(D217,DATA_SISTEMA!$A$1:$Q$506,10,FALSE)</f>
        <v>LAMBAYEQUE</v>
      </c>
      <c r="AY217" t="s">
        <v>1718</v>
      </c>
      <c r="AZ217" t="s">
        <v>5028</v>
      </c>
      <c r="BA217" t="s">
        <v>1718</v>
      </c>
      <c r="BB217" t="s">
        <v>5028</v>
      </c>
      <c r="BC217" t="s">
        <v>1718</v>
      </c>
      <c r="BD217" t="s">
        <v>5028</v>
      </c>
      <c r="BE217" t="s">
        <v>1718</v>
      </c>
      <c r="BF217" s="34" t="s">
        <v>2104</v>
      </c>
      <c r="BG217" s="16">
        <v>68.5</v>
      </c>
    </row>
    <row r="218" spans="1:59" x14ac:dyDescent="0.25">
      <c r="A218" s="4">
        <v>217</v>
      </c>
      <c r="B218" s="33" t="s">
        <v>1719</v>
      </c>
      <c r="C218" s="16" t="s">
        <v>1936</v>
      </c>
      <c r="D218" s="45" t="s">
        <v>4738</v>
      </c>
      <c r="E218" s="16" t="s">
        <v>432</v>
      </c>
      <c r="F218" s="36" t="s">
        <v>1718</v>
      </c>
      <c r="G218" s="16">
        <v>939664508</v>
      </c>
      <c r="H218" t="str">
        <f>VLOOKUP(D218,DATA_SISTEMA!$A$1:$Q$506,13,FALSE)</f>
        <v>CALLE JUSTO PEREZ FIGUEROLA 160</v>
      </c>
      <c r="I218" t="str">
        <f>VLOOKUP(D218,DATA_SISTEMA!$A$1:$Q$506,7,FALSE)</f>
        <v>1997-11-22</v>
      </c>
      <c r="J218" s="32" t="s">
        <v>1718</v>
      </c>
      <c r="K218" s="32" t="s">
        <v>1718</v>
      </c>
      <c r="L218" s="32" t="s">
        <v>1718</v>
      </c>
      <c r="M218">
        <v>312</v>
      </c>
      <c r="N218">
        <v>0</v>
      </c>
      <c r="O218" s="32" t="str">
        <f t="shared" si="3"/>
        <v>2170020261X</v>
      </c>
      <c r="P218" s="32" t="s">
        <v>1718</v>
      </c>
      <c r="Q218" s="32" t="s">
        <v>1718</v>
      </c>
      <c r="R218" s="32" t="s">
        <v>2110</v>
      </c>
      <c r="S218" s="32" t="s">
        <v>5033</v>
      </c>
      <c r="T218" t="str">
        <f>VLOOKUP(D218,DATA_SISTEMA!$A$1:$Q$506,9,FALSE)</f>
        <v>F</v>
      </c>
      <c r="U218" s="32" t="s">
        <v>2106</v>
      </c>
      <c r="V218" s="32" t="s">
        <v>1718</v>
      </c>
      <c r="W218" s="37" t="s">
        <v>5028</v>
      </c>
      <c r="X218" s="32" t="s">
        <v>4522</v>
      </c>
      <c r="Y218" s="32" t="s">
        <v>1718</v>
      </c>
      <c r="Z218" s="32" t="s">
        <v>1718</v>
      </c>
      <c r="AA218" s="32" t="s">
        <v>5028</v>
      </c>
      <c r="AB218" s="32" t="s">
        <v>1718</v>
      </c>
      <c r="AC218" s="32" t="s">
        <v>1718</v>
      </c>
      <c r="AD218" s="32" t="s">
        <v>1718</v>
      </c>
      <c r="AE218" s="32" t="s">
        <v>1718</v>
      </c>
      <c r="AF218" s="32" t="s">
        <v>1718</v>
      </c>
      <c r="AG218" s="32" t="s">
        <v>1718</v>
      </c>
      <c r="AH218" s="32" t="s">
        <v>2107</v>
      </c>
      <c r="AI218" s="16" t="s">
        <v>1511</v>
      </c>
      <c r="AJ218" s="16" t="s">
        <v>1044</v>
      </c>
      <c r="AK218" s="16" t="s">
        <v>1144</v>
      </c>
      <c r="AL218" s="16">
        <v>73698834</v>
      </c>
      <c r="AM218" t="s">
        <v>1718</v>
      </c>
      <c r="AN218" t="s">
        <v>1718</v>
      </c>
      <c r="AO218" t="s">
        <v>1718</v>
      </c>
      <c r="AP218" t="s">
        <v>1718</v>
      </c>
      <c r="AQ218" t="s">
        <v>1718</v>
      </c>
      <c r="AR218" t="s">
        <v>1718</v>
      </c>
      <c r="AS218" t="s">
        <v>1718</v>
      </c>
      <c r="AT218" t="s">
        <v>1718</v>
      </c>
      <c r="AU218" t="s">
        <v>1718</v>
      </c>
      <c r="AV218" t="str">
        <f>VLOOKUP(D218,DATA_SISTEMA!$A$1:$Q$506,12,FALSE)</f>
        <v>LAMBAYEQUE</v>
      </c>
      <c r="AW218" t="str">
        <f>VLOOKUP(D218,DATA_SISTEMA!$A$1:$Q$506,11,FALSE)</f>
        <v>LAMBAYEQUE</v>
      </c>
      <c r="AX218" t="str">
        <f>VLOOKUP(D218,DATA_SISTEMA!$A$1:$Q$506,10,FALSE)</f>
        <v>LAMBAYEQUE</v>
      </c>
      <c r="AY218" t="s">
        <v>1718</v>
      </c>
      <c r="AZ218" t="s">
        <v>5028</v>
      </c>
      <c r="BA218" t="s">
        <v>1718</v>
      </c>
      <c r="BB218" t="s">
        <v>5028</v>
      </c>
      <c r="BC218" t="s">
        <v>1718</v>
      </c>
      <c r="BD218" t="s">
        <v>5028</v>
      </c>
      <c r="BE218" t="s">
        <v>1718</v>
      </c>
      <c r="BF218" s="34" t="s">
        <v>2104</v>
      </c>
      <c r="BG218" s="16">
        <v>66.7</v>
      </c>
    </row>
    <row r="219" spans="1:59" x14ac:dyDescent="0.25">
      <c r="A219" s="4">
        <v>218</v>
      </c>
      <c r="B219" s="33" t="s">
        <v>1719</v>
      </c>
      <c r="C219" s="16" t="s">
        <v>1937</v>
      </c>
      <c r="D219" s="45" t="s">
        <v>4739</v>
      </c>
      <c r="E219" s="16" t="s">
        <v>434</v>
      </c>
      <c r="F219" s="36" t="s">
        <v>1718</v>
      </c>
      <c r="G219" s="16">
        <v>979914401</v>
      </c>
      <c r="H219" t="str">
        <f>VLOOKUP(D219,DATA_SISTEMA!$A$1:$Q$506,13,FALSE)</f>
        <v>AV. LA UNION 646</v>
      </c>
      <c r="I219" t="str">
        <f>VLOOKUP(D219,DATA_SISTEMA!$A$1:$Q$506,7,FALSE)</f>
        <v>1983-02-02</v>
      </c>
      <c r="J219" s="32" t="s">
        <v>1718</v>
      </c>
      <c r="K219" s="32" t="s">
        <v>1718</v>
      </c>
      <c r="L219" s="32" t="s">
        <v>1718</v>
      </c>
      <c r="M219">
        <v>312</v>
      </c>
      <c r="N219">
        <v>0</v>
      </c>
      <c r="O219" s="32" t="str">
        <f t="shared" si="3"/>
        <v>2180020261X</v>
      </c>
      <c r="P219" s="32" t="s">
        <v>1718</v>
      </c>
      <c r="Q219" s="32" t="s">
        <v>1718</v>
      </c>
      <c r="R219" s="32" t="s">
        <v>2110</v>
      </c>
      <c r="S219" s="32" t="s">
        <v>5033</v>
      </c>
      <c r="T219" t="str">
        <f>VLOOKUP(D219,DATA_SISTEMA!$A$1:$Q$506,9,FALSE)</f>
        <v>M</v>
      </c>
      <c r="U219" s="32" t="s">
        <v>2106</v>
      </c>
      <c r="V219" s="32" t="s">
        <v>1718</v>
      </c>
      <c r="W219" s="37" t="s">
        <v>5028</v>
      </c>
      <c r="X219" s="32" t="s">
        <v>4522</v>
      </c>
      <c r="Y219" s="32" t="s">
        <v>1718</v>
      </c>
      <c r="Z219" s="32" t="s">
        <v>1718</v>
      </c>
      <c r="AA219" s="32" t="s">
        <v>5028</v>
      </c>
      <c r="AB219" s="32" t="s">
        <v>1718</v>
      </c>
      <c r="AC219" s="32" t="s">
        <v>1718</v>
      </c>
      <c r="AD219" s="32" t="s">
        <v>1718</v>
      </c>
      <c r="AE219" s="32" t="s">
        <v>1718</v>
      </c>
      <c r="AF219" s="32" t="s">
        <v>1718</v>
      </c>
      <c r="AG219" s="32" t="s">
        <v>1718</v>
      </c>
      <c r="AH219" s="32" t="s">
        <v>2107</v>
      </c>
      <c r="AI219" s="16" t="s">
        <v>1512</v>
      </c>
      <c r="AJ219" s="16" t="s">
        <v>1145</v>
      </c>
      <c r="AK219" s="16" t="s">
        <v>1146</v>
      </c>
      <c r="AL219" s="16">
        <v>41685511</v>
      </c>
      <c r="AM219" t="s">
        <v>1718</v>
      </c>
      <c r="AN219" t="s">
        <v>1718</v>
      </c>
      <c r="AO219" t="s">
        <v>1718</v>
      </c>
      <c r="AP219" t="s">
        <v>1718</v>
      </c>
      <c r="AQ219" t="s">
        <v>1718</v>
      </c>
      <c r="AR219" t="s">
        <v>1718</v>
      </c>
      <c r="AS219" t="s">
        <v>1718</v>
      </c>
      <c r="AT219" t="s">
        <v>1718</v>
      </c>
      <c r="AU219" t="s">
        <v>1718</v>
      </c>
      <c r="AV219" t="str">
        <f>VLOOKUP(D219,DATA_SISTEMA!$A$1:$Q$506,12,FALSE)</f>
        <v>CHICLAYO</v>
      </c>
      <c r="AW219" t="str">
        <f>VLOOKUP(D219,DATA_SISTEMA!$A$1:$Q$506,11,FALSE)</f>
        <v>CHICLAYO</v>
      </c>
      <c r="AX219" t="str">
        <f>VLOOKUP(D219,DATA_SISTEMA!$A$1:$Q$506,10,FALSE)</f>
        <v>LAMBAYEQUE</v>
      </c>
      <c r="AY219" t="s">
        <v>1718</v>
      </c>
      <c r="AZ219" t="s">
        <v>5028</v>
      </c>
      <c r="BA219" t="s">
        <v>1718</v>
      </c>
      <c r="BB219" t="s">
        <v>5028</v>
      </c>
      <c r="BC219" t="s">
        <v>1718</v>
      </c>
      <c r="BD219" t="s">
        <v>5028</v>
      </c>
      <c r="BE219" t="s">
        <v>1718</v>
      </c>
      <c r="BF219" s="34" t="s">
        <v>2104</v>
      </c>
      <c r="BG219" s="16">
        <v>66.7</v>
      </c>
    </row>
    <row r="220" spans="1:59" x14ac:dyDescent="0.25">
      <c r="A220" s="4">
        <v>219</v>
      </c>
      <c r="B220" s="33" t="s">
        <v>1719</v>
      </c>
      <c r="C220" s="16" t="s">
        <v>1938</v>
      </c>
      <c r="D220" s="45" t="s">
        <v>4740</v>
      </c>
      <c r="E220" s="16" t="s">
        <v>436</v>
      </c>
      <c r="F220" s="36" t="s">
        <v>1718</v>
      </c>
      <c r="G220" s="16">
        <v>927372334</v>
      </c>
      <c r="H220" t="str">
        <f>VLOOKUP(D220,DATA_SISTEMA!$A$1:$Q$506,13,FALSE)</f>
        <v>CALLE NAZCA 352</v>
      </c>
      <c r="I220" t="str">
        <f>VLOOKUP(D220,DATA_SISTEMA!$A$1:$Q$506,7,FALSE)</f>
        <v>1989-08-18</v>
      </c>
      <c r="J220" s="32" t="s">
        <v>1718</v>
      </c>
      <c r="K220" s="32" t="s">
        <v>1718</v>
      </c>
      <c r="L220" s="32" t="s">
        <v>1718</v>
      </c>
      <c r="M220">
        <v>312</v>
      </c>
      <c r="N220">
        <v>0</v>
      </c>
      <c r="O220" s="32" t="str">
        <f t="shared" si="3"/>
        <v>2190020261X</v>
      </c>
      <c r="P220" s="32" t="s">
        <v>1718</v>
      </c>
      <c r="Q220" s="32" t="s">
        <v>1718</v>
      </c>
      <c r="R220" s="32" t="s">
        <v>2110</v>
      </c>
      <c r="S220" s="32" t="s">
        <v>5033</v>
      </c>
      <c r="T220" t="str">
        <f>VLOOKUP(D220,DATA_SISTEMA!$A$1:$Q$506,9,FALSE)</f>
        <v>M</v>
      </c>
      <c r="U220" s="32" t="s">
        <v>2106</v>
      </c>
      <c r="V220" s="32" t="s">
        <v>1718</v>
      </c>
      <c r="W220" s="37" t="s">
        <v>5028</v>
      </c>
      <c r="X220" s="32" t="s">
        <v>4522</v>
      </c>
      <c r="Y220" s="32" t="s">
        <v>1718</v>
      </c>
      <c r="Z220" s="32" t="s">
        <v>1718</v>
      </c>
      <c r="AA220" s="32" t="s">
        <v>5028</v>
      </c>
      <c r="AB220" s="32" t="s">
        <v>1718</v>
      </c>
      <c r="AC220" s="32" t="s">
        <v>1718</v>
      </c>
      <c r="AD220" s="32" t="s">
        <v>1718</v>
      </c>
      <c r="AE220" s="32" t="s">
        <v>1718</v>
      </c>
      <c r="AF220" s="32" t="s">
        <v>1718</v>
      </c>
      <c r="AG220" s="32" t="s">
        <v>1718</v>
      </c>
      <c r="AH220" s="32" t="s">
        <v>2107</v>
      </c>
      <c r="AI220" s="16" t="s">
        <v>1513</v>
      </c>
      <c r="AJ220" s="16" t="s">
        <v>1016</v>
      </c>
      <c r="AK220" s="16" t="s">
        <v>1147</v>
      </c>
      <c r="AL220" s="16">
        <v>46754829</v>
      </c>
      <c r="AM220" t="s">
        <v>1718</v>
      </c>
      <c r="AN220" t="s">
        <v>1718</v>
      </c>
      <c r="AO220" t="s">
        <v>1718</v>
      </c>
      <c r="AP220" t="s">
        <v>1718</v>
      </c>
      <c r="AQ220" t="s">
        <v>1718</v>
      </c>
      <c r="AR220" t="s">
        <v>1718</v>
      </c>
      <c r="AS220" t="s">
        <v>1718</v>
      </c>
      <c r="AT220" t="s">
        <v>1718</v>
      </c>
      <c r="AU220" t="s">
        <v>1718</v>
      </c>
      <c r="AV220" t="str">
        <f>VLOOKUP(D220,DATA_SISTEMA!$A$1:$Q$506,12,FALSE)</f>
        <v>JOSE LEONARDO ORTIZ</v>
      </c>
      <c r="AW220" t="str">
        <f>VLOOKUP(D220,DATA_SISTEMA!$A$1:$Q$506,11,FALSE)</f>
        <v>CHICLAYO</v>
      </c>
      <c r="AX220" t="str">
        <f>VLOOKUP(D220,DATA_SISTEMA!$A$1:$Q$506,10,FALSE)</f>
        <v>LAMBAYEQUE</v>
      </c>
      <c r="AY220" t="s">
        <v>1718</v>
      </c>
      <c r="AZ220" t="s">
        <v>5028</v>
      </c>
      <c r="BA220" t="s">
        <v>1718</v>
      </c>
      <c r="BB220" t="s">
        <v>5028</v>
      </c>
      <c r="BC220" t="s">
        <v>1718</v>
      </c>
      <c r="BD220" t="s">
        <v>5028</v>
      </c>
      <c r="BE220" t="s">
        <v>1718</v>
      </c>
      <c r="BF220" s="34" t="s">
        <v>2104</v>
      </c>
      <c r="BG220" s="16">
        <v>66.5</v>
      </c>
    </row>
    <row r="221" spans="1:59" x14ac:dyDescent="0.25">
      <c r="A221" s="4">
        <v>220</v>
      </c>
      <c r="B221" s="33" t="s">
        <v>1719</v>
      </c>
      <c r="C221" s="16" t="s">
        <v>1939</v>
      </c>
      <c r="D221" s="45" t="s">
        <v>4741</v>
      </c>
      <c r="E221" s="16" t="s">
        <v>438</v>
      </c>
      <c r="F221" s="36" t="s">
        <v>1718</v>
      </c>
      <c r="G221" s="16">
        <v>981386020</v>
      </c>
      <c r="H221" t="str">
        <f>VLOOKUP(D221,DATA_SISTEMA!$A$1:$Q$506,13,FALSE)</f>
        <v>AV. MIGUEL GRAU #494</v>
      </c>
      <c r="I221" t="str">
        <f>VLOOKUP(D221,DATA_SISTEMA!$A$1:$Q$506,7,FALSE)</f>
        <v>1999-06-21</v>
      </c>
      <c r="J221" s="32" t="s">
        <v>1718</v>
      </c>
      <c r="K221" s="32" t="s">
        <v>1718</v>
      </c>
      <c r="L221" s="32" t="s">
        <v>1718</v>
      </c>
      <c r="M221">
        <v>312</v>
      </c>
      <c r="N221">
        <v>0</v>
      </c>
      <c r="O221" s="32" t="str">
        <f t="shared" si="3"/>
        <v>2200020261X</v>
      </c>
      <c r="P221" s="32" t="s">
        <v>1718</v>
      </c>
      <c r="Q221" s="32" t="s">
        <v>1718</v>
      </c>
      <c r="R221" s="32" t="s">
        <v>2110</v>
      </c>
      <c r="S221" s="32" t="s">
        <v>5033</v>
      </c>
      <c r="T221" t="str">
        <f>VLOOKUP(D221,DATA_SISTEMA!$A$1:$Q$506,9,FALSE)</f>
        <v>M</v>
      </c>
      <c r="U221" s="32" t="s">
        <v>2106</v>
      </c>
      <c r="V221" s="32" t="s">
        <v>1718</v>
      </c>
      <c r="W221" s="37" t="s">
        <v>5028</v>
      </c>
      <c r="X221" s="32" t="s">
        <v>4522</v>
      </c>
      <c r="Y221" s="32" t="s">
        <v>1718</v>
      </c>
      <c r="Z221" s="32" t="s">
        <v>1718</v>
      </c>
      <c r="AA221" s="32" t="s">
        <v>5028</v>
      </c>
      <c r="AB221" s="32" t="s">
        <v>1718</v>
      </c>
      <c r="AC221" s="32" t="s">
        <v>1718</v>
      </c>
      <c r="AD221" s="32" t="s">
        <v>1718</v>
      </c>
      <c r="AE221" s="32" t="s">
        <v>1718</v>
      </c>
      <c r="AF221" s="32" t="s">
        <v>1718</v>
      </c>
      <c r="AG221" s="32" t="s">
        <v>1718</v>
      </c>
      <c r="AH221" s="32" t="s">
        <v>2107</v>
      </c>
      <c r="AI221" s="16" t="s">
        <v>1514</v>
      </c>
      <c r="AJ221" s="16" t="s">
        <v>1144</v>
      </c>
      <c r="AK221" s="16" t="s">
        <v>997</v>
      </c>
      <c r="AL221" s="16">
        <v>77673877</v>
      </c>
      <c r="AM221" t="s">
        <v>1718</v>
      </c>
      <c r="AN221" t="s">
        <v>1718</v>
      </c>
      <c r="AO221" t="s">
        <v>1718</v>
      </c>
      <c r="AP221" t="s">
        <v>1718</v>
      </c>
      <c r="AQ221" t="s">
        <v>1718</v>
      </c>
      <c r="AR221" t="s">
        <v>1718</v>
      </c>
      <c r="AS221" t="s">
        <v>1718</v>
      </c>
      <c r="AT221" t="s">
        <v>1718</v>
      </c>
      <c r="AU221" t="s">
        <v>1718</v>
      </c>
      <c r="AV221" t="str">
        <f>VLOOKUP(D221,DATA_SISTEMA!$A$1:$Q$506,12,FALSE)</f>
        <v>PICSI</v>
      </c>
      <c r="AW221" t="str">
        <f>VLOOKUP(D221,DATA_SISTEMA!$A$1:$Q$506,11,FALSE)</f>
        <v>CHICLAYO</v>
      </c>
      <c r="AX221" t="str">
        <f>VLOOKUP(D221,DATA_SISTEMA!$A$1:$Q$506,10,FALSE)</f>
        <v>LAMBAYEQUE</v>
      </c>
      <c r="AY221" t="s">
        <v>1718</v>
      </c>
      <c r="AZ221" t="s">
        <v>5028</v>
      </c>
      <c r="BA221" t="s">
        <v>1718</v>
      </c>
      <c r="BB221" t="s">
        <v>5028</v>
      </c>
      <c r="BC221" t="s">
        <v>1718</v>
      </c>
      <c r="BD221" t="s">
        <v>5028</v>
      </c>
      <c r="BE221" t="s">
        <v>1718</v>
      </c>
      <c r="BF221" s="34" t="s">
        <v>2104</v>
      </c>
      <c r="BG221" s="16">
        <v>65.5</v>
      </c>
    </row>
    <row r="222" spans="1:59" x14ac:dyDescent="0.25">
      <c r="A222" s="4">
        <v>221</v>
      </c>
      <c r="B222" s="33" t="s">
        <v>1719</v>
      </c>
      <c r="C222" s="16" t="s">
        <v>1940</v>
      </c>
      <c r="D222" s="45" t="s">
        <v>4742</v>
      </c>
      <c r="E222" s="16" t="s">
        <v>440</v>
      </c>
      <c r="F222" s="36" t="s">
        <v>1718</v>
      </c>
      <c r="G222" s="16">
        <v>945256461</v>
      </c>
      <c r="H222" t="str">
        <f>VLOOKUP(D222,DATA_SISTEMA!$A$1:$Q$506,13,FALSE)</f>
        <v>CA. EMILIANO NIÑO</v>
      </c>
      <c r="I222" t="str">
        <f>VLOOKUP(D222,DATA_SISTEMA!$A$1:$Q$506,7,FALSE)</f>
        <v>1999-09-15</v>
      </c>
      <c r="J222" s="32" t="s">
        <v>1718</v>
      </c>
      <c r="K222" s="32" t="s">
        <v>1718</v>
      </c>
      <c r="L222" s="32" t="s">
        <v>1718</v>
      </c>
      <c r="M222">
        <v>312</v>
      </c>
      <c r="N222">
        <v>0</v>
      </c>
      <c r="O222" s="32" t="str">
        <f t="shared" si="3"/>
        <v>2210020261X</v>
      </c>
      <c r="P222" s="32" t="s">
        <v>1718</v>
      </c>
      <c r="Q222" s="32" t="s">
        <v>1718</v>
      </c>
      <c r="R222" s="32" t="s">
        <v>2110</v>
      </c>
      <c r="S222" s="32" t="s">
        <v>5033</v>
      </c>
      <c r="T222" t="str">
        <f>VLOOKUP(D222,DATA_SISTEMA!$A$1:$Q$506,9,FALSE)</f>
        <v>F</v>
      </c>
      <c r="U222" s="32" t="s">
        <v>2106</v>
      </c>
      <c r="V222" s="32" t="s">
        <v>1718</v>
      </c>
      <c r="W222" s="37" t="s">
        <v>5028</v>
      </c>
      <c r="X222" s="32" t="s">
        <v>4522</v>
      </c>
      <c r="Y222" s="32" t="s">
        <v>1718</v>
      </c>
      <c r="Z222" s="32" t="s">
        <v>1718</v>
      </c>
      <c r="AA222" s="32" t="s">
        <v>5028</v>
      </c>
      <c r="AB222" s="32" t="s">
        <v>1718</v>
      </c>
      <c r="AC222" s="32" t="s">
        <v>1718</v>
      </c>
      <c r="AD222" s="32" t="s">
        <v>1718</v>
      </c>
      <c r="AE222" s="32" t="s">
        <v>1718</v>
      </c>
      <c r="AF222" s="32" t="s">
        <v>1718</v>
      </c>
      <c r="AG222" s="32" t="s">
        <v>1718</v>
      </c>
      <c r="AH222" s="32" t="s">
        <v>2107</v>
      </c>
      <c r="AI222" s="16" t="s">
        <v>1515</v>
      </c>
      <c r="AJ222" s="16" t="s">
        <v>1148</v>
      </c>
      <c r="AK222" s="16" t="s">
        <v>980</v>
      </c>
      <c r="AL222" s="16">
        <v>78023368</v>
      </c>
      <c r="AM222" t="s">
        <v>1718</v>
      </c>
      <c r="AN222" t="s">
        <v>1718</v>
      </c>
      <c r="AO222" t="s">
        <v>1718</v>
      </c>
      <c r="AP222" t="s">
        <v>1718</v>
      </c>
      <c r="AQ222" t="s">
        <v>1718</v>
      </c>
      <c r="AR222" t="s">
        <v>1718</v>
      </c>
      <c r="AS222" t="s">
        <v>1718</v>
      </c>
      <c r="AT222" t="s">
        <v>1718</v>
      </c>
      <c r="AU222" t="s">
        <v>1718</v>
      </c>
      <c r="AV222" t="str">
        <f>VLOOKUP(D222,DATA_SISTEMA!$A$1:$Q$506,12,FALSE)</f>
        <v>MOTUPE</v>
      </c>
      <c r="AW222" t="str">
        <f>VLOOKUP(D222,DATA_SISTEMA!$A$1:$Q$506,11,FALSE)</f>
        <v>LAMBAYEQUE</v>
      </c>
      <c r="AX222" t="str">
        <f>VLOOKUP(D222,DATA_SISTEMA!$A$1:$Q$506,10,FALSE)</f>
        <v>LAMBAYEQUE</v>
      </c>
      <c r="AY222" t="s">
        <v>1718</v>
      </c>
      <c r="AZ222" t="s">
        <v>5028</v>
      </c>
      <c r="BA222" t="s">
        <v>1718</v>
      </c>
      <c r="BB222" t="s">
        <v>5028</v>
      </c>
      <c r="BC222" t="s">
        <v>1718</v>
      </c>
      <c r="BD222" t="s">
        <v>5028</v>
      </c>
      <c r="BE222" t="s">
        <v>1718</v>
      </c>
      <c r="BF222" s="34" t="s">
        <v>2104</v>
      </c>
      <c r="BG222" s="16">
        <v>65.3</v>
      </c>
    </row>
    <row r="223" spans="1:59" x14ac:dyDescent="0.25">
      <c r="A223" s="4">
        <v>222</v>
      </c>
      <c r="B223" s="33" t="s">
        <v>1719</v>
      </c>
      <c r="C223" s="16" t="s">
        <v>1941</v>
      </c>
      <c r="D223" s="45" t="s">
        <v>4743</v>
      </c>
      <c r="E223" s="16" t="s">
        <v>442</v>
      </c>
      <c r="F223" s="36" t="s">
        <v>1718</v>
      </c>
      <c r="G223" s="16">
        <v>941556913</v>
      </c>
      <c r="H223" t="str">
        <f>VLOOKUP(D223,DATA_SISTEMA!$A$1:$Q$506,13,FALSE)</f>
        <v>ELIAS AGUIRRE 105</v>
      </c>
      <c r="I223" t="str">
        <f>VLOOKUP(D223,DATA_SISTEMA!$A$1:$Q$506,7,FALSE)</f>
        <v>1988-05-29</v>
      </c>
      <c r="J223" s="32" t="s">
        <v>1718</v>
      </c>
      <c r="K223" s="32" t="s">
        <v>1718</v>
      </c>
      <c r="L223" s="32" t="s">
        <v>1718</v>
      </c>
      <c r="M223">
        <v>312</v>
      </c>
      <c r="N223">
        <v>0</v>
      </c>
      <c r="O223" s="32" t="str">
        <f t="shared" si="3"/>
        <v>2220020261X</v>
      </c>
      <c r="P223" s="32" t="s">
        <v>1718</v>
      </c>
      <c r="Q223" s="32" t="s">
        <v>1718</v>
      </c>
      <c r="R223" s="32" t="s">
        <v>2110</v>
      </c>
      <c r="S223" s="32" t="s">
        <v>5033</v>
      </c>
      <c r="T223" t="str">
        <f>VLOOKUP(D223,DATA_SISTEMA!$A$1:$Q$506,9,FALSE)</f>
        <v>F</v>
      </c>
      <c r="U223" s="32" t="s">
        <v>2106</v>
      </c>
      <c r="V223" s="32" t="s">
        <v>1718</v>
      </c>
      <c r="W223" s="37" t="s">
        <v>5028</v>
      </c>
      <c r="X223" s="32" t="s">
        <v>4522</v>
      </c>
      <c r="Y223" s="32" t="s">
        <v>1718</v>
      </c>
      <c r="Z223" s="32" t="s">
        <v>1718</v>
      </c>
      <c r="AA223" s="32" t="s">
        <v>5028</v>
      </c>
      <c r="AB223" s="32" t="s">
        <v>1718</v>
      </c>
      <c r="AC223" s="32" t="s">
        <v>1718</v>
      </c>
      <c r="AD223" s="32" t="s">
        <v>1718</v>
      </c>
      <c r="AE223" s="32" t="s">
        <v>1718</v>
      </c>
      <c r="AF223" s="32" t="s">
        <v>1718</v>
      </c>
      <c r="AG223" s="32" t="s">
        <v>1718</v>
      </c>
      <c r="AH223" s="32" t="s">
        <v>2107</v>
      </c>
      <c r="AI223" s="16" t="s">
        <v>1516</v>
      </c>
      <c r="AJ223" s="16" t="s">
        <v>1149</v>
      </c>
      <c r="AK223" s="16" t="s">
        <v>995</v>
      </c>
      <c r="AL223" s="16">
        <v>45104844</v>
      </c>
      <c r="AM223" t="s">
        <v>1718</v>
      </c>
      <c r="AN223" t="s">
        <v>1718</v>
      </c>
      <c r="AO223" t="s">
        <v>1718</v>
      </c>
      <c r="AP223" t="s">
        <v>1718</v>
      </c>
      <c r="AQ223" t="s">
        <v>1718</v>
      </c>
      <c r="AR223" t="s">
        <v>1718</v>
      </c>
      <c r="AS223" t="s">
        <v>1718</v>
      </c>
      <c r="AT223" t="s">
        <v>1718</v>
      </c>
      <c r="AU223" t="s">
        <v>1718</v>
      </c>
      <c r="AV223" t="str">
        <f>VLOOKUP(D223,DATA_SISTEMA!$A$1:$Q$506,12,FALSE)</f>
        <v>PIMENTEL</v>
      </c>
      <c r="AW223" t="str">
        <f>VLOOKUP(D223,DATA_SISTEMA!$A$1:$Q$506,11,FALSE)</f>
        <v>CHICLAYO</v>
      </c>
      <c r="AX223" t="str">
        <f>VLOOKUP(D223,DATA_SISTEMA!$A$1:$Q$506,10,FALSE)</f>
        <v>LAMBAYEQUE</v>
      </c>
      <c r="AY223" t="s">
        <v>1718</v>
      </c>
      <c r="AZ223" t="s">
        <v>5028</v>
      </c>
      <c r="BA223" t="s">
        <v>1718</v>
      </c>
      <c r="BB223" t="s">
        <v>5028</v>
      </c>
      <c r="BC223" t="s">
        <v>1718</v>
      </c>
      <c r="BD223" t="s">
        <v>5028</v>
      </c>
      <c r="BE223" t="s">
        <v>1718</v>
      </c>
      <c r="BF223" s="34" t="s">
        <v>2104</v>
      </c>
      <c r="BG223" s="16">
        <v>65.099999999999994</v>
      </c>
    </row>
    <row r="224" spans="1:59" x14ac:dyDescent="0.25">
      <c r="A224" s="4">
        <v>223</v>
      </c>
      <c r="B224" s="33" t="s">
        <v>1719</v>
      </c>
      <c r="C224" s="16" t="s">
        <v>1942</v>
      </c>
      <c r="D224" s="45" t="s">
        <v>4744</v>
      </c>
      <c r="E224" s="16" t="s">
        <v>444</v>
      </c>
      <c r="F224" s="36" t="s">
        <v>1718</v>
      </c>
      <c r="G224" s="16">
        <v>929723804</v>
      </c>
      <c r="H224" t="str">
        <f>VLOOKUP(D224,DATA_SISTEMA!$A$1:$Q$506,13,FALSE)</f>
        <v>CALLE LOS PINOS 163, CHICLAYO, PERU</v>
      </c>
      <c r="I224" t="str">
        <f>VLOOKUP(D224,DATA_SISTEMA!$A$1:$Q$506,7,FALSE)</f>
        <v>1988-08-13</v>
      </c>
      <c r="J224" s="32" t="s">
        <v>1718</v>
      </c>
      <c r="K224" s="32" t="s">
        <v>1718</v>
      </c>
      <c r="L224" s="32" t="s">
        <v>1718</v>
      </c>
      <c r="M224">
        <v>312</v>
      </c>
      <c r="N224">
        <v>0</v>
      </c>
      <c r="O224" s="32" t="str">
        <f t="shared" si="3"/>
        <v>2230020261X</v>
      </c>
      <c r="P224" s="32" t="s">
        <v>1718</v>
      </c>
      <c r="Q224" s="32" t="s">
        <v>1718</v>
      </c>
      <c r="R224" s="32" t="s">
        <v>2110</v>
      </c>
      <c r="S224" s="32" t="s">
        <v>5033</v>
      </c>
      <c r="T224" t="str">
        <f>VLOOKUP(D224,DATA_SISTEMA!$A$1:$Q$506,9,FALSE)</f>
        <v>F</v>
      </c>
      <c r="U224" s="32" t="s">
        <v>2106</v>
      </c>
      <c r="V224" s="32" t="s">
        <v>1718</v>
      </c>
      <c r="W224" s="37" t="s">
        <v>5028</v>
      </c>
      <c r="X224" s="32" t="s">
        <v>4522</v>
      </c>
      <c r="Y224" s="32" t="s">
        <v>1718</v>
      </c>
      <c r="Z224" s="32" t="s">
        <v>1718</v>
      </c>
      <c r="AA224" s="32" t="s">
        <v>5028</v>
      </c>
      <c r="AB224" s="32" t="s">
        <v>1718</v>
      </c>
      <c r="AC224" s="32" t="s">
        <v>1718</v>
      </c>
      <c r="AD224" s="32" t="s">
        <v>1718</v>
      </c>
      <c r="AE224" s="32" t="s">
        <v>1718</v>
      </c>
      <c r="AF224" s="32" t="s">
        <v>1718</v>
      </c>
      <c r="AG224" s="32" t="s">
        <v>1718</v>
      </c>
      <c r="AH224" s="32" t="s">
        <v>2107</v>
      </c>
      <c r="AI224" s="16" t="s">
        <v>1517</v>
      </c>
      <c r="AJ224" s="16" t="s">
        <v>1150</v>
      </c>
      <c r="AK224" s="16" t="s">
        <v>1137</v>
      </c>
      <c r="AL224" s="16">
        <v>45433760</v>
      </c>
      <c r="AM224" t="s">
        <v>1718</v>
      </c>
      <c r="AN224" t="s">
        <v>1718</v>
      </c>
      <c r="AO224" t="s">
        <v>1718</v>
      </c>
      <c r="AP224" t="s">
        <v>1718</v>
      </c>
      <c r="AQ224" t="s">
        <v>1718</v>
      </c>
      <c r="AR224" t="s">
        <v>1718</v>
      </c>
      <c r="AS224" t="s">
        <v>1718</v>
      </c>
      <c r="AT224" t="s">
        <v>1718</v>
      </c>
      <c r="AU224" t="s">
        <v>1718</v>
      </c>
      <c r="AV224" t="str">
        <f>VLOOKUP(D224,DATA_SISTEMA!$A$1:$Q$506,12,FALSE)</f>
        <v>CHICLAYO</v>
      </c>
      <c r="AW224" t="str">
        <f>VLOOKUP(D224,DATA_SISTEMA!$A$1:$Q$506,11,FALSE)</f>
        <v>CHICLAYO</v>
      </c>
      <c r="AX224" t="str">
        <f>VLOOKUP(D224,DATA_SISTEMA!$A$1:$Q$506,10,FALSE)</f>
        <v>LAMBAYEQUE</v>
      </c>
      <c r="AY224" t="s">
        <v>1718</v>
      </c>
      <c r="AZ224" t="s">
        <v>5028</v>
      </c>
      <c r="BA224" t="s">
        <v>1718</v>
      </c>
      <c r="BB224" t="s">
        <v>5028</v>
      </c>
      <c r="BC224" t="s">
        <v>1718</v>
      </c>
      <c r="BD224" t="s">
        <v>5028</v>
      </c>
      <c r="BE224" t="s">
        <v>1718</v>
      </c>
      <c r="BF224" s="34" t="s">
        <v>2104</v>
      </c>
      <c r="BG224" s="16">
        <v>65</v>
      </c>
    </row>
    <row r="225" spans="1:59" x14ac:dyDescent="0.25">
      <c r="A225" s="4">
        <v>224</v>
      </c>
      <c r="B225" s="33" t="s">
        <v>1719</v>
      </c>
      <c r="C225" s="16" t="s">
        <v>1943</v>
      </c>
      <c r="D225" s="45" t="s">
        <v>4745</v>
      </c>
      <c r="E225" s="16" t="s">
        <v>446</v>
      </c>
      <c r="F225" s="36" t="s">
        <v>1718</v>
      </c>
      <c r="G225" s="16">
        <v>970133837</v>
      </c>
      <c r="H225" t="str">
        <f>VLOOKUP(D225,DATA_SISTEMA!$A$1:$Q$506,13,FALSE)</f>
        <v>PROLONGACIÓN PASTAZA LOTE 2 MANZANA ÚNICA -SATÉLITE</v>
      </c>
      <c r="I225" t="str">
        <f>VLOOKUP(D225,DATA_SISTEMA!$A$1:$Q$506,7,FALSE)</f>
        <v>1995-08-31</v>
      </c>
      <c r="J225" s="32" t="s">
        <v>1718</v>
      </c>
      <c r="K225" s="32" t="s">
        <v>1718</v>
      </c>
      <c r="L225" s="32" t="s">
        <v>1718</v>
      </c>
      <c r="M225">
        <v>312</v>
      </c>
      <c r="N225">
        <v>0</v>
      </c>
      <c r="O225" s="32" t="str">
        <f t="shared" si="3"/>
        <v>2240020261X</v>
      </c>
      <c r="P225" s="32" t="s">
        <v>1718</v>
      </c>
      <c r="Q225" s="32" t="s">
        <v>1718</v>
      </c>
      <c r="R225" s="32" t="s">
        <v>2110</v>
      </c>
      <c r="S225" s="32" t="s">
        <v>5033</v>
      </c>
      <c r="T225" t="str">
        <f>VLOOKUP(D225,DATA_SISTEMA!$A$1:$Q$506,9,FALSE)</f>
        <v>F</v>
      </c>
      <c r="U225" s="32" t="s">
        <v>2106</v>
      </c>
      <c r="V225" s="32" t="s">
        <v>1718</v>
      </c>
      <c r="W225" s="37" t="s">
        <v>5028</v>
      </c>
      <c r="X225" s="32" t="s">
        <v>4522</v>
      </c>
      <c r="Y225" s="32" t="s">
        <v>1718</v>
      </c>
      <c r="Z225" s="32" t="s">
        <v>1718</v>
      </c>
      <c r="AA225" s="32" t="s">
        <v>5028</v>
      </c>
      <c r="AB225" s="32" t="s">
        <v>1718</v>
      </c>
      <c r="AC225" s="32" t="s">
        <v>1718</v>
      </c>
      <c r="AD225" s="32" t="s">
        <v>1718</v>
      </c>
      <c r="AE225" s="32" t="s">
        <v>1718</v>
      </c>
      <c r="AF225" s="32" t="s">
        <v>1718</v>
      </c>
      <c r="AG225" s="32" t="s">
        <v>1718</v>
      </c>
      <c r="AH225" s="32" t="s">
        <v>2107</v>
      </c>
      <c r="AI225" s="16" t="s">
        <v>1518</v>
      </c>
      <c r="AJ225" s="16" t="s">
        <v>1026</v>
      </c>
      <c r="AK225" s="16" t="s">
        <v>1029</v>
      </c>
      <c r="AL225" s="16">
        <v>71429766</v>
      </c>
      <c r="AM225" t="s">
        <v>1718</v>
      </c>
      <c r="AN225" t="s">
        <v>1718</v>
      </c>
      <c r="AO225" t="s">
        <v>1718</v>
      </c>
      <c r="AP225" t="s">
        <v>1718</v>
      </c>
      <c r="AQ225" t="s">
        <v>1718</v>
      </c>
      <c r="AR225" t="s">
        <v>1718</v>
      </c>
      <c r="AS225" t="s">
        <v>1718</v>
      </c>
      <c r="AT225" t="s">
        <v>1718</v>
      </c>
      <c r="AU225" t="s">
        <v>1718</v>
      </c>
      <c r="AV225" t="str">
        <f>VLOOKUP(D225,DATA_SISTEMA!$A$1:$Q$506,12,FALSE)</f>
        <v>CHICLAYO</v>
      </c>
      <c r="AW225" t="str">
        <f>VLOOKUP(D225,DATA_SISTEMA!$A$1:$Q$506,11,FALSE)</f>
        <v>CHICLAYO</v>
      </c>
      <c r="AX225" t="str">
        <f>VLOOKUP(D225,DATA_SISTEMA!$A$1:$Q$506,10,FALSE)</f>
        <v>LAMBAYEQUE</v>
      </c>
      <c r="AY225" t="s">
        <v>1718</v>
      </c>
      <c r="AZ225" t="s">
        <v>5028</v>
      </c>
      <c r="BA225" t="s">
        <v>1718</v>
      </c>
      <c r="BB225" t="s">
        <v>5028</v>
      </c>
      <c r="BC225" t="s">
        <v>1718</v>
      </c>
      <c r="BD225" t="s">
        <v>5028</v>
      </c>
      <c r="BE225" t="s">
        <v>1718</v>
      </c>
      <c r="BF225" s="34" t="s">
        <v>2104</v>
      </c>
      <c r="BG225" s="16">
        <v>65</v>
      </c>
    </row>
    <row r="226" spans="1:59" x14ac:dyDescent="0.25">
      <c r="A226" s="4">
        <v>225</v>
      </c>
      <c r="B226" s="33" t="s">
        <v>1719</v>
      </c>
      <c r="C226" s="16" t="s">
        <v>1944</v>
      </c>
      <c r="D226" s="45" t="s">
        <v>4746</v>
      </c>
      <c r="E226" s="16" t="s">
        <v>448</v>
      </c>
      <c r="F226" s="36" t="s">
        <v>1718</v>
      </c>
      <c r="G226" s="16">
        <v>907600864</v>
      </c>
      <c r="H226" t="str">
        <f>VLOOKUP(D226,DATA_SISTEMA!$A$1:$Q$506,13,FALSE)</f>
        <v>MZ U LT 15 URB. LA ESMERALDA</v>
      </c>
      <c r="I226" t="str">
        <f>VLOOKUP(D226,DATA_SISTEMA!$A$1:$Q$506,7,FALSE)</f>
        <v>2002-09-15</v>
      </c>
      <c r="J226" s="32" t="s">
        <v>1718</v>
      </c>
      <c r="K226" s="32" t="s">
        <v>1718</v>
      </c>
      <c r="L226" s="32" t="s">
        <v>1718</v>
      </c>
      <c r="M226">
        <v>312</v>
      </c>
      <c r="N226">
        <v>0</v>
      </c>
      <c r="O226" s="32" t="str">
        <f t="shared" si="3"/>
        <v>2250020261X</v>
      </c>
      <c r="P226" s="32" t="s">
        <v>1718</v>
      </c>
      <c r="Q226" s="32" t="s">
        <v>1718</v>
      </c>
      <c r="R226" s="32" t="s">
        <v>2110</v>
      </c>
      <c r="S226" s="32" t="s">
        <v>5033</v>
      </c>
      <c r="T226" t="str">
        <f>VLOOKUP(D226,DATA_SISTEMA!$A$1:$Q$506,9,FALSE)</f>
        <v>F</v>
      </c>
      <c r="U226" s="32" t="s">
        <v>2106</v>
      </c>
      <c r="V226" s="32" t="s">
        <v>1718</v>
      </c>
      <c r="W226" s="37" t="s">
        <v>5028</v>
      </c>
      <c r="X226" s="32" t="s">
        <v>4522</v>
      </c>
      <c r="Y226" s="32" t="s">
        <v>1718</v>
      </c>
      <c r="Z226" s="32" t="s">
        <v>1718</v>
      </c>
      <c r="AA226" s="32" t="s">
        <v>5028</v>
      </c>
      <c r="AB226" s="32" t="s">
        <v>1718</v>
      </c>
      <c r="AC226" s="32" t="s">
        <v>1718</v>
      </c>
      <c r="AD226" s="32" t="s">
        <v>1718</v>
      </c>
      <c r="AE226" s="32" t="s">
        <v>1718</v>
      </c>
      <c r="AF226" s="32" t="s">
        <v>1718</v>
      </c>
      <c r="AG226" s="32" t="s">
        <v>1718</v>
      </c>
      <c r="AH226" s="32" t="s">
        <v>2107</v>
      </c>
      <c r="AI226" s="16" t="s">
        <v>1519</v>
      </c>
      <c r="AJ226" s="16" t="s">
        <v>1151</v>
      </c>
      <c r="AK226" s="16" t="s">
        <v>1152</v>
      </c>
      <c r="AL226" s="16">
        <v>71097159</v>
      </c>
      <c r="AM226" t="s">
        <v>1718</v>
      </c>
      <c r="AN226" t="s">
        <v>1718</v>
      </c>
      <c r="AO226" t="s">
        <v>1718</v>
      </c>
      <c r="AP226" t="s">
        <v>1718</v>
      </c>
      <c r="AQ226" t="s">
        <v>1718</v>
      </c>
      <c r="AR226" t="s">
        <v>1718</v>
      </c>
      <c r="AS226" t="s">
        <v>1718</v>
      </c>
      <c r="AT226" t="s">
        <v>1718</v>
      </c>
      <c r="AU226" t="s">
        <v>1718</v>
      </c>
      <c r="AV226" t="str">
        <f>VLOOKUP(D226,DATA_SISTEMA!$A$1:$Q$506,12,FALSE)</f>
        <v>CHICLAYO</v>
      </c>
      <c r="AW226" t="str">
        <f>VLOOKUP(D226,DATA_SISTEMA!$A$1:$Q$506,11,FALSE)</f>
        <v>CHICLAYO</v>
      </c>
      <c r="AX226" t="str">
        <f>VLOOKUP(D226,DATA_SISTEMA!$A$1:$Q$506,10,FALSE)</f>
        <v>LAMBAYEQUE</v>
      </c>
      <c r="AY226" t="s">
        <v>1718</v>
      </c>
      <c r="AZ226" t="s">
        <v>5028</v>
      </c>
      <c r="BA226" t="s">
        <v>1718</v>
      </c>
      <c r="BB226" t="s">
        <v>5028</v>
      </c>
      <c r="BC226" t="s">
        <v>1718</v>
      </c>
      <c r="BD226" t="s">
        <v>5028</v>
      </c>
      <c r="BE226" t="s">
        <v>1718</v>
      </c>
      <c r="BF226" s="34" t="s">
        <v>2104</v>
      </c>
      <c r="BG226" s="16">
        <v>64.900000000000006</v>
      </c>
    </row>
    <row r="227" spans="1:59" x14ac:dyDescent="0.25">
      <c r="A227" s="4">
        <v>226</v>
      </c>
      <c r="B227" s="33" t="s">
        <v>1719</v>
      </c>
      <c r="C227" s="16" t="s">
        <v>1945</v>
      </c>
      <c r="D227" s="45" t="s">
        <v>4747</v>
      </c>
      <c r="E227" s="16" t="s">
        <v>450</v>
      </c>
      <c r="F227" s="36" t="s">
        <v>1718</v>
      </c>
      <c r="G227" s="16">
        <v>971728416</v>
      </c>
      <c r="H227" t="str">
        <f>VLOOKUP(D227,DATA_SISTEMA!$A$1:$Q$506,13,FALSE)</f>
        <v>CALLE EL AYLLU #331 DPTO 201 - LA VICTORIA</v>
      </c>
      <c r="I227" t="str">
        <f>VLOOKUP(D227,DATA_SISTEMA!$A$1:$Q$506,7,FALSE)</f>
        <v>1994-05-28</v>
      </c>
      <c r="J227" s="32" t="s">
        <v>1718</v>
      </c>
      <c r="K227" s="32" t="s">
        <v>1718</v>
      </c>
      <c r="L227" s="32" t="s">
        <v>1718</v>
      </c>
      <c r="M227">
        <v>312</v>
      </c>
      <c r="N227">
        <v>0</v>
      </c>
      <c r="O227" s="32" t="str">
        <f t="shared" si="3"/>
        <v>2260020261X</v>
      </c>
      <c r="P227" s="32" t="s">
        <v>1718</v>
      </c>
      <c r="Q227" s="32" t="s">
        <v>1718</v>
      </c>
      <c r="R227" s="32" t="s">
        <v>2110</v>
      </c>
      <c r="S227" s="32" t="s">
        <v>5033</v>
      </c>
      <c r="T227" t="str">
        <f>VLOOKUP(D227,DATA_SISTEMA!$A$1:$Q$506,9,FALSE)</f>
        <v>M</v>
      </c>
      <c r="U227" s="32" t="s">
        <v>2106</v>
      </c>
      <c r="V227" s="32" t="s">
        <v>1718</v>
      </c>
      <c r="W227" s="37" t="s">
        <v>5028</v>
      </c>
      <c r="X227" s="32" t="s">
        <v>4522</v>
      </c>
      <c r="Y227" s="32" t="s">
        <v>1718</v>
      </c>
      <c r="Z227" s="32" t="s">
        <v>1718</v>
      </c>
      <c r="AA227" s="32" t="s">
        <v>5028</v>
      </c>
      <c r="AB227" s="32" t="s">
        <v>1718</v>
      </c>
      <c r="AC227" s="32" t="s">
        <v>1718</v>
      </c>
      <c r="AD227" s="32" t="s">
        <v>1718</v>
      </c>
      <c r="AE227" s="32" t="s">
        <v>1718</v>
      </c>
      <c r="AF227" s="32" t="s">
        <v>1718</v>
      </c>
      <c r="AG227" s="32" t="s">
        <v>1718</v>
      </c>
      <c r="AH227" s="32" t="s">
        <v>2107</v>
      </c>
      <c r="AI227" s="16" t="s">
        <v>1520</v>
      </c>
      <c r="AJ227" s="16" t="s">
        <v>1153</v>
      </c>
      <c r="AK227" s="16" t="s">
        <v>1131</v>
      </c>
      <c r="AL227" s="16">
        <v>48266249</v>
      </c>
      <c r="AM227" t="s">
        <v>1718</v>
      </c>
      <c r="AN227" t="s">
        <v>1718</v>
      </c>
      <c r="AO227" t="s">
        <v>1718</v>
      </c>
      <c r="AP227" t="s">
        <v>1718</v>
      </c>
      <c r="AQ227" t="s">
        <v>1718</v>
      </c>
      <c r="AR227" t="s">
        <v>1718</v>
      </c>
      <c r="AS227" t="s">
        <v>1718</v>
      </c>
      <c r="AT227" t="s">
        <v>1718</v>
      </c>
      <c r="AU227" t="s">
        <v>1718</v>
      </c>
      <c r="AV227" t="str">
        <f>VLOOKUP(D227,DATA_SISTEMA!$A$1:$Q$506,12,FALSE)</f>
        <v>LA VICTORIA</v>
      </c>
      <c r="AW227" t="str">
        <f>VLOOKUP(D227,DATA_SISTEMA!$A$1:$Q$506,11,FALSE)</f>
        <v>CHICLAYO</v>
      </c>
      <c r="AX227" t="str">
        <f>VLOOKUP(D227,DATA_SISTEMA!$A$1:$Q$506,10,FALSE)</f>
        <v>LAMBAYEQUE</v>
      </c>
      <c r="AY227" t="s">
        <v>1718</v>
      </c>
      <c r="AZ227" t="s">
        <v>5028</v>
      </c>
      <c r="BA227" t="s">
        <v>1718</v>
      </c>
      <c r="BB227" t="s">
        <v>5028</v>
      </c>
      <c r="BC227" t="s">
        <v>1718</v>
      </c>
      <c r="BD227" t="s">
        <v>5028</v>
      </c>
      <c r="BE227" t="s">
        <v>1718</v>
      </c>
      <c r="BF227" s="34" t="s">
        <v>2104</v>
      </c>
      <c r="BG227" s="16">
        <v>64.8</v>
      </c>
    </row>
    <row r="228" spans="1:59" x14ac:dyDescent="0.25">
      <c r="A228" s="4">
        <v>227</v>
      </c>
      <c r="B228" s="33" t="s">
        <v>1719</v>
      </c>
      <c r="C228" s="16" t="s">
        <v>1946</v>
      </c>
      <c r="D228" s="45" t="s">
        <v>4748</v>
      </c>
      <c r="E228" s="16" t="s">
        <v>452</v>
      </c>
      <c r="F228" s="36" t="s">
        <v>1718</v>
      </c>
      <c r="G228" s="16">
        <v>978185380</v>
      </c>
      <c r="H228" t="str">
        <f>VLOOKUP(D228,DATA_SISTEMA!$A$1:$Q$506,13,FALSE)</f>
        <v>CALLE. FRANCISCO BOLOGNESI Nº 120 PUEBLO JOVEN FEDERICO VILLARREAL</v>
      </c>
      <c r="I228" t="str">
        <f>VLOOKUP(D228,DATA_SISTEMA!$A$1:$Q$506,7,FALSE)</f>
        <v>1990-11-11</v>
      </c>
      <c r="J228" s="32" t="s">
        <v>1718</v>
      </c>
      <c r="K228" s="32" t="s">
        <v>1718</v>
      </c>
      <c r="L228" s="32" t="s">
        <v>1718</v>
      </c>
      <c r="M228">
        <v>312</v>
      </c>
      <c r="N228">
        <v>0</v>
      </c>
      <c r="O228" s="32" t="str">
        <f t="shared" si="3"/>
        <v>2270020261X</v>
      </c>
      <c r="P228" s="32" t="s">
        <v>1718</v>
      </c>
      <c r="Q228" s="32" t="s">
        <v>1718</v>
      </c>
      <c r="R228" s="32" t="s">
        <v>2110</v>
      </c>
      <c r="S228" s="32" t="s">
        <v>5033</v>
      </c>
      <c r="T228" t="str">
        <f>VLOOKUP(D228,DATA_SISTEMA!$A$1:$Q$506,9,FALSE)</f>
        <v>F</v>
      </c>
      <c r="U228" s="32" t="s">
        <v>2106</v>
      </c>
      <c r="V228" s="32" t="s">
        <v>1718</v>
      </c>
      <c r="W228" s="37" t="s">
        <v>5028</v>
      </c>
      <c r="X228" s="32" t="s">
        <v>4522</v>
      </c>
      <c r="Y228" s="32" t="s">
        <v>1718</v>
      </c>
      <c r="Z228" s="32" t="s">
        <v>1718</v>
      </c>
      <c r="AA228" s="32" t="s">
        <v>5028</v>
      </c>
      <c r="AB228" s="32" t="s">
        <v>1718</v>
      </c>
      <c r="AC228" s="32" t="s">
        <v>1718</v>
      </c>
      <c r="AD228" s="32" t="s">
        <v>1718</v>
      </c>
      <c r="AE228" s="32" t="s">
        <v>1718</v>
      </c>
      <c r="AF228" s="32" t="s">
        <v>1718</v>
      </c>
      <c r="AG228" s="32" t="s">
        <v>1718</v>
      </c>
      <c r="AH228" s="32" t="s">
        <v>2107</v>
      </c>
      <c r="AI228" s="16" t="s">
        <v>1521</v>
      </c>
      <c r="AJ228" s="16" t="s">
        <v>908</v>
      </c>
      <c r="AK228" s="16" t="s">
        <v>898</v>
      </c>
      <c r="AL228" s="16">
        <v>46707327</v>
      </c>
      <c r="AM228" t="s">
        <v>1718</v>
      </c>
      <c r="AN228" t="s">
        <v>1718</v>
      </c>
      <c r="AO228" t="s">
        <v>1718</v>
      </c>
      <c r="AP228" t="s">
        <v>1718</v>
      </c>
      <c r="AQ228" t="s">
        <v>1718</v>
      </c>
      <c r="AR228" t="s">
        <v>1718</v>
      </c>
      <c r="AS228" t="s">
        <v>1718</v>
      </c>
      <c r="AT228" t="s">
        <v>1718</v>
      </c>
      <c r="AU228" t="s">
        <v>1718</v>
      </c>
      <c r="AV228" t="str">
        <f>VLOOKUP(D228,DATA_SISTEMA!$A$1:$Q$506,12,FALSE)</f>
        <v>TUCUME</v>
      </c>
      <c r="AW228" t="str">
        <f>VLOOKUP(D228,DATA_SISTEMA!$A$1:$Q$506,11,FALSE)</f>
        <v>LAMBAYEQUE</v>
      </c>
      <c r="AX228" t="str">
        <f>VLOOKUP(D228,DATA_SISTEMA!$A$1:$Q$506,10,FALSE)</f>
        <v>LAMBAYEQUE</v>
      </c>
      <c r="AY228" t="s">
        <v>1718</v>
      </c>
      <c r="AZ228" t="s">
        <v>5028</v>
      </c>
      <c r="BA228" t="s">
        <v>1718</v>
      </c>
      <c r="BB228" t="s">
        <v>5028</v>
      </c>
      <c r="BC228" t="s">
        <v>1718</v>
      </c>
      <c r="BD228" t="s">
        <v>5028</v>
      </c>
      <c r="BE228" t="s">
        <v>1718</v>
      </c>
      <c r="BF228" s="34" t="s">
        <v>2104</v>
      </c>
      <c r="BG228" s="16">
        <v>64.5</v>
      </c>
    </row>
    <row r="229" spans="1:59" x14ac:dyDescent="0.25">
      <c r="A229" s="4">
        <v>228</v>
      </c>
      <c r="B229" s="33" t="s">
        <v>1719</v>
      </c>
      <c r="C229" s="16" t="s">
        <v>1947</v>
      </c>
      <c r="D229" s="45" t="s">
        <v>4749</v>
      </c>
      <c r="E229" s="16" t="s">
        <v>454</v>
      </c>
      <c r="F229" s="36" t="s">
        <v>1718</v>
      </c>
      <c r="G229" s="16">
        <v>992957804</v>
      </c>
      <c r="H229" t="str">
        <f>VLOOKUP(D229,DATA_SISTEMA!$A$1:$Q$506,13,FALSE)</f>
        <v>CA. FRANCISCO BOLOGNESI</v>
      </c>
      <c r="I229" t="str">
        <f>VLOOKUP(D229,DATA_SISTEMA!$A$1:$Q$506,7,FALSE)</f>
        <v>1990-08-15</v>
      </c>
      <c r="J229" s="32" t="s">
        <v>1718</v>
      </c>
      <c r="K229" s="32" t="s">
        <v>1718</v>
      </c>
      <c r="L229" s="32" t="s">
        <v>1718</v>
      </c>
      <c r="M229">
        <v>312</v>
      </c>
      <c r="N229">
        <v>0</v>
      </c>
      <c r="O229" s="32" t="str">
        <f t="shared" si="3"/>
        <v>2280020261X</v>
      </c>
      <c r="P229" s="32" t="s">
        <v>1718</v>
      </c>
      <c r="Q229" s="32" t="s">
        <v>1718</v>
      </c>
      <c r="R229" s="32" t="s">
        <v>2110</v>
      </c>
      <c r="S229" s="32" t="s">
        <v>5033</v>
      </c>
      <c r="T229" t="str">
        <f>VLOOKUP(D229,DATA_SISTEMA!$A$1:$Q$506,9,FALSE)</f>
        <v>F</v>
      </c>
      <c r="U229" s="32" t="s">
        <v>2106</v>
      </c>
      <c r="V229" s="32" t="s">
        <v>1718</v>
      </c>
      <c r="W229" s="37" t="s">
        <v>5028</v>
      </c>
      <c r="X229" s="32" t="s">
        <v>4522</v>
      </c>
      <c r="Y229" s="32" t="s">
        <v>1718</v>
      </c>
      <c r="Z229" s="32" t="s">
        <v>1718</v>
      </c>
      <c r="AA229" s="32" t="s">
        <v>5028</v>
      </c>
      <c r="AB229" s="32" t="s">
        <v>1718</v>
      </c>
      <c r="AC229" s="32" t="s">
        <v>1718</v>
      </c>
      <c r="AD229" s="32" t="s">
        <v>1718</v>
      </c>
      <c r="AE229" s="32" t="s">
        <v>1718</v>
      </c>
      <c r="AF229" s="32" t="s">
        <v>1718</v>
      </c>
      <c r="AG229" s="32" t="s">
        <v>1718</v>
      </c>
      <c r="AH229" s="32" t="s">
        <v>2107</v>
      </c>
      <c r="AI229" s="16" t="s">
        <v>1522</v>
      </c>
      <c r="AJ229" s="16" t="s">
        <v>956</v>
      </c>
      <c r="AK229" s="16" t="s">
        <v>879</v>
      </c>
      <c r="AL229" s="16">
        <v>46523234</v>
      </c>
      <c r="AM229" t="s">
        <v>1718</v>
      </c>
      <c r="AN229" t="s">
        <v>1718</v>
      </c>
      <c r="AO229" t="s">
        <v>1718</v>
      </c>
      <c r="AP229" t="s">
        <v>1718</v>
      </c>
      <c r="AQ229" t="s">
        <v>1718</v>
      </c>
      <c r="AR229" t="s">
        <v>1718</v>
      </c>
      <c r="AS229" t="s">
        <v>1718</v>
      </c>
      <c r="AT229" t="s">
        <v>1718</v>
      </c>
      <c r="AU229" t="s">
        <v>1718</v>
      </c>
      <c r="AV229" t="str">
        <f>VLOOKUP(D229,DATA_SISTEMA!$A$1:$Q$506,12,FALSE)</f>
        <v>MORROPE</v>
      </c>
      <c r="AW229" t="str">
        <f>VLOOKUP(D229,DATA_SISTEMA!$A$1:$Q$506,11,FALSE)</f>
        <v>LAMBAYEQUE</v>
      </c>
      <c r="AX229" t="str">
        <f>VLOOKUP(D229,DATA_SISTEMA!$A$1:$Q$506,10,FALSE)</f>
        <v>LAMBAYEQUE</v>
      </c>
      <c r="AY229" t="s">
        <v>1718</v>
      </c>
      <c r="AZ229" t="s">
        <v>5028</v>
      </c>
      <c r="BA229" t="s">
        <v>1718</v>
      </c>
      <c r="BB229" t="s">
        <v>5028</v>
      </c>
      <c r="BC229" t="s">
        <v>1718</v>
      </c>
      <c r="BD229" t="s">
        <v>5028</v>
      </c>
      <c r="BE229" t="s">
        <v>1718</v>
      </c>
      <c r="BF229" s="34" t="s">
        <v>2104</v>
      </c>
      <c r="BG229" s="16">
        <v>64</v>
      </c>
    </row>
    <row r="230" spans="1:59" x14ac:dyDescent="0.25">
      <c r="A230" s="4">
        <v>229</v>
      </c>
      <c r="B230" s="33" t="s">
        <v>1719</v>
      </c>
      <c r="C230" s="16" t="s">
        <v>1948</v>
      </c>
      <c r="D230" s="45" t="s">
        <v>4750</v>
      </c>
      <c r="E230" s="16" t="s">
        <v>456</v>
      </c>
      <c r="F230" s="36" t="s">
        <v>1718</v>
      </c>
      <c r="G230" s="16">
        <v>935374145</v>
      </c>
      <c r="H230" t="str">
        <f>VLOOKUP(D230,DATA_SISTEMA!$A$1:$Q$506,13,FALSE)</f>
        <v>CALLE PASCUAL SACO 444 MOCHUMI</v>
      </c>
      <c r="I230" t="str">
        <f>VLOOKUP(D230,DATA_SISTEMA!$A$1:$Q$506,7,FALSE)</f>
        <v>1988-09-23</v>
      </c>
      <c r="J230" s="32" t="s">
        <v>1718</v>
      </c>
      <c r="K230" s="32" t="s">
        <v>1718</v>
      </c>
      <c r="L230" s="32" t="s">
        <v>1718</v>
      </c>
      <c r="M230">
        <v>312</v>
      </c>
      <c r="N230">
        <v>0</v>
      </c>
      <c r="O230" s="32" t="str">
        <f t="shared" si="3"/>
        <v>2290020261X</v>
      </c>
      <c r="P230" s="32" t="s">
        <v>1718</v>
      </c>
      <c r="Q230" s="32" t="s">
        <v>1718</v>
      </c>
      <c r="R230" s="32" t="s">
        <v>2110</v>
      </c>
      <c r="S230" s="32" t="s">
        <v>5033</v>
      </c>
      <c r="T230" t="str">
        <f>VLOOKUP(D230,DATA_SISTEMA!$A$1:$Q$506,9,FALSE)</f>
        <v>F</v>
      </c>
      <c r="U230" s="32" t="s">
        <v>2106</v>
      </c>
      <c r="V230" s="32" t="s">
        <v>1718</v>
      </c>
      <c r="W230" s="37" t="s">
        <v>5028</v>
      </c>
      <c r="X230" s="32" t="s">
        <v>4522</v>
      </c>
      <c r="Y230" s="32" t="s">
        <v>1718</v>
      </c>
      <c r="Z230" s="32" t="s">
        <v>1718</v>
      </c>
      <c r="AA230" s="32" t="s">
        <v>5028</v>
      </c>
      <c r="AB230" s="32" t="s">
        <v>1718</v>
      </c>
      <c r="AC230" s="32" t="s">
        <v>1718</v>
      </c>
      <c r="AD230" s="32" t="s">
        <v>1718</v>
      </c>
      <c r="AE230" s="32" t="s">
        <v>1718</v>
      </c>
      <c r="AF230" s="32" t="s">
        <v>1718</v>
      </c>
      <c r="AG230" s="32" t="s">
        <v>1718</v>
      </c>
      <c r="AH230" s="32" t="s">
        <v>2107</v>
      </c>
      <c r="AI230" s="16" t="s">
        <v>1523</v>
      </c>
      <c r="AJ230" s="16" t="s">
        <v>1049</v>
      </c>
      <c r="AK230" s="16" t="s">
        <v>1154</v>
      </c>
      <c r="AL230" s="16">
        <v>45975051</v>
      </c>
      <c r="AM230" t="s">
        <v>1718</v>
      </c>
      <c r="AN230" t="s">
        <v>1718</v>
      </c>
      <c r="AO230" t="s">
        <v>1718</v>
      </c>
      <c r="AP230" t="s">
        <v>1718</v>
      </c>
      <c r="AQ230" t="s">
        <v>1718</v>
      </c>
      <c r="AR230" t="s">
        <v>1718</v>
      </c>
      <c r="AS230" t="s">
        <v>1718</v>
      </c>
      <c r="AT230" t="s">
        <v>1718</v>
      </c>
      <c r="AU230" t="s">
        <v>1718</v>
      </c>
      <c r="AV230" t="str">
        <f>VLOOKUP(D230,DATA_SISTEMA!$A$1:$Q$506,12,FALSE)</f>
        <v>MOCHUMI</v>
      </c>
      <c r="AW230" t="str">
        <f>VLOOKUP(D230,DATA_SISTEMA!$A$1:$Q$506,11,FALSE)</f>
        <v>LAMBAYEQUE</v>
      </c>
      <c r="AX230" t="str">
        <f>VLOOKUP(D230,DATA_SISTEMA!$A$1:$Q$506,10,FALSE)</f>
        <v>LAMBAYEQUE</v>
      </c>
      <c r="AY230" t="s">
        <v>1718</v>
      </c>
      <c r="AZ230" t="s">
        <v>5028</v>
      </c>
      <c r="BA230" t="s">
        <v>1718</v>
      </c>
      <c r="BB230" t="s">
        <v>5028</v>
      </c>
      <c r="BC230" t="s">
        <v>1718</v>
      </c>
      <c r="BD230" t="s">
        <v>5028</v>
      </c>
      <c r="BE230" t="s">
        <v>1718</v>
      </c>
      <c r="BF230" s="34" t="s">
        <v>2104</v>
      </c>
      <c r="BG230" s="16">
        <v>63.2</v>
      </c>
    </row>
    <row r="231" spans="1:59" x14ac:dyDescent="0.25">
      <c r="A231" s="4">
        <v>230</v>
      </c>
      <c r="B231" s="33" t="s">
        <v>1719</v>
      </c>
      <c r="C231" s="16" t="s">
        <v>1949</v>
      </c>
      <c r="D231" s="45" t="s">
        <v>4751</v>
      </c>
      <c r="E231" s="16" t="s">
        <v>458</v>
      </c>
      <c r="F231" s="36" t="s">
        <v>1718</v>
      </c>
      <c r="G231" s="16">
        <v>907396390</v>
      </c>
      <c r="H231" t="str">
        <f>VLOOKUP(D231,DATA_SISTEMA!$A$1:$Q$506,13,FALSE)</f>
        <v>CASERIO EL PROGRESO</v>
      </c>
      <c r="I231" t="str">
        <f>VLOOKUP(D231,DATA_SISTEMA!$A$1:$Q$506,7,FALSE)</f>
        <v>1989-03-06</v>
      </c>
      <c r="J231" s="32" t="s">
        <v>1718</v>
      </c>
      <c r="K231" s="32" t="s">
        <v>1718</v>
      </c>
      <c r="L231" s="32" t="s">
        <v>1718</v>
      </c>
      <c r="M231">
        <v>312</v>
      </c>
      <c r="N231">
        <v>0</v>
      </c>
      <c r="O231" s="32" t="str">
        <f t="shared" si="3"/>
        <v>2300020261X</v>
      </c>
      <c r="P231" s="32" t="s">
        <v>1718</v>
      </c>
      <c r="Q231" s="32" t="s">
        <v>1718</v>
      </c>
      <c r="R231" s="32" t="s">
        <v>2110</v>
      </c>
      <c r="S231" s="32" t="s">
        <v>5033</v>
      </c>
      <c r="T231" t="str">
        <f>VLOOKUP(D231,DATA_SISTEMA!$A$1:$Q$506,9,FALSE)</f>
        <v>M</v>
      </c>
      <c r="U231" s="32" t="s">
        <v>2106</v>
      </c>
      <c r="V231" s="32" t="s">
        <v>1718</v>
      </c>
      <c r="W231" s="37" t="s">
        <v>5028</v>
      </c>
      <c r="X231" s="32" t="s">
        <v>4522</v>
      </c>
      <c r="Y231" s="32" t="s">
        <v>1718</v>
      </c>
      <c r="Z231" s="32" t="s">
        <v>1718</v>
      </c>
      <c r="AA231" s="32" t="s">
        <v>5028</v>
      </c>
      <c r="AB231" s="32" t="s">
        <v>1718</v>
      </c>
      <c r="AC231" s="32" t="s">
        <v>1718</v>
      </c>
      <c r="AD231" s="32" t="s">
        <v>1718</v>
      </c>
      <c r="AE231" s="32" t="s">
        <v>1718</v>
      </c>
      <c r="AF231" s="32" t="s">
        <v>1718</v>
      </c>
      <c r="AG231" s="32" t="s">
        <v>1718</v>
      </c>
      <c r="AH231" s="32" t="s">
        <v>2107</v>
      </c>
      <c r="AI231" s="16" t="s">
        <v>1524</v>
      </c>
      <c r="AJ231" s="16" t="s">
        <v>1033</v>
      </c>
      <c r="AK231" s="16" t="s">
        <v>1155</v>
      </c>
      <c r="AL231" s="16">
        <v>45603991</v>
      </c>
      <c r="AM231" t="s">
        <v>1718</v>
      </c>
      <c r="AN231" t="s">
        <v>1718</v>
      </c>
      <c r="AO231" t="s">
        <v>1718</v>
      </c>
      <c r="AP231" t="s">
        <v>1718</v>
      </c>
      <c r="AQ231" t="s">
        <v>1718</v>
      </c>
      <c r="AR231" t="s">
        <v>1718</v>
      </c>
      <c r="AS231" t="s">
        <v>1718</v>
      </c>
      <c r="AT231" t="s">
        <v>1718</v>
      </c>
      <c r="AU231" t="s">
        <v>1718</v>
      </c>
      <c r="AV231" t="str">
        <f>VLOOKUP(D231,DATA_SISTEMA!$A$1:$Q$506,12,FALSE)</f>
        <v>PATAPO</v>
      </c>
      <c r="AW231" t="str">
        <f>VLOOKUP(D231,DATA_SISTEMA!$A$1:$Q$506,11,FALSE)</f>
        <v>CHICLAYO</v>
      </c>
      <c r="AX231" t="str">
        <f>VLOOKUP(D231,DATA_SISTEMA!$A$1:$Q$506,10,FALSE)</f>
        <v>LAMBAYEQUE</v>
      </c>
      <c r="AY231" t="s">
        <v>1718</v>
      </c>
      <c r="AZ231" t="s">
        <v>5028</v>
      </c>
      <c r="BA231" t="s">
        <v>1718</v>
      </c>
      <c r="BB231" t="s">
        <v>5028</v>
      </c>
      <c r="BC231" t="s">
        <v>1718</v>
      </c>
      <c r="BD231" t="s">
        <v>5028</v>
      </c>
      <c r="BE231" t="s">
        <v>1718</v>
      </c>
      <c r="BF231" s="34" t="s">
        <v>2104</v>
      </c>
      <c r="BG231" s="16">
        <v>62.5</v>
      </c>
    </row>
    <row r="232" spans="1:59" x14ac:dyDescent="0.25">
      <c r="A232" s="4">
        <v>231</v>
      </c>
      <c r="B232" s="33" t="s">
        <v>1719</v>
      </c>
      <c r="C232" s="16" t="s">
        <v>1950</v>
      </c>
      <c r="D232" s="45" t="s">
        <v>4752</v>
      </c>
      <c r="E232" s="16" t="s">
        <v>460</v>
      </c>
      <c r="F232" s="36" t="s">
        <v>1718</v>
      </c>
      <c r="G232" s="16">
        <v>983156775</v>
      </c>
      <c r="H232" t="str">
        <f>VLOOKUP(D232,DATA_SISTEMA!$A$1:$Q$506,13,FALSE)</f>
        <v>MIGUEL DE CERVANTES SAAVEDRA N°120</v>
      </c>
      <c r="I232" t="str">
        <f>VLOOKUP(D232,DATA_SISTEMA!$A$1:$Q$506,7,FALSE)</f>
        <v>1976-02-14</v>
      </c>
      <c r="J232" s="32" t="s">
        <v>1718</v>
      </c>
      <c r="K232" s="32" t="s">
        <v>1718</v>
      </c>
      <c r="L232" s="32" t="s">
        <v>1718</v>
      </c>
      <c r="M232">
        <v>312</v>
      </c>
      <c r="N232">
        <v>0</v>
      </c>
      <c r="O232" s="32" t="str">
        <f t="shared" si="3"/>
        <v>2310020261X</v>
      </c>
      <c r="P232" s="32" t="s">
        <v>1718</v>
      </c>
      <c r="Q232" s="32" t="s">
        <v>1718</v>
      </c>
      <c r="R232" s="32" t="s">
        <v>2110</v>
      </c>
      <c r="S232" s="32" t="s">
        <v>5033</v>
      </c>
      <c r="T232" t="str">
        <f>VLOOKUP(D232,DATA_SISTEMA!$A$1:$Q$506,9,FALSE)</f>
        <v>M</v>
      </c>
      <c r="U232" s="32" t="s">
        <v>2106</v>
      </c>
      <c r="V232" s="32" t="s">
        <v>1718</v>
      </c>
      <c r="W232" s="37" t="s">
        <v>5028</v>
      </c>
      <c r="X232" s="32" t="s">
        <v>4522</v>
      </c>
      <c r="Y232" s="32" t="s">
        <v>1718</v>
      </c>
      <c r="Z232" s="32" t="s">
        <v>1718</v>
      </c>
      <c r="AA232" s="32" t="s">
        <v>5028</v>
      </c>
      <c r="AB232" s="32" t="s">
        <v>1718</v>
      </c>
      <c r="AC232" s="32" t="s">
        <v>1718</v>
      </c>
      <c r="AD232" s="32" t="s">
        <v>1718</v>
      </c>
      <c r="AE232" s="32" t="s">
        <v>1718</v>
      </c>
      <c r="AF232" s="32" t="s">
        <v>1718</v>
      </c>
      <c r="AG232" s="32" t="s">
        <v>1718</v>
      </c>
      <c r="AH232" s="32" t="s">
        <v>2107</v>
      </c>
      <c r="AI232" s="16" t="s">
        <v>1525</v>
      </c>
      <c r="AJ232" s="16" t="s">
        <v>914</v>
      </c>
      <c r="AK232" s="16" t="s">
        <v>1156</v>
      </c>
      <c r="AL232" s="16">
        <v>16751697</v>
      </c>
      <c r="AM232" t="s">
        <v>1718</v>
      </c>
      <c r="AN232" t="s">
        <v>1718</v>
      </c>
      <c r="AO232" t="s">
        <v>1718</v>
      </c>
      <c r="AP232" t="s">
        <v>1718</v>
      </c>
      <c r="AQ232" t="s">
        <v>1718</v>
      </c>
      <c r="AR232" t="s">
        <v>1718</v>
      </c>
      <c r="AS232" t="s">
        <v>1718</v>
      </c>
      <c r="AT232" t="s">
        <v>1718</v>
      </c>
      <c r="AU232" t="s">
        <v>1718</v>
      </c>
      <c r="AV232" t="str">
        <f>VLOOKUP(D232,DATA_SISTEMA!$A$1:$Q$506,12,FALSE)</f>
        <v>CHICLAYO</v>
      </c>
      <c r="AW232" t="str">
        <f>VLOOKUP(D232,DATA_SISTEMA!$A$1:$Q$506,11,FALSE)</f>
        <v>CHICLAYO</v>
      </c>
      <c r="AX232" t="str">
        <f>VLOOKUP(D232,DATA_SISTEMA!$A$1:$Q$506,10,FALSE)</f>
        <v>LAMBAYEQUE</v>
      </c>
      <c r="AY232" t="s">
        <v>1718</v>
      </c>
      <c r="AZ232" t="s">
        <v>5028</v>
      </c>
      <c r="BA232" t="s">
        <v>1718</v>
      </c>
      <c r="BB232" t="s">
        <v>5028</v>
      </c>
      <c r="BC232" t="s">
        <v>1718</v>
      </c>
      <c r="BD232" t="s">
        <v>5028</v>
      </c>
      <c r="BE232" t="s">
        <v>1718</v>
      </c>
      <c r="BF232" s="34" t="s">
        <v>2104</v>
      </c>
      <c r="BG232" s="16">
        <v>62</v>
      </c>
    </row>
    <row r="233" spans="1:59" x14ac:dyDescent="0.25">
      <c r="A233" s="4">
        <v>232</v>
      </c>
      <c r="B233" s="33" t="s">
        <v>1719</v>
      </c>
      <c r="C233" s="16" t="s">
        <v>1951</v>
      </c>
      <c r="D233" s="45" t="s">
        <v>4753</v>
      </c>
      <c r="E233" s="16" t="s">
        <v>462</v>
      </c>
      <c r="F233" s="36" t="s">
        <v>1718</v>
      </c>
      <c r="G233" s="16">
        <v>991535733</v>
      </c>
      <c r="H233" t="str">
        <f>VLOOKUP(D233,DATA_SISTEMA!$A$1:$Q$506,13,FALSE)</f>
        <v>CALLE ZURITA NRO. 217</v>
      </c>
      <c r="I233" t="str">
        <f>VLOOKUP(D233,DATA_SISTEMA!$A$1:$Q$506,7,FALSE)</f>
        <v>1983-11-30</v>
      </c>
      <c r="J233" s="32" t="s">
        <v>1718</v>
      </c>
      <c r="K233" s="32" t="s">
        <v>1718</v>
      </c>
      <c r="L233" s="32" t="s">
        <v>1718</v>
      </c>
      <c r="M233">
        <v>312</v>
      </c>
      <c r="N233">
        <v>0</v>
      </c>
      <c r="O233" s="32" t="str">
        <f t="shared" si="3"/>
        <v>2320020261X</v>
      </c>
      <c r="P233" s="32" t="s">
        <v>1718</v>
      </c>
      <c r="Q233" s="32" t="s">
        <v>1718</v>
      </c>
      <c r="R233" s="32" t="s">
        <v>2110</v>
      </c>
      <c r="S233" s="32" t="s">
        <v>5033</v>
      </c>
      <c r="T233" t="str">
        <f>VLOOKUP(D233,DATA_SISTEMA!$A$1:$Q$506,9,FALSE)</f>
        <v>M</v>
      </c>
      <c r="U233" s="32" t="s">
        <v>2106</v>
      </c>
      <c r="V233" s="32" t="s">
        <v>1718</v>
      </c>
      <c r="W233" s="37" t="s">
        <v>5028</v>
      </c>
      <c r="X233" s="32" t="s">
        <v>4522</v>
      </c>
      <c r="Y233" s="32" t="s">
        <v>1718</v>
      </c>
      <c r="Z233" s="32" t="s">
        <v>1718</v>
      </c>
      <c r="AA233" s="32" t="s">
        <v>5028</v>
      </c>
      <c r="AB233" s="32" t="s">
        <v>1718</v>
      </c>
      <c r="AC233" s="32" t="s">
        <v>1718</v>
      </c>
      <c r="AD233" s="32" t="s">
        <v>1718</v>
      </c>
      <c r="AE233" s="32" t="s">
        <v>1718</v>
      </c>
      <c r="AF233" s="32" t="s">
        <v>1718</v>
      </c>
      <c r="AG233" s="32" t="s">
        <v>1718</v>
      </c>
      <c r="AH233" s="32" t="s">
        <v>2107</v>
      </c>
      <c r="AI233" s="16" t="s">
        <v>1526</v>
      </c>
      <c r="AJ233" s="16" t="s">
        <v>1049</v>
      </c>
      <c r="AK233" s="16" t="s">
        <v>1157</v>
      </c>
      <c r="AL233" s="16">
        <v>46065119</v>
      </c>
      <c r="AM233" t="s">
        <v>1718</v>
      </c>
      <c r="AN233" t="s">
        <v>1718</v>
      </c>
      <c r="AO233" t="s">
        <v>1718</v>
      </c>
      <c r="AP233" t="s">
        <v>1718</v>
      </c>
      <c r="AQ233" t="s">
        <v>1718</v>
      </c>
      <c r="AR233" t="s">
        <v>1718</v>
      </c>
      <c r="AS233" t="s">
        <v>1718</v>
      </c>
      <c r="AT233" t="s">
        <v>1718</v>
      </c>
      <c r="AU233" t="s">
        <v>1718</v>
      </c>
      <c r="AV233" t="str">
        <f>VLOOKUP(D233,DATA_SISTEMA!$A$1:$Q$506,12,FALSE)</f>
        <v>MOCHUMI</v>
      </c>
      <c r="AW233" t="str">
        <f>VLOOKUP(D233,DATA_SISTEMA!$A$1:$Q$506,11,FALSE)</f>
        <v>LAMBAYEQUE</v>
      </c>
      <c r="AX233" t="str">
        <f>VLOOKUP(D233,DATA_SISTEMA!$A$1:$Q$506,10,FALSE)</f>
        <v>LAMBAYEQUE</v>
      </c>
      <c r="AY233" t="s">
        <v>1718</v>
      </c>
      <c r="AZ233" t="s">
        <v>5028</v>
      </c>
      <c r="BA233" t="s">
        <v>1718</v>
      </c>
      <c r="BB233" t="s">
        <v>5028</v>
      </c>
      <c r="BC233" t="s">
        <v>1718</v>
      </c>
      <c r="BD233" t="s">
        <v>5028</v>
      </c>
      <c r="BE233" t="s">
        <v>1718</v>
      </c>
      <c r="BF233" s="34" t="s">
        <v>2104</v>
      </c>
      <c r="BG233" s="16">
        <v>61.5</v>
      </c>
    </row>
    <row r="234" spans="1:59" x14ac:dyDescent="0.25">
      <c r="A234" s="4">
        <v>233</v>
      </c>
      <c r="B234" s="33" t="s">
        <v>1719</v>
      </c>
      <c r="C234" s="16" t="s">
        <v>1952</v>
      </c>
      <c r="D234" s="45" t="s">
        <v>4754</v>
      </c>
      <c r="E234" s="16" t="s">
        <v>464</v>
      </c>
      <c r="F234" s="36" t="s">
        <v>1718</v>
      </c>
      <c r="G234" s="16">
        <v>940218430</v>
      </c>
      <c r="H234" t="str">
        <f>VLOOKUP(D234,DATA_SISTEMA!$A$1:$Q$506,13,FALSE)</f>
        <v>URBANIZACIÓN PUERTA AZÚL MZ A LOTE 18-B</v>
      </c>
      <c r="I234" t="str">
        <f>VLOOKUP(D234,DATA_SISTEMA!$A$1:$Q$506,7,FALSE)</f>
        <v>1986-11-03</v>
      </c>
      <c r="J234" s="32" t="s">
        <v>1718</v>
      </c>
      <c r="K234" s="32" t="s">
        <v>1718</v>
      </c>
      <c r="L234" s="32" t="s">
        <v>1718</v>
      </c>
      <c r="M234">
        <v>312</v>
      </c>
      <c r="N234">
        <v>0</v>
      </c>
      <c r="O234" s="32" t="str">
        <f t="shared" si="3"/>
        <v>2330020261X</v>
      </c>
      <c r="P234" s="32" t="s">
        <v>1718</v>
      </c>
      <c r="Q234" s="32" t="s">
        <v>1718</v>
      </c>
      <c r="R234" s="32" t="s">
        <v>2110</v>
      </c>
      <c r="S234" s="32" t="s">
        <v>5033</v>
      </c>
      <c r="T234" t="str">
        <f>VLOOKUP(D234,DATA_SISTEMA!$A$1:$Q$506,9,FALSE)</f>
        <v>F</v>
      </c>
      <c r="U234" s="32" t="s">
        <v>2106</v>
      </c>
      <c r="V234" s="32" t="s">
        <v>1718</v>
      </c>
      <c r="W234" s="37" t="s">
        <v>5028</v>
      </c>
      <c r="X234" s="32" t="s">
        <v>4522</v>
      </c>
      <c r="Y234" s="32" t="s">
        <v>1718</v>
      </c>
      <c r="Z234" s="32" t="s">
        <v>1718</v>
      </c>
      <c r="AA234" s="32" t="s">
        <v>5028</v>
      </c>
      <c r="AB234" s="32" t="s">
        <v>1718</v>
      </c>
      <c r="AC234" s="32" t="s">
        <v>1718</v>
      </c>
      <c r="AD234" s="32" t="s">
        <v>1718</v>
      </c>
      <c r="AE234" s="32" t="s">
        <v>1718</v>
      </c>
      <c r="AF234" s="32" t="s">
        <v>1718</v>
      </c>
      <c r="AG234" s="32" t="s">
        <v>1718</v>
      </c>
      <c r="AH234" s="32" t="s">
        <v>2107</v>
      </c>
      <c r="AI234" s="16" t="s">
        <v>1527</v>
      </c>
      <c r="AJ234" s="16" t="s">
        <v>1158</v>
      </c>
      <c r="AK234" s="16" t="s">
        <v>1159</v>
      </c>
      <c r="AL234" s="16">
        <v>44099523</v>
      </c>
      <c r="AM234" t="s">
        <v>1718</v>
      </c>
      <c r="AN234" t="s">
        <v>1718</v>
      </c>
      <c r="AO234" t="s">
        <v>1718</v>
      </c>
      <c r="AP234" t="s">
        <v>1718</v>
      </c>
      <c r="AQ234" t="s">
        <v>1718</v>
      </c>
      <c r="AR234" t="s">
        <v>1718</v>
      </c>
      <c r="AS234" t="s">
        <v>1718</v>
      </c>
      <c r="AT234" t="s">
        <v>1718</v>
      </c>
      <c r="AU234" t="s">
        <v>1718</v>
      </c>
      <c r="AV234" t="str">
        <f>VLOOKUP(D234,DATA_SISTEMA!$A$1:$Q$506,12,FALSE)</f>
        <v>LAMBAYEQUE</v>
      </c>
      <c r="AW234" t="str">
        <f>VLOOKUP(D234,DATA_SISTEMA!$A$1:$Q$506,11,FALSE)</f>
        <v>LAMBAYEQUE</v>
      </c>
      <c r="AX234" t="str">
        <f>VLOOKUP(D234,DATA_SISTEMA!$A$1:$Q$506,10,FALSE)</f>
        <v>LAMBAYEQUE</v>
      </c>
      <c r="AY234" t="s">
        <v>1718</v>
      </c>
      <c r="AZ234" t="s">
        <v>5028</v>
      </c>
      <c r="BA234" t="s">
        <v>1718</v>
      </c>
      <c r="BB234" t="s">
        <v>5028</v>
      </c>
      <c r="BC234" t="s">
        <v>1718</v>
      </c>
      <c r="BD234" t="s">
        <v>5028</v>
      </c>
      <c r="BE234" t="s">
        <v>1718</v>
      </c>
      <c r="BF234" s="34" t="s">
        <v>2104</v>
      </c>
      <c r="BG234" s="16">
        <v>60.5</v>
      </c>
    </row>
    <row r="235" spans="1:59" x14ac:dyDescent="0.25">
      <c r="A235" s="4">
        <v>234</v>
      </c>
      <c r="B235" s="33" t="s">
        <v>1719</v>
      </c>
      <c r="C235" s="16" t="s">
        <v>1953</v>
      </c>
      <c r="D235" s="45" t="s">
        <v>4755</v>
      </c>
      <c r="E235" s="16" t="s">
        <v>466</v>
      </c>
      <c r="F235" s="36" t="s">
        <v>1718</v>
      </c>
      <c r="G235" s="16">
        <v>958015508</v>
      </c>
      <c r="H235" t="str">
        <f>VLOOKUP(D235,DATA_SISTEMA!$A$1:$Q$506,13,FALSE)</f>
        <v>PANAMERICANA NORTE KM782 FUNDO MOCCE LAMBAYEQUE</v>
      </c>
      <c r="I235" t="str">
        <f>VLOOKUP(D235,DATA_SISTEMA!$A$1:$Q$506,7,FALSE)</f>
        <v>1975-08-29</v>
      </c>
      <c r="J235" s="32" t="s">
        <v>1718</v>
      </c>
      <c r="K235" s="32" t="s">
        <v>1718</v>
      </c>
      <c r="L235" s="32" t="s">
        <v>1718</v>
      </c>
      <c r="M235">
        <v>312</v>
      </c>
      <c r="N235">
        <v>0</v>
      </c>
      <c r="O235" s="32" t="str">
        <f t="shared" si="3"/>
        <v>2340020261X</v>
      </c>
      <c r="P235" s="32" t="s">
        <v>1718</v>
      </c>
      <c r="Q235" s="32" t="s">
        <v>1718</v>
      </c>
      <c r="R235" s="32" t="s">
        <v>2110</v>
      </c>
      <c r="S235" s="32" t="s">
        <v>5033</v>
      </c>
      <c r="T235" t="str">
        <f>VLOOKUP(D235,DATA_SISTEMA!$A$1:$Q$506,9,FALSE)</f>
        <v>F</v>
      </c>
      <c r="U235" s="32" t="s">
        <v>2106</v>
      </c>
      <c r="V235" s="32" t="s">
        <v>1718</v>
      </c>
      <c r="W235" s="37" t="s">
        <v>5028</v>
      </c>
      <c r="X235" s="32" t="s">
        <v>4522</v>
      </c>
      <c r="Y235" s="32" t="s">
        <v>1718</v>
      </c>
      <c r="Z235" s="32" t="s">
        <v>1718</v>
      </c>
      <c r="AA235" s="32" t="s">
        <v>5028</v>
      </c>
      <c r="AB235" s="32" t="s">
        <v>1718</v>
      </c>
      <c r="AC235" s="32" t="s">
        <v>1718</v>
      </c>
      <c r="AD235" s="32" t="s">
        <v>1718</v>
      </c>
      <c r="AE235" s="32" t="s">
        <v>1718</v>
      </c>
      <c r="AF235" s="32" t="s">
        <v>1718</v>
      </c>
      <c r="AG235" s="32" t="s">
        <v>1718</v>
      </c>
      <c r="AH235" s="32" t="s">
        <v>2107</v>
      </c>
      <c r="AI235" s="16" t="s">
        <v>1528</v>
      </c>
      <c r="AJ235" s="16" t="s">
        <v>879</v>
      </c>
      <c r="AK235" s="16" t="s">
        <v>932</v>
      </c>
      <c r="AL235" s="16">
        <v>16739819</v>
      </c>
      <c r="AM235" t="s">
        <v>1718</v>
      </c>
      <c r="AN235" t="s">
        <v>1718</v>
      </c>
      <c r="AO235" t="s">
        <v>1718</v>
      </c>
      <c r="AP235" t="s">
        <v>1718</v>
      </c>
      <c r="AQ235" t="s">
        <v>1718</v>
      </c>
      <c r="AR235" t="s">
        <v>1718</v>
      </c>
      <c r="AS235" t="s">
        <v>1718</v>
      </c>
      <c r="AT235" t="s">
        <v>1718</v>
      </c>
      <c r="AU235" t="s">
        <v>1718</v>
      </c>
      <c r="AV235" t="str">
        <f>VLOOKUP(D235,DATA_SISTEMA!$A$1:$Q$506,12,FALSE)</f>
        <v>LAMBAYEQUE</v>
      </c>
      <c r="AW235" t="str">
        <f>VLOOKUP(D235,DATA_SISTEMA!$A$1:$Q$506,11,FALSE)</f>
        <v>LAMBAYEQUE</v>
      </c>
      <c r="AX235" t="str">
        <f>VLOOKUP(D235,DATA_SISTEMA!$A$1:$Q$506,10,FALSE)</f>
        <v>LAMBAYEQUE</v>
      </c>
      <c r="AY235" t="s">
        <v>1718</v>
      </c>
      <c r="AZ235" t="s">
        <v>5028</v>
      </c>
      <c r="BA235" t="s">
        <v>1718</v>
      </c>
      <c r="BB235" t="s">
        <v>5028</v>
      </c>
      <c r="BC235" t="s">
        <v>1718</v>
      </c>
      <c r="BD235" t="s">
        <v>5028</v>
      </c>
      <c r="BE235" t="s">
        <v>1718</v>
      </c>
      <c r="BF235" s="34" t="s">
        <v>2104</v>
      </c>
      <c r="BG235" s="16">
        <v>60.5</v>
      </c>
    </row>
    <row r="236" spans="1:59" x14ac:dyDescent="0.25">
      <c r="A236" s="4">
        <v>235</v>
      </c>
      <c r="B236" s="33" t="s">
        <v>1719</v>
      </c>
      <c r="C236" s="16" t="s">
        <v>1954</v>
      </c>
      <c r="D236" s="45" t="s">
        <v>4756</v>
      </c>
      <c r="E236" s="16" t="s">
        <v>468</v>
      </c>
      <c r="F236" s="36" t="s">
        <v>1718</v>
      </c>
      <c r="G236" s="16">
        <v>923629576</v>
      </c>
      <c r="H236" t="str">
        <f>VLOOKUP(D236,DATA_SISTEMA!$A$1:$Q$506,13,FALSE)</f>
        <v>AV LEGUIA 189</v>
      </c>
      <c r="I236" t="str">
        <f>VLOOKUP(D236,DATA_SISTEMA!$A$1:$Q$506,7,FALSE)</f>
        <v>1977-08-08</v>
      </c>
      <c r="J236" s="32" t="s">
        <v>1718</v>
      </c>
      <c r="K236" s="32" t="s">
        <v>1718</v>
      </c>
      <c r="L236" s="32" t="s">
        <v>1718</v>
      </c>
      <c r="M236">
        <v>312</v>
      </c>
      <c r="N236">
        <v>0</v>
      </c>
      <c r="O236" s="32" t="str">
        <f t="shared" si="3"/>
        <v>2350020261X</v>
      </c>
      <c r="P236" s="32" t="s">
        <v>1718</v>
      </c>
      <c r="Q236" s="32" t="s">
        <v>1718</v>
      </c>
      <c r="R236" s="32" t="s">
        <v>2110</v>
      </c>
      <c r="S236" s="32" t="s">
        <v>5033</v>
      </c>
      <c r="T236" t="str">
        <f>VLOOKUP(D236,DATA_SISTEMA!$A$1:$Q$506,9,FALSE)</f>
        <v>F</v>
      </c>
      <c r="U236" s="32" t="s">
        <v>2106</v>
      </c>
      <c r="V236" s="32" t="s">
        <v>1718</v>
      </c>
      <c r="W236" s="37" t="s">
        <v>5028</v>
      </c>
      <c r="X236" s="32" t="s">
        <v>4522</v>
      </c>
      <c r="Y236" s="32" t="s">
        <v>1718</v>
      </c>
      <c r="Z236" s="32" t="s">
        <v>1718</v>
      </c>
      <c r="AA236" s="32" t="s">
        <v>5028</v>
      </c>
      <c r="AB236" s="32" t="s">
        <v>1718</v>
      </c>
      <c r="AC236" s="32" t="s">
        <v>1718</v>
      </c>
      <c r="AD236" s="32" t="s">
        <v>1718</v>
      </c>
      <c r="AE236" s="32" t="s">
        <v>1718</v>
      </c>
      <c r="AF236" s="32" t="s">
        <v>1718</v>
      </c>
      <c r="AG236" s="32" t="s">
        <v>1718</v>
      </c>
      <c r="AH236" s="32" t="s">
        <v>2107</v>
      </c>
      <c r="AI236" s="16" t="s">
        <v>1529</v>
      </c>
      <c r="AJ236" s="16" t="s">
        <v>1160</v>
      </c>
      <c r="AK236" s="16" t="s">
        <v>1161</v>
      </c>
      <c r="AL236" s="16">
        <v>17633334</v>
      </c>
      <c r="AM236" t="s">
        <v>1718</v>
      </c>
      <c r="AN236" t="s">
        <v>1718</v>
      </c>
      <c r="AO236" t="s">
        <v>1718</v>
      </c>
      <c r="AP236" t="s">
        <v>1718</v>
      </c>
      <c r="AQ236" t="s">
        <v>1718</v>
      </c>
      <c r="AR236" t="s">
        <v>1718</v>
      </c>
      <c r="AS236" t="s">
        <v>1718</v>
      </c>
      <c r="AT236" t="s">
        <v>1718</v>
      </c>
      <c r="AU236" t="s">
        <v>1718</v>
      </c>
      <c r="AV236" t="str">
        <f>VLOOKUP(D236,DATA_SISTEMA!$A$1:$Q$506,12,FALSE)</f>
        <v>LAMBAYEQUE</v>
      </c>
      <c r="AW236" t="str">
        <f>VLOOKUP(D236,DATA_SISTEMA!$A$1:$Q$506,11,FALSE)</f>
        <v>LAMBAYEQUE</v>
      </c>
      <c r="AX236" t="str">
        <f>VLOOKUP(D236,DATA_SISTEMA!$A$1:$Q$506,10,FALSE)</f>
        <v>LAMBAYEQUE</v>
      </c>
      <c r="AY236" t="s">
        <v>1718</v>
      </c>
      <c r="AZ236" t="s">
        <v>5028</v>
      </c>
      <c r="BA236" t="s">
        <v>1718</v>
      </c>
      <c r="BB236" t="s">
        <v>5028</v>
      </c>
      <c r="BC236" t="s">
        <v>1718</v>
      </c>
      <c r="BD236" t="s">
        <v>5028</v>
      </c>
      <c r="BE236" t="s">
        <v>1718</v>
      </c>
      <c r="BF236" s="34" t="s">
        <v>2104</v>
      </c>
      <c r="BG236" s="16">
        <v>58.2</v>
      </c>
    </row>
    <row r="237" spans="1:59" x14ac:dyDescent="0.25">
      <c r="A237" s="4">
        <v>236</v>
      </c>
      <c r="B237" s="33" t="s">
        <v>1719</v>
      </c>
      <c r="C237" s="16" t="s">
        <v>1955</v>
      </c>
      <c r="D237" s="45" t="s">
        <v>4757</v>
      </c>
      <c r="E237" s="16" t="s">
        <v>470</v>
      </c>
      <c r="F237" s="36" t="s">
        <v>1718</v>
      </c>
      <c r="G237" s="16">
        <v>947030976</v>
      </c>
      <c r="H237" t="str">
        <f>VLOOKUP(D237,DATA_SISTEMA!$A$1:$Q$506,13,FALSE)</f>
        <v>JUAN PABLO 695 UTBANIZACION LAS BRISAS</v>
      </c>
      <c r="I237" t="str">
        <f>VLOOKUP(D237,DATA_SISTEMA!$A$1:$Q$506,7,FALSE)</f>
        <v>1997-01-05</v>
      </c>
      <c r="J237" s="32" t="s">
        <v>1718</v>
      </c>
      <c r="K237" s="32" t="s">
        <v>1718</v>
      </c>
      <c r="L237" s="32" t="s">
        <v>1718</v>
      </c>
      <c r="M237">
        <v>312</v>
      </c>
      <c r="N237">
        <v>0</v>
      </c>
      <c r="O237" s="32" t="str">
        <f t="shared" si="3"/>
        <v>2360020261X</v>
      </c>
      <c r="P237" s="32" t="s">
        <v>1718</v>
      </c>
      <c r="Q237" s="32" t="s">
        <v>1718</v>
      </c>
      <c r="R237" s="32" t="s">
        <v>2110</v>
      </c>
      <c r="S237" s="32" t="s">
        <v>5033</v>
      </c>
      <c r="T237" t="str">
        <f>VLOOKUP(D237,DATA_SISTEMA!$A$1:$Q$506,9,FALSE)</f>
        <v>F</v>
      </c>
      <c r="U237" s="32" t="s">
        <v>2106</v>
      </c>
      <c r="V237" s="32" t="s">
        <v>1718</v>
      </c>
      <c r="W237" s="37" t="s">
        <v>5028</v>
      </c>
      <c r="X237" s="32" t="s">
        <v>4522</v>
      </c>
      <c r="Y237" s="32" t="s">
        <v>1718</v>
      </c>
      <c r="Z237" s="32" t="s">
        <v>1718</v>
      </c>
      <c r="AA237" s="32" t="s">
        <v>5028</v>
      </c>
      <c r="AB237" s="32" t="s">
        <v>1718</v>
      </c>
      <c r="AC237" s="32" t="s">
        <v>1718</v>
      </c>
      <c r="AD237" s="32" t="s">
        <v>1718</v>
      </c>
      <c r="AE237" s="32" t="s">
        <v>1718</v>
      </c>
      <c r="AF237" s="32" t="s">
        <v>1718</v>
      </c>
      <c r="AG237" s="32" t="s">
        <v>1718</v>
      </c>
      <c r="AH237" s="32" t="s">
        <v>2107</v>
      </c>
      <c r="AI237" s="16" t="s">
        <v>1530</v>
      </c>
      <c r="AJ237" s="16" t="s">
        <v>1162</v>
      </c>
      <c r="AK237" s="16" t="s">
        <v>858</v>
      </c>
      <c r="AL237" s="16">
        <v>73761346</v>
      </c>
      <c r="AM237" t="s">
        <v>1718</v>
      </c>
      <c r="AN237" t="s">
        <v>1718</v>
      </c>
      <c r="AO237" t="s">
        <v>1718</v>
      </c>
      <c r="AP237" t="s">
        <v>1718</v>
      </c>
      <c r="AQ237" t="s">
        <v>1718</v>
      </c>
      <c r="AR237" t="s">
        <v>1718</v>
      </c>
      <c r="AS237" t="s">
        <v>1718</v>
      </c>
      <c r="AT237" t="s">
        <v>1718</v>
      </c>
      <c r="AU237" t="s">
        <v>1718</v>
      </c>
      <c r="AV237" t="str">
        <f>VLOOKUP(D237,DATA_SISTEMA!$A$1:$Q$506,12,FALSE)</f>
        <v>CHICLAYO</v>
      </c>
      <c r="AW237" t="str">
        <f>VLOOKUP(D237,DATA_SISTEMA!$A$1:$Q$506,11,FALSE)</f>
        <v>CHICLAYO</v>
      </c>
      <c r="AX237" t="str">
        <f>VLOOKUP(D237,DATA_SISTEMA!$A$1:$Q$506,10,FALSE)</f>
        <v>LAMBAYEQUE</v>
      </c>
      <c r="AY237" t="s">
        <v>1718</v>
      </c>
      <c r="AZ237" t="s">
        <v>5028</v>
      </c>
      <c r="BA237" t="s">
        <v>1718</v>
      </c>
      <c r="BB237" t="s">
        <v>5028</v>
      </c>
      <c r="BC237" t="s">
        <v>1718</v>
      </c>
      <c r="BD237" t="s">
        <v>5028</v>
      </c>
      <c r="BE237" t="s">
        <v>1718</v>
      </c>
      <c r="BF237" s="34" t="s">
        <v>2104</v>
      </c>
      <c r="BG237" s="16">
        <v>57.5</v>
      </c>
    </row>
    <row r="238" spans="1:59" x14ac:dyDescent="0.25">
      <c r="A238" s="4">
        <v>237</v>
      </c>
      <c r="B238" s="33" t="s">
        <v>1719</v>
      </c>
      <c r="C238" s="16" t="s">
        <v>1956</v>
      </c>
      <c r="D238" s="45" t="s">
        <v>4758</v>
      </c>
      <c r="E238" s="16" t="s">
        <v>472</v>
      </c>
      <c r="F238" s="36" t="s">
        <v>1718</v>
      </c>
      <c r="G238" s="16">
        <v>962618495</v>
      </c>
      <c r="H238" t="str">
        <f>VLOOKUP(D238,DATA_SISTEMA!$A$1:$Q$506,13,FALSE)</f>
        <v>LLAMPAYEC MF5LT03 PUEBLO JOVEN SAN MARTIN LAS DUNAS</v>
      </c>
      <c r="I238" t="str">
        <f>VLOOKUP(D238,DATA_SISTEMA!$A$1:$Q$506,7,FALSE)</f>
        <v>2000-02-06</v>
      </c>
      <c r="J238" s="32" t="s">
        <v>1718</v>
      </c>
      <c r="K238" s="32" t="s">
        <v>1718</v>
      </c>
      <c r="L238" s="32" t="s">
        <v>1718</v>
      </c>
      <c r="M238">
        <v>312</v>
      </c>
      <c r="N238">
        <v>0</v>
      </c>
      <c r="O238" s="32" t="str">
        <f t="shared" si="3"/>
        <v>2370020261X</v>
      </c>
      <c r="P238" s="32" t="s">
        <v>1718</v>
      </c>
      <c r="Q238" s="32" t="s">
        <v>1718</v>
      </c>
      <c r="R238" s="32" t="s">
        <v>2110</v>
      </c>
      <c r="S238" s="32" t="s">
        <v>5033</v>
      </c>
      <c r="T238" t="str">
        <f>VLOOKUP(D238,DATA_SISTEMA!$A$1:$Q$506,9,FALSE)</f>
        <v>M</v>
      </c>
      <c r="U238" s="32" t="s">
        <v>2106</v>
      </c>
      <c r="V238" s="32" t="s">
        <v>1718</v>
      </c>
      <c r="W238" s="37" t="s">
        <v>5028</v>
      </c>
      <c r="X238" s="32" t="s">
        <v>4522</v>
      </c>
      <c r="Y238" s="32" t="s">
        <v>1718</v>
      </c>
      <c r="Z238" s="32" t="s">
        <v>1718</v>
      </c>
      <c r="AA238" s="32" t="s">
        <v>5028</v>
      </c>
      <c r="AB238" s="32" t="s">
        <v>1718</v>
      </c>
      <c r="AC238" s="32" t="s">
        <v>1718</v>
      </c>
      <c r="AD238" s="32" t="s">
        <v>1718</v>
      </c>
      <c r="AE238" s="32" t="s">
        <v>1718</v>
      </c>
      <c r="AF238" s="32" t="s">
        <v>1718</v>
      </c>
      <c r="AG238" s="32" t="s">
        <v>1718</v>
      </c>
      <c r="AH238" s="32" t="s">
        <v>2107</v>
      </c>
      <c r="AI238" s="16" t="s">
        <v>1531</v>
      </c>
      <c r="AJ238" s="16" t="s">
        <v>1053</v>
      </c>
      <c r="AK238" s="16" t="s">
        <v>879</v>
      </c>
      <c r="AL238" s="16">
        <v>75364168</v>
      </c>
      <c r="AM238" t="s">
        <v>1718</v>
      </c>
      <c r="AN238" t="s">
        <v>1718</v>
      </c>
      <c r="AO238" t="s">
        <v>1718</v>
      </c>
      <c r="AP238" t="s">
        <v>1718</v>
      </c>
      <c r="AQ238" t="s">
        <v>1718</v>
      </c>
      <c r="AR238" t="s">
        <v>1718</v>
      </c>
      <c r="AS238" t="s">
        <v>1718</v>
      </c>
      <c r="AT238" t="s">
        <v>1718</v>
      </c>
      <c r="AU238" t="s">
        <v>1718</v>
      </c>
      <c r="AV238" t="str">
        <f>VLOOKUP(D238,DATA_SISTEMA!$A$1:$Q$506,12,FALSE)</f>
        <v>LAMBAYEQUE</v>
      </c>
      <c r="AW238" t="str">
        <f>VLOOKUP(D238,DATA_SISTEMA!$A$1:$Q$506,11,FALSE)</f>
        <v>LAMBAYEQUE</v>
      </c>
      <c r="AX238" t="str">
        <f>VLOOKUP(D238,DATA_SISTEMA!$A$1:$Q$506,10,FALSE)</f>
        <v>LAMBAYEQUE</v>
      </c>
      <c r="AY238" t="s">
        <v>1718</v>
      </c>
      <c r="AZ238" t="s">
        <v>5028</v>
      </c>
      <c r="BA238" t="s">
        <v>1718</v>
      </c>
      <c r="BB238" t="s">
        <v>5028</v>
      </c>
      <c r="BC238" t="s">
        <v>1718</v>
      </c>
      <c r="BD238" t="s">
        <v>5028</v>
      </c>
      <c r="BE238" t="s">
        <v>1718</v>
      </c>
      <c r="BF238" s="34" t="s">
        <v>2104</v>
      </c>
      <c r="BG238" s="16">
        <v>57.5</v>
      </c>
    </row>
    <row r="239" spans="1:59" x14ac:dyDescent="0.25">
      <c r="A239" s="4">
        <v>238</v>
      </c>
      <c r="B239" s="33" t="s">
        <v>1719</v>
      </c>
      <c r="C239" s="16" t="s">
        <v>1957</v>
      </c>
      <c r="D239" s="45" t="s">
        <v>4759</v>
      </c>
      <c r="E239" s="16" t="s">
        <v>474</v>
      </c>
      <c r="F239" s="36" t="s">
        <v>1718</v>
      </c>
      <c r="G239" s="16">
        <v>924025705</v>
      </c>
      <c r="H239" t="str">
        <f>VLOOKUP(D239,DATA_SISTEMA!$A$1:$Q$506,13,FALSE)</f>
        <v>AVENIDA UNIVERSIDAD DE LIMA Y PASAJE SAN AGUSTIN MZ. M LT 5</v>
      </c>
      <c r="I239" t="str">
        <f>VLOOKUP(D239,DATA_SISTEMA!$A$1:$Q$506,7,FALSE)</f>
        <v>1997-04-29</v>
      </c>
      <c r="J239" s="32" t="s">
        <v>1718</v>
      </c>
      <c r="K239" s="32" t="s">
        <v>1718</v>
      </c>
      <c r="L239" s="32" t="s">
        <v>1718</v>
      </c>
      <c r="M239">
        <v>312</v>
      </c>
      <c r="N239">
        <v>0</v>
      </c>
      <c r="O239" s="32" t="str">
        <f t="shared" si="3"/>
        <v>2380020261X</v>
      </c>
      <c r="P239" s="32" t="s">
        <v>1718</v>
      </c>
      <c r="Q239" s="32" t="s">
        <v>1718</v>
      </c>
      <c r="R239" s="32" t="s">
        <v>2110</v>
      </c>
      <c r="S239" s="32" t="s">
        <v>5033</v>
      </c>
      <c r="T239" t="str">
        <f>VLOOKUP(D239,DATA_SISTEMA!$A$1:$Q$506,9,FALSE)</f>
        <v>F</v>
      </c>
      <c r="U239" s="32" t="s">
        <v>2106</v>
      </c>
      <c r="V239" s="32" t="s">
        <v>1718</v>
      </c>
      <c r="W239" s="37" t="s">
        <v>5028</v>
      </c>
      <c r="X239" s="32" t="s">
        <v>4522</v>
      </c>
      <c r="Y239" s="32" t="s">
        <v>1718</v>
      </c>
      <c r="Z239" s="32" t="s">
        <v>1718</v>
      </c>
      <c r="AA239" s="32" t="s">
        <v>5028</v>
      </c>
      <c r="AB239" s="32" t="s">
        <v>1718</v>
      </c>
      <c r="AC239" s="32" t="s">
        <v>1718</v>
      </c>
      <c r="AD239" s="32" t="s">
        <v>1718</v>
      </c>
      <c r="AE239" s="32" t="s">
        <v>1718</v>
      </c>
      <c r="AF239" s="32" t="s">
        <v>1718</v>
      </c>
      <c r="AG239" s="32" t="s">
        <v>1718</v>
      </c>
      <c r="AH239" s="32" t="s">
        <v>2107</v>
      </c>
      <c r="AI239" s="16" t="s">
        <v>1532</v>
      </c>
      <c r="AJ239" s="16" t="s">
        <v>1163</v>
      </c>
      <c r="AK239" s="16" t="s">
        <v>1095</v>
      </c>
      <c r="AL239" s="16">
        <v>75482574</v>
      </c>
      <c r="AM239" t="s">
        <v>1718</v>
      </c>
      <c r="AN239" t="s">
        <v>1718</v>
      </c>
      <c r="AO239" t="s">
        <v>1718</v>
      </c>
      <c r="AP239" t="s">
        <v>1718</v>
      </c>
      <c r="AQ239" t="s">
        <v>1718</v>
      </c>
      <c r="AR239" t="s">
        <v>1718</v>
      </c>
      <c r="AS239" t="s">
        <v>1718</v>
      </c>
      <c r="AT239" t="s">
        <v>1718</v>
      </c>
      <c r="AU239" t="s">
        <v>1718</v>
      </c>
      <c r="AV239" t="str">
        <f>VLOOKUP(D239,DATA_SISTEMA!$A$1:$Q$506,12,FALSE)</f>
        <v>CHICLAYO</v>
      </c>
      <c r="AW239" t="str">
        <f>VLOOKUP(D239,DATA_SISTEMA!$A$1:$Q$506,11,FALSE)</f>
        <v>CHICLAYO</v>
      </c>
      <c r="AX239" t="str">
        <f>VLOOKUP(D239,DATA_SISTEMA!$A$1:$Q$506,10,FALSE)</f>
        <v>LAMBAYEQUE</v>
      </c>
      <c r="AY239" t="s">
        <v>1718</v>
      </c>
      <c r="AZ239" t="s">
        <v>5028</v>
      </c>
      <c r="BA239" t="s">
        <v>1718</v>
      </c>
      <c r="BB239" t="s">
        <v>5028</v>
      </c>
      <c r="BC239" t="s">
        <v>1718</v>
      </c>
      <c r="BD239" t="s">
        <v>5028</v>
      </c>
      <c r="BE239" t="s">
        <v>1718</v>
      </c>
      <c r="BF239" s="34" t="s">
        <v>2104</v>
      </c>
      <c r="BG239" s="16">
        <v>56.5</v>
      </c>
    </row>
    <row r="240" spans="1:59" x14ac:dyDescent="0.25">
      <c r="A240" s="4">
        <v>239</v>
      </c>
      <c r="B240" s="33" t="s">
        <v>1719</v>
      </c>
      <c r="C240" s="16" t="s">
        <v>1958</v>
      </c>
      <c r="D240" s="45" t="s">
        <v>4760</v>
      </c>
      <c r="E240" s="16" t="s">
        <v>476</v>
      </c>
      <c r="F240" s="36" t="s">
        <v>1718</v>
      </c>
      <c r="G240" s="16">
        <v>953897427</v>
      </c>
      <c r="H240" t="str">
        <f>VLOOKUP(D240,DATA_SISTEMA!$A$1:$Q$506,13,FALSE)</f>
        <v>VISTA ALEGRE MZ H LT02</v>
      </c>
      <c r="I240" t="str">
        <f>VLOOKUP(D240,DATA_SISTEMA!$A$1:$Q$506,7,FALSE)</f>
        <v>2001-04-14</v>
      </c>
      <c r="J240" s="32" t="s">
        <v>1718</v>
      </c>
      <c r="K240" s="32" t="s">
        <v>1718</v>
      </c>
      <c r="L240" s="32" t="s">
        <v>1718</v>
      </c>
      <c r="M240">
        <v>312</v>
      </c>
      <c r="N240">
        <v>0</v>
      </c>
      <c r="O240" s="32" t="str">
        <f t="shared" si="3"/>
        <v>2390020261X</v>
      </c>
      <c r="P240" s="32" t="s">
        <v>1718</v>
      </c>
      <c r="Q240" s="32" t="s">
        <v>1718</v>
      </c>
      <c r="R240" s="32" t="s">
        <v>2110</v>
      </c>
      <c r="S240" s="32" t="s">
        <v>5033</v>
      </c>
      <c r="T240" t="str">
        <f>VLOOKUP(D240,DATA_SISTEMA!$A$1:$Q$506,9,FALSE)</f>
        <v>F</v>
      </c>
      <c r="U240" s="32" t="s">
        <v>2106</v>
      </c>
      <c r="V240" s="32" t="s">
        <v>1718</v>
      </c>
      <c r="W240" s="37" t="s">
        <v>5028</v>
      </c>
      <c r="X240" s="32" t="s">
        <v>4522</v>
      </c>
      <c r="Y240" s="32" t="s">
        <v>1718</v>
      </c>
      <c r="Z240" s="32" t="s">
        <v>1718</v>
      </c>
      <c r="AA240" s="32" t="s">
        <v>5028</v>
      </c>
      <c r="AB240" s="32" t="s">
        <v>1718</v>
      </c>
      <c r="AC240" s="32" t="s">
        <v>1718</v>
      </c>
      <c r="AD240" s="32" t="s">
        <v>1718</v>
      </c>
      <c r="AE240" s="32" t="s">
        <v>1718</v>
      </c>
      <c r="AF240" s="32" t="s">
        <v>1718</v>
      </c>
      <c r="AG240" s="32" t="s">
        <v>1718</v>
      </c>
      <c r="AH240" s="32" t="s">
        <v>2107</v>
      </c>
      <c r="AI240" s="16" t="s">
        <v>1533</v>
      </c>
      <c r="AJ240" s="16" t="s">
        <v>1164</v>
      </c>
      <c r="AK240" s="16" t="s">
        <v>900</v>
      </c>
      <c r="AL240" s="16">
        <v>73201193</v>
      </c>
      <c r="AM240" t="s">
        <v>1718</v>
      </c>
      <c r="AN240" t="s">
        <v>1718</v>
      </c>
      <c r="AO240" t="s">
        <v>1718</v>
      </c>
      <c r="AP240" t="s">
        <v>1718</v>
      </c>
      <c r="AQ240" t="s">
        <v>1718</v>
      </c>
      <c r="AR240" t="s">
        <v>1718</v>
      </c>
      <c r="AS240" t="s">
        <v>1718</v>
      </c>
      <c r="AT240" t="s">
        <v>1718</v>
      </c>
      <c r="AU240" t="s">
        <v>1718</v>
      </c>
      <c r="AV240" t="str">
        <f>VLOOKUP(D240,DATA_SISTEMA!$A$1:$Q$506,12,FALSE)</f>
        <v>JOSE LEONARDO ORTIZ</v>
      </c>
      <c r="AW240" t="str">
        <f>VLOOKUP(D240,DATA_SISTEMA!$A$1:$Q$506,11,FALSE)</f>
        <v>CHICLAYO</v>
      </c>
      <c r="AX240" t="str">
        <f>VLOOKUP(D240,DATA_SISTEMA!$A$1:$Q$506,10,FALSE)</f>
        <v>LAMBAYEQUE</v>
      </c>
      <c r="AY240" t="s">
        <v>1718</v>
      </c>
      <c r="AZ240" t="s">
        <v>5028</v>
      </c>
      <c r="BA240" t="s">
        <v>1718</v>
      </c>
      <c r="BB240" t="s">
        <v>5028</v>
      </c>
      <c r="BC240" t="s">
        <v>1718</v>
      </c>
      <c r="BD240" t="s">
        <v>5028</v>
      </c>
      <c r="BE240" t="s">
        <v>1718</v>
      </c>
      <c r="BF240" s="34" t="s">
        <v>2104</v>
      </c>
      <c r="BG240" s="16">
        <v>56.5</v>
      </c>
    </row>
    <row r="241" spans="1:59" x14ac:dyDescent="0.25">
      <c r="A241" s="4">
        <v>240</v>
      </c>
      <c r="B241" s="33" t="s">
        <v>1719</v>
      </c>
      <c r="C241" s="16" t="s">
        <v>1959</v>
      </c>
      <c r="D241" s="45" t="s">
        <v>4761</v>
      </c>
      <c r="E241" s="16" t="s">
        <v>478</v>
      </c>
      <c r="F241" s="36" t="s">
        <v>1718</v>
      </c>
      <c r="G241" s="16">
        <v>932444370</v>
      </c>
      <c r="H241" t="str">
        <f>VLOOKUP(D241,DATA_SISTEMA!$A$1:$Q$506,13,FALSE)</f>
        <v>URB. SOL DE LAMBAYEQUE MZ A5 LT 8</v>
      </c>
      <c r="I241" t="str">
        <f>VLOOKUP(D241,DATA_SISTEMA!$A$1:$Q$506,7,FALSE)</f>
        <v>1989-03-08</v>
      </c>
      <c r="J241" s="32" t="s">
        <v>1718</v>
      </c>
      <c r="K241" s="32" t="s">
        <v>1718</v>
      </c>
      <c r="L241" s="32" t="s">
        <v>1718</v>
      </c>
      <c r="M241">
        <v>312</v>
      </c>
      <c r="N241">
        <v>0</v>
      </c>
      <c r="O241" s="32" t="str">
        <f t="shared" si="3"/>
        <v>2400020261X</v>
      </c>
      <c r="P241" s="32" t="s">
        <v>1718</v>
      </c>
      <c r="Q241" s="32" t="s">
        <v>1718</v>
      </c>
      <c r="R241" s="32" t="s">
        <v>2110</v>
      </c>
      <c r="S241" s="32" t="s">
        <v>5033</v>
      </c>
      <c r="T241" t="str">
        <f>VLOOKUP(D241,DATA_SISTEMA!$A$1:$Q$506,9,FALSE)</f>
        <v>F</v>
      </c>
      <c r="U241" s="32" t="s">
        <v>2106</v>
      </c>
      <c r="V241" s="32" t="s">
        <v>1718</v>
      </c>
      <c r="W241" s="37" t="s">
        <v>5028</v>
      </c>
      <c r="X241" s="32" t="s">
        <v>4522</v>
      </c>
      <c r="Y241" s="32" t="s">
        <v>1718</v>
      </c>
      <c r="Z241" s="32" t="s">
        <v>1718</v>
      </c>
      <c r="AA241" s="32" t="s">
        <v>5028</v>
      </c>
      <c r="AB241" s="32" t="s">
        <v>1718</v>
      </c>
      <c r="AC241" s="32" t="s">
        <v>1718</v>
      </c>
      <c r="AD241" s="32" t="s">
        <v>1718</v>
      </c>
      <c r="AE241" s="32" t="s">
        <v>1718</v>
      </c>
      <c r="AF241" s="32" t="s">
        <v>1718</v>
      </c>
      <c r="AG241" s="32" t="s">
        <v>1718</v>
      </c>
      <c r="AH241" s="32" t="s">
        <v>2107</v>
      </c>
      <c r="AI241" s="16" t="s">
        <v>1534</v>
      </c>
      <c r="AJ241" s="16" t="s">
        <v>1165</v>
      </c>
      <c r="AK241" s="16" t="s">
        <v>1166</v>
      </c>
      <c r="AL241" s="16">
        <v>45736499</v>
      </c>
      <c r="AM241" t="s">
        <v>1718</v>
      </c>
      <c r="AN241" t="s">
        <v>1718</v>
      </c>
      <c r="AO241" t="s">
        <v>1718</v>
      </c>
      <c r="AP241" t="s">
        <v>1718</v>
      </c>
      <c r="AQ241" t="s">
        <v>1718</v>
      </c>
      <c r="AR241" t="s">
        <v>1718</v>
      </c>
      <c r="AS241" t="s">
        <v>1718</v>
      </c>
      <c r="AT241" t="s">
        <v>1718</v>
      </c>
      <c r="AU241" t="s">
        <v>1718</v>
      </c>
      <c r="AV241" t="str">
        <f>VLOOKUP(D241,DATA_SISTEMA!$A$1:$Q$506,12,FALSE)</f>
        <v>LAMBAYEQUE</v>
      </c>
      <c r="AW241" t="str">
        <f>VLOOKUP(D241,DATA_SISTEMA!$A$1:$Q$506,11,FALSE)</f>
        <v>LAMBAYEQUE</v>
      </c>
      <c r="AX241" t="str">
        <f>VLOOKUP(D241,DATA_SISTEMA!$A$1:$Q$506,10,FALSE)</f>
        <v>LAMBAYEQUE</v>
      </c>
      <c r="AY241" t="s">
        <v>1718</v>
      </c>
      <c r="AZ241" t="s">
        <v>5028</v>
      </c>
      <c r="BA241" t="s">
        <v>1718</v>
      </c>
      <c r="BB241" t="s">
        <v>5028</v>
      </c>
      <c r="BC241" t="s">
        <v>1718</v>
      </c>
      <c r="BD241" t="s">
        <v>5028</v>
      </c>
      <c r="BE241" t="s">
        <v>1718</v>
      </c>
      <c r="BF241" s="34" t="s">
        <v>2104</v>
      </c>
      <c r="BG241" s="16">
        <v>55.1</v>
      </c>
    </row>
    <row r="242" spans="1:59" x14ac:dyDescent="0.25">
      <c r="A242" s="4">
        <v>241</v>
      </c>
      <c r="B242" s="33" t="s">
        <v>1719</v>
      </c>
      <c r="C242" s="16" t="s">
        <v>1960</v>
      </c>
      <c r="D242" s="45" t="s">
        <v>4762</v>
      </c>
      <c r="E242" s="16" t="s">
        <v>480</v>
      </c>
      <c r="F242" s="36" t="s">
        <v>1718</v>
      </c>
      <c r="G242" s="16">
        <v>936770441</v>
      </c>
      <c r="H242" t="str">
        <f>VLOOKUP(D242,DATA_SISTEMA!$A$1:$Q$506,13,FALSE)</f>
        <v>LOTZ.SAN JOSE L12 MF MONSEFÚ</v>
      </c>
      <c r="I242" t="str">
        <f>VLOOKUP(D242,DATA_SISTEMA!$A$1:$Q$506,7,FALSE)</f>
        <v>2000-10-15</v>
      </c>
      <c r="J242" s="32" t="s">
        <v>1718</v>
      </c>
      <c r="K242" s="32" t="s">
        <v>1718</v>
      </c>
      <c r="L242" s="32" t="s">
        <v>1718</v>
      </c>
      <c r="M242">
        <v>312</v>
      </c>
      <c r="N242">
        <v>0</v>
      </c>
      <c r="O242" s="32" t="str">
        <f t="shared" si="3"/>
        <v>2410020261X</v>
      </c>
      <c r="P242" s="32" t="s">
        <v>1718</v>
      </c>
      <c r="Q242" s="32" t="s">
        <v>1718</v>
      </c>
      <c r="R242" s="32" t="s">
        <v>2110</v>
      </c>
      <c r="S242" s="32" t="s">
        <v>5033</v>
      </c>
      <c r="T242" t="str">
        <f>VLOOKUP(D242,DATA_SISTEMA!$A$1:$Q$506,9,FALSE)</f>
        <v>F</v>
      </c>
      <c r="U242" s="32" t="s">
        <v>2106</v>
      </c>
      <c r="V242" s="32" t="s">
        <v>1718</v>
      </c>
      <c r="W242" s="37" t="s">
        <v>5028</v>
      </c>
      <c r="X242" s="32" t="s">
        <v>4522</v>
      </c>
      <c r="Y242" s="32" t="s">
        <v>1718</v>
      </c>
      <c r="Z242" s="32" t="s">
        <v>1718</v>
      </c>
      <c r="AA242" s="32" t="s">
        <v>5028</v>
      </c>
      <c r="AB242" s="32" t="s">
        <v>1718</v>
      </c>
      <c r="AC242" s="32" t="s">
        <v>1718</v>
      </c>
      <c r="AD242" s="32" t="s">
        <v>1718</v>
      </c>
      <c r="AE242" s="32" t="s">
        <v>1718</v>
      </c>
      <c r="AF242" s="32" t="s">
        <v>1718</v>
      </c>
      <c r="AG242" s="32" t="s">
        <v>1718</v>
      </c>
      <c r="AH242" s="32" t="s">
        <v>2107</v>
      </c>
      <c r="AI242" s="16" t="s">
        <v>1535</v>
      </c>
      <c r="AJ242" s="16" t="s">
        <v>873</v>
      </c>
      <c r="AK242" s="16" t="s">
        <v>976</v>
      </c>
      <c r="AL242" s="16">
        <v>73419883</v>
      </c>
      <c r="AM242" t="s">
        <v>1718</v>
      </c>
      <c r="AN242" t="s">
        <v>1718</v>
      </c>
      <c r="AO242" t="s">
        <v>1718</v>
      </c>
      <c r="AP242" t="s">
        <v>1718</v>
      </c>
      <c r="AQ242" t="s">
        <v>1718</v>
      </c>
      <c r="AR242" t="s">
        <v>1718</v>
      </c>
      <c r="AS242" t="s">
        <v>1718</v>
      </c>
      <c r="AT242" t="s">
        <v>1718</v>
      </c>
      <c r="AU242" t="s">
        <v>1718</v>
      </c>
      <c r="AV242" t="str">
        <f>VLOOKUP(D242,DATA_SISTEMA!$A$1:$Q$506,12,FALSE)</f>
        <v>MONSEFU</v>
      </c>
      <c r="AW242" t="str">
        <f>VLOOKUP(D242,DATA_SISTEMA!$A$1:$Q$506,11,FALSE)</f>
        <v>CHICLAYO</v>
      </c>
      <c r="AX242" t="str">
        <f>VLOOKUP(D242,DATA_SISTEMA!$A$1:$Q$506,10,FALSE)</f>
        <v>LAMBAYEQUE</v>
      </c>
      <c r="AY242" t="s">
        <v>1718</v>
      </c>
      <c r="AZ242" t="s">
        <v>5028</v>
      </c>
      <c r="BA242" t="s">
        <v>1718</v>
      </c>
      <c r="BB242" t="s">
        <v>5028</v>
      </c>
      <c r="BC242" t="s">
        <v>1718</v>
      </c>
      <c r="BD242" t="s">
        <v>5028</v>
      </c>
      <c r="BE242" t="s">
        <v>1718</v>
      </c>
      <c r="BF242" s="34" t="s">
        <v>2104</v>
      </c>
      <c r="BG242" s="16">
        <v>54.6</v>
      </c>
    </row>
    <row r="243" spans="1:59" x14ac:dyDescent="0.25">
      <c r="A243" s="4">
        <v>242</v>
      </c>
      <c r="B243" s="33" t="s">
        <v>1719</v>
      </c>
      <c r="C243" s="16" t="s">
        <v>1961</v>
      </c>
      <c r="D243" s="45" t="s">
        <v>4763</v>
      </c>
      <c r="E243" s="16" t="s">
        <v>482</v>
      </c>
      <c r="F243" s="36" t="s">
        <v>1718</v>
      </c>
      <c r="G243" s="16">
        <v>986877521</v>
      </c>
      <c r="H243" t="str">
        <f>VLOOKUP(D243,DATA_SISTEMA!$A$1:$Q$506,13,FALSE)</f>
        <v>CONDOMINIO JOCKEY MZ G LOTE  14</v>
      </c>
      <c r="I243" t="str">
        <f>VLOOKUP(D243,DATA_SISTEMA!$A$1:$Q$506,7,FALSE)</f>
        <v>1976-11-29</v>
      </c>
      <c r="J243" s="32" t="s">
        <v>1718</v>
      </c>
      <c r="K243" s="32" t="s">
        <v>1718</v>
      </c>
      <c r="L243" s="32" t="s">
        <v>1718</v>
      </c>
      <c r="M243">
        <v>312</v>
      </c>
      <c r="N243">
        <v>0</v>
      </c>
      <c r="O243" s="32" t="str">
        <f t="shared" si="3"/>
        <v>2420020261X</v>
      </c>
      <c r="P243" s="32" t="s">
        <v>1718</v>
      </c>
      <c r="Q243" s="32" t="s">
        <v>1718</v>
      </c>
      <c r="R243" s="32" t="s">
        <v>2110</v>
      </c>
      <c r="S243" s="32" t="s">
        <v>5033</v>
      </c>
      <c r="T243" t="str">
        <f>VLOOKUP(D243,DATA_SISTEMA!$A$1:$Q$506,9,FALSE)</f>
        <v>F</v>
      </c>
      <c r="U243" s="32" t="s">
        <v>2106</v>
      </c>
      <c r="V243" s="32" t="s">
        <v>1718</v>
      </c>
      <c r="W243" s="37" t="s">
        <v>5028</v>
      </c>
      <c r="X243" s="32" t="s">
        <v>4522</v>
      </c>
      <c r="Y243" s="32" t="s">
        <v>1718</v>
      </c>
      <c r="Z243" s="32" t="s">
        <v>1718</v>
      </c>
      <c r="AA243" s="32" t="s">
        <v>5028</v>
      </c>
      <c r="AB243" s="32" t="s">
        <v>1718</v>
      </c>
      <c r="AC243" s="32" t="s">
        <v>1718</v>
      </c>
      <c r="AD243" s="32" t="s">
        <v>1718</v>
      </c>
      <c r="AE243" s="32" t="s">
        <v>1718</v>
      </c>
      <c r="AF243" s="32" t="s">
        <v>1718</v>
      </c>
      <c r="AG243" s="32" t="s">
        <v>1718</v>
      </c>
      <c r="AH243" s="32" t="s">
        <v>2107</v>
      </c>
      <c r="AI243" s="16" t="s">
        <v>1536</v>
      </c>
      <c r="AJ243" s="16" t="s">
        <v>1167</v>
      </c>
      <c r="AK243" s="16" t="s">
        <v>882</v>
      </c>
      <c r="AL243" s="16">
        <v>16788853</v>
      </c>
      <c r="AM243" t="s">
        <v>1718</v>
      </c>
      <c r="AN243" t="s">
        <v>1718</v>
      </c>
      <c r="AO243" t="s">
        <v>1718</v>
      </c>
      <c r="AP243" t="s">
        <v>1718</v>
      </c>
      <c r="AQ243" t="s">
        <v>1718</v>
      </c>
      <c r="AR243" t="s">
        <v>1718</v>
      </c>
      <c r="AS243" t="s">
        <v>1718</v>
      </c>
      <c r="AT243" t="s">
        <v>1718</v>
      </c>
      <c r="AU243" t="s">
        <v>1718</v>
      </c>
      <c r="AV243" t="str">
        <f>VLOOKUP(D243,DATA_SISTEMA!$A$1:$Q$506,12,FALSE)</f>
        <v>CHICLAYO</v>
      </c>
      <c r="AW243" t="str">
        <f>VLOOKUP(D243,DATA_SISTEMA!$A$1:$Q$506,11,FALSE)</f>
        <v>CHICLAYO</v>
      </c>
      <c r="AX243" t="str">
        <f>VLOOKUP(D243,DATA_SISTEMA!$A$1:$Q$506,10,FALSE)</f>
        <v>LAMBAYEQUE</v>
      </c>
      <c r="AY243" t="s">
        <v>1718</v>
      </c>
      <c r="AZ243" t="s">
        <v>5028</v>
      </c>
      <c r="BA243" t="s">
        <v>1718</v>
      </c>
      <c r="BB243" t="s">
        <v>5028</v>
      </c>
      <c r="BC243" t="s">
        <v>1718</v>
      </c>
      <c r="BD243" t="s">
        <v>5028</v>
      </c>
      <c r="BE243" t="s">
        <v>1718</v>
      </c>
      <c r="BF243" s="34" t="s">
        <v>2104</v>
      </c>
      <c r="BG243" s="16">
        <v>54</v>
      </c>
    </row>
    <row r="244" spans="1:59" x14ac:dyDescent="0.25">
      <c r="A244" s="4">
        <v>243</v>
      </c>
      <c r="B244" s="33" t="s">
        <v>1719</v>
      </c>
      <c r="C244" s="16" t="s">
        <v>1962</v>
      </c>
      <c r="D244" s="45" t="s">
        <v>4764</v>
      </c>
      <c r="E244" s="16" t="s">
        <v>484</v>
      </c>
      <c r="F244" s="36" t="s">
        <v>1718</v>
      </c>
      <c r="G244" s="16">
        <v>973015765</v>
      </c>
      <c r="H244" t="str">
        <f>VLOOKUP(D244,DATA_SISTEMA!$A$1:$Q$506,13,FALSE)</f>
        <v>CALLE LA LADERA 170 2 PISO URB 3 DE OCTUBRE - CHICLAYO</v>
      </c>
      <c r="I244" t="str">
        <f>VLOOKUP(D244,DATA_SISTEMA!$A$1:$Q$506,7,FALSE)</f>
        <v>1958-02-05</v>
      </c>
      <c r="J244" s="32" t="s">
        <v>1718</v>
      </c>
      <c r="K244" s="32" t="s">
        <v>1718</v>
      </c>
      <c r="L244" s="32" t="s">
        <v>1718</v>
      </c>
      <c r="M244">
        <v>312</v>
      </c>
      <c r="N244">
        <v>0</v>
      </c>
      <c r="O244" s="32" t="str">
        <f t="shared" si="3"/>
        <v>2430020261X</v>
      </c>
      <c r="P244" s="32" t="s">
        <v>1718</v>
      </c>
      <c r="Q244" s="32" t="s">
        <v>1718</v>
      </c>
      <c r="R244" s="32" t="s">
        <v>2110</v>
      </c>
      <c r="S244" s="32" t="s">
        <v>5033</v>
      </c>
      <c r="T244" t="str">
        <f>VLOOKUP(D244,DATA_SISTEMA!$A$1:$Q$506,9,FALSE)</f>
        <v>M</v>
      </c>
      <c r="U244" s="32" t="s">
        <v>2106</v>
      </c>
      <c r="V244" s="32" t="s">
        <v>1718</v>
      </c>
      <c r="W244" s="37" t="s">
        <v>5028</v>
      </c>
      <c r="X244" s="32" t="s">
        <v>4522</v>
      </c>
      <c r="Y244" s="32" t="s">
        <v>1718</v>
      </c>
      <c r="Z244" s="32" t="s">
        <v>1718</v>
      </c>
      <c r="AA244" s="32" t="s">
        <v>5028</v>
      </c>
      <c r="AB244" s="32" t="s">
        <v>1718</v>
      </c>
      <c r="AC244" s="32" t="s">
        <v>1718</v>
      </c>
      <c r="AD244" s="32" t="s">
        <v>1718</v>
      </c>
      <c r="AE244" s="32" t="s">
        <v>1718</v>
      </c>
      <c r="AF244" s="32" t="s">
        <v>1718</v>
      </c>
      <c r="AG244" s="32" t="s">
        <v>1718</v>
      </c>
      <c r="AH244" s="32" t="s">
        <v>2107</v>
      </c>
      <c r="AI244" s="16" t="s">
        <v>1537</v>
      </c>
      <c r="AJ244" s="16" t="s">
        <v>1116</v>
      </c>
      <c r="AK244" s="16" t="s">
        <v>863</v>
      </c>
      <c r="AL244" s="16">
        <v>16632843</v>
      </c>
      <c r="AM244" t="s">
        <v>1718</v>
      </c>
      <c r="AN244" t="s">
        <v>1718</v>
      </c>
      <c r="AO244" t="s">
        <v>1718</v>
      </c>
      <c r="AP244" t="s">
        <v>1718</v>
      </c>
      <c r="AQ244" t="s">
        <v>1718</v>
      </c>
      <c r="AR244" t="s">
        <v>1718</v>
      </c>
      <c r="AS244" t="s">
        <v>1718</v>
      </c>
      <c r="AT244" t="s">
        <v>1718</v>
      </c>
      <c r="AU244" t="s">
        <v>1718</v>
      </c>
      <c r="AV244" t="str">
        <f>VLOOKUP(D244,DATA_SISTEMA!$A$1:$Q$506,12,FALSE)</f>
        <v>CHICLAYO</v>
      </c>
      <c r="AW244" t="str">
        <f>VLOOKUP(D244,DATA_SISTEMA!$A$1:$Q$506,11,FALSE)</f>
        <v>CHICLAYO</v>
      </c>
      <c r="AX244" t="str">
        <f>VLOOKUP(D244,DATA_SISTEMA!$A$1:$Q$506,10,FALSE)</f>
        <v>LAMBAYEQUE</v>
      </c>
      <c r="AY244" t="s">
        <v>1718</v>
      </c>
      <c r="AZ244" t="s">
        <v>5028</v>
      </c>
      <c r="BA244" t="s">
        <v>1718</v>
      </c>
      <c r="BB244" t="s">
        <v>5028</v>
      </c>
      <c r="BC244" t="s">
        <v>1718</v>
      </c>
      <c r="BD244" t="s">
        <v>5028</v>
      </c>
      <c r="BE244" t="s">
        <v>1718</v>
      </c>
      <c r="BF244" s="34" t="s">
        <v>2104</v>
      </c>
      <c r="BG244" s="16">
        <v>51.6</v>
      </c>
    </row>
    <row r="245" spans="1:59" x14ac:dyDescent="0.25">
      <c r="A245" s="4">
        <v>244</v>
      </c>
      <c r="B245" s="33" t="s">
        <v>1719</v>
      </c>
      <c r="C245" s="16" t="s">
        <v>1963</v>
      </c>
      <c r="D245" s="45" t="s">
        <v>4765</v>
      </c>
      <c r="E245" s="16" t="s">
        <v>486</v>
      </c>
      <c r="F245" s="36" t="s">
        <v>1718</v>
      </c>
      <c r="G245" s="16">
        <v>978811747</v>
      </c>
      <c r="H245" t="str">
        <f>VLOOKUP(D245,DATA_SISTEMA!$A$1:$Q$506,13,FALSE)</f>
        <v>MZ A LT3 URB CARMEN ANGELICA</v>
      </c>
      <c r="I245" t="str">
        <f>VLOOKUP(D245,DATA_SISTEMA!$A$1:$Q$506,7,FALSE)</f>
        <v>1975-10-04</v>
      </c>
      <c r="J245" s="32" t="s">
        <v>1718</v>
      </c>
      <c r="K245" s="32" t="s">
        <v>1718</v>
      </c>
      <c r="L245" s="32" t="s">
        <v>1718</v>
      </c>
      <c r="M245">
        <v>312</v>
      </c>
      <c r="N245">
        <v>0</v>
      </c>
      <c r="O245" s="32" t="str">
        <f t="shared" si="3"/>
        <v>2440020261X</v>
      </c>
      <c r="P245" s="32" t="s">
        <v>1718</v>
      </c>
      <c r="Q245" s="32" t="s">
        <v>1718</v>
      </c>
      <c r="R245" s="32" t="s">
        <v>2110</v>
      </c>
      <c r="S245" s="32" t="s">
        <v>5033</v>
      </c>
      <c r="T245" t="str">
        <f>VLOOKUP(D245,DATA_SISTEMA!$A$1:$Q$506,9,FALSE)</f>
        <v>F</v>
      </c>
      <c r="U245" s="32" t="s">
        <v>2106</v>
      </c>
      <c r="V245" s="32" t="s">
        <v>1718</v>
      </c>
      <c r="W245" s="37" t="s">
        <v>5028</v>
      </c>
      <c r="X245" s="32" t="s">
        <v>4522</v>
      </c>
      <c r="Y245" s="32" t="s">
        <v>1718</v>
      </c>
      <c r="Z245" s="32" t="s">
        <v>1718</v>
      </c>
      <c r="AA245" s="32" t="s">
        <v>5028</v>
      </c>
      <c r="AB245" s="32" t="s">
        <v>1718</v>
      </c>
      <c r="AC245" s="32" t="s">
        <v>1718</v>
      </c>
      <c r="AD245" s="32" t="s">
        <v>1718</v>
      </c>
      <c r="AE245" s="32" t="s">
        <v>1718</v>
      </c>
      <c r="AF245" s="32" t="s">
        <v>1718</v>
      </c>
      <c r="AG245" s="32" t="s">
        <v>1718</v>
      </c>
      <c r="AH245" s="32" t="s">
        <v>2107</v>
      </c>
      <c r="AI245" s="16" t="s">
        <v>1538</v>
      </c>
      <c r="AJ245" s="16" t="s">
        <v>1020</v>
      </c>
      <c r="AK245" s="16" t="s">
        <v>976</v>
      </c>
      <c r="AL245" s="16">
        <v>16756816</v>
      </c>
      <c r="AM245" t="s">
        <v>1718</v>
      </c>
      <c r="AN245" t="s">
        <v>1718</v>
      </c>
      <c r="AO245" t="s">
        <v>1718</v>
      </c>
      <c r="AP245" t="s">
        <v>1718</v>
      </c>
      <c r="AQ245" t="s">
        <v>1718</v>
      </c>
      <c r="AR245" t="s">
        <v>1718</v>
      </c>
      <c r="AS245" t="s">
        <v>1718</v>
      </c>
      <c r="AT245" t="s">
        <v>1718</v>
      </c>
      <c r="AU245" t="s">
        <v>1718</v>
      </c>
      <c r="AV245" t="str">
        <f>VLOOKUP(D245,DATA_SISTEMA!$A$1:$Q$506,12,FALSE)</f>
        <v>CHICLAYO</v>
      </c>
      <c r="AW245" t="str">
        <f>VLOOKUP(D245,DATA_SISTEMA!$A$1:$Q$506,11,FALSE)</f>
        <v>CHICLAYO</v>
      </c>
      <c r="AX245" t="str">
        <f>VLOOKUP(D245,DATA_SISTEMA!$A$1:$Q$506,10,FALSE)</f>
        <v>LAMBAYEQUE</v>
      </c>
      <c r="AY245" t="s">
        <v>1718</v>
      </c>
      <c r="AZ245" t="s">
        <v>5028</v>
      </c>
      <c r="BA245" t="s">
        <v>1718</v>
      </c>
      <c r="BB245" t="s">
        <v>5028</v>
      </c>
      <c r="BC245" t="s">
        <v>1718</v>
      </c>
      <c r="BD245" t="s">
        <v>5028</v>
      </c>
      <c r="BE245" t="s">
        <v>1718</v>
      </c>
      <c r="BF245" s="34" t="s">
        <v>2104</v>
      </c>
      <c r="BG245" s="16">
        <v>50.5</v>
      </c>
    </row>
    <row r="246" spans="1:59" x14ac:dyDescent="0.25">
      <c r="A246" s="4">
        <v>245</v>
      </c>
      <c r="B246" s="33" t="s">
        <v>1719</v>
      </c>
      <c r="C246" s="14" t="s">
        <v>1964</v>
      </c>
      <c r="D246" s="46" t="s">
        <v>4766</v>
      </c>
      <c r="E246" s="14" t="s">
        <v>367</v>
      </c>
      <c r="F246" s="36" t="s">
        <v>1718</v>
      </c>
      <c r="G246" s="14">
        <v>942154806</v>
      </c>
      <c r="H246" t="str">
        <f>VLOOKUP(D246,DATA_SISTEMA!$A$1:$Q$506,13,FALSE)</f>
        <v>LOS LAURELES 898 - MORRO SOLAR JAEN</v>
      </c>
      <c r="I246" t="str">
        <f>VLOOKUP(D246,DATA_SISTEMA!$A$1:$Q$506,7,FALSE)</f>
        <v>1988-01-13</v>
      </c>
      <c r="J246" s="32" t="s">
        <v>1718</v>
      </c>
      <c r="K246" s="32" t="s">
        <v>1718</v>
      </c>
      <c r="L246" s="32" t="s">
        <v>1718</v>
      </c>
      <c r="M246">
        <v>317</v>
      </c>
      <c r="N246">
        <v>0</v>
      </c>
      <c r="O246" s="32" t="str">
        <f t="shared" si="3"/>
        <v>2450020261X</v>
      </c>
      <c r="P246" s="32" t="s">
        <v>1718</v>
      </c>
      <c r="Q246" s="32" t="s">
        <v>1718</v>
      </c>
      <c r="R246" s="32" t="s">
        <v>2110</v>
      </c>
      <c r="S246" s="32" t="s">
        <v>5033</v>
      </c>
      <c r="T246" t="str">
        <f>VLOOKUP(D246,DATA_SISTEMA!$A$1:$Q$506,9,FALSE)</f>
        <v>M</v>
      </c>
      <c r="U246" s="32" t="s">
        <v>2106</v>
      </c>
      <c r="V246" s="32" t="s">
        <v>1718</v>
      </c>
      <c r="W246" s="37" t="s">
        <v>5028</v>
      </c>
      <c r="X246" s="32" t="s">
        <v>4522</v>
      </c>
      <c r="Y246" s="32" t="s">
        <v>1718</v>
      </c>
      <c r="Z246" s="32" t="s">
        <v>1718</v>
      </c>
      <c r="AA246" s="32" t="s">
        <v>5028</v>
      </c>
      <c r="AB246" s="32" t="s">
        <v>1718</v>
      </c>
      <c r="AC246" s="32" t="s">
        <v>1718</v>
      </c>
      <c r="AD246" s="32" t="s">
        <v>1718</v>
      </c>
      <c r="AE246" s="32" t="s">
        <v>1718</v>
      </c>
      <c r="AF246" s="32" t="s">
        <v>1718</v>
      </c>
      <c r="AG246" s="32" t="s">
        <v>1718</v>
      </c>
      <c r="AH246" s="32" t="s">
        <v>2107</v>
      </c>
      <c r="AI246" s="14" t="s">
        <v>1539</v>
      </c>
      <c r="AJ246" s="14" t="s">
        <v>921</v>
      </c>
      <c r="AK246" s="14" t="s">
        <v>858</v>
      </c>
      <c r="AL246" s="14">
        <v>44939571</v>
      </c>
      <c r="AM246" t="s">
        <v>1718</v>
      </c>
      <c r="AN246" t="s">
        <v>1718</v>
      </c>
      <c r="AO246" t="s">
        <v>1718</v>
      </c>
      <c r="AP246" t="s">
        <v>1718</v>
      </c>
      <c r="AQ246" t="s">
        <v>1718</v>
      </c>
      <c r="AR246" t="s">
        <v>1718</v>
      </c>
      <c r="AS246" t="s">
        <v>1718</v>
      </c>
      <c r="AT246" t="s">
        <v>1718</v>
      </c>
      <c r="AU246" t="s">
        <v>1718</v>
      </c>
      <c r="AV246" t="str">
        <f>VLOOKUP(D246,DATA_SISTEMA!$A$1:$Q$506,12,FALSE)</f>
        <v>JAEN</v>
      </c>
      <c r="AW246" t="str">
        <f>VLOOKUP(D246,DATA_SISTEMA!$A$1:$Q$506,11,FALSE)</f>
        <v>JAEN</v>
      </c>
      <c r="AX246" t="str">
        <f>VLOOKUP(D246,DATA_SISTEMA!$A$1:$Q$506,10,FALSE)</f>
        <v>CAJAMARCA</v>
      </c>
      <c r="AY246" t="s">
        <v>1718</v>
      </c>
      <c r="AZ246" t="s">
        <v>5028</v>
      </c>
      <c r="BA246" t="s">
        <v>1718</v>
      </c>
      <c r="BB246" t="s">
        <v>5028</v>
      </c>
      <c r="BC246" t="s">
        <v>1718</v>
      </c>
      <c r="BD246" t="s">
        <v>5028</v>
      </c>
      <c r="BE246" t="s">
        <v>1718</v>
      </c>
      <c r="BF246" s="34" t="s">
        <v>2104</v>
      </c>
      <c r="BG246" s="14">
        <v>78.5</v>
      </c>
    </row>
    <row r="247" spans="1:59" x14ac:dyDescent="0.25">
      <c r="A247" s="4">
        <v>246</v>
      </c>
      <c r="B247" s="33" t="s">
        <v>1719</v>
      </c>
      <c r="C247" s="14" t="s">
        <v>1965</v>
      </c>
      <c r="D247" s="46" t="s">
        <v>4767</v>
      </c>
      <c r="E247" s="14" t="s">
        <v>370</v>
      </c>
      <c r="F247" s="36" t="s">
        <v>1718</v>
      </c>
      <c r="G247" s="14">
        <v>941364701</v>
      </c>
      <c r="H247" t="str">
        <f>VLOOKUP(D247,DATA_SISTEMA!$A$1:$Q$506,13,FALSE)</f>
        <v>MAYTA CAPAC 1333</v>
      </c>
      <c r="I247" t="str">
        <f>VLOOKUP(D247,DATA_SISTEMA!$A$1:$Q$506,7,FALSE)</f>
        <v>2000-12-28</v>
      </c>
      <c r="J247" s="32" t="s">
        <v>1718</v>
      </c>
      <c r="K247" s="32" t="s">
        <v>1718</v>
      </c>
      <c r="L247" s="32" t="s">
        <v>1718</v>
      </c>
      <c r="M247">
        <v>317</v>
      </c>
      <c r="N247">
        <v>0</v>
      </c>
      <c r="O247" s="32" t="str">
        <f t="shared" si="3"/>
        <v>2460020261X</v>
      </c>
      <c r="P247" s="32" t="s">
        <v>1718</v>
      </c>
      <c r="Q247" s="32" t="s">
        <v>1718</v>
      </c>
      <c r="R247" s="32" t="s">
        <v>2110</v>
      </c>
      <c r="S247" s="32" t="s">
        <v>5033</v>
      </c>
      <c r="T247" t="str">
        <f>VLOOKUP(D247,DATA_SISTEMA!$A$1:$Q$506,9,FALSE)</f>
        <v>F</v>
      </c>
      <c r="U247" s="32" t="s">
        <v>2106</v>
      </c>
      <c r="V247" s="32" t="s">
        <v>1718</v>
      </c>
      <c r="W247" s="37" t="s">
        <v>5028</v>
      </c>
      <c r="X247" s="32" t="s">
        <v>4522</v>
      </c>
      <c r="Y247" s="32" t="s">
        <v>1718</v>
      </c>
      <c r="Z247" s="32" t="s">
        <v>1718</v>
      </c>
      <c r="AA247" s="32" t="s">
        <v>5028</v>
      </c>
      <c r="AB247" s="32" t="s">
        <v>1718</v>
      </c>
      <c r="AC247" s="32" t="s">
        <v>1718</v>
      </c>
      <c r="AD247" s="32" t="s">
        <v>1718</v>
      </c>
      <c r="AE247" s="32" t="s">
        <v>1718</v>
      </c>
      <c r="AF247" s="32" t="s">
        <v>1718</v>
      </c>
      <c r="AG247" s="32" t="s">
        <v>1718</v>
      </c>
      <c r="AH247" s="32" t="s">
        <v>2107</v>
      </c>
      <c r="AI247" s="14" t="s">
        <v>1540</v>
      </c>
      <c r="AJ247" s="14" t="s">
        <v>898</v>
      </c>
      <c r="AK247" s="14" t="s">
        <v>976</v>
      </c>
      <c r="AL247" s="14">
        <v>75479020</v>
      </c>
      <c r="AM247" t="s">
        <v>1718</v>
      </c>
      <c r="AN247" t="s">
        <v>1718</v>
      </c>
      <c r="AO247" t="s">
        <v>1718</v>
      </c>
      <c r="AP247" t="s">
        <v>1718</v>
      </c>
      <c r="AQ247" t="s">
        <v>1718</v>
      </c>
      <c r="AR247" t="s">
        <v>1718</v>
      </c>
      <c r="AS247" t="s">
        <v>1718</v>
      </c>
      <c r="AT247" t="s">
        <v>1718</v>
      </c>
      <c r="AU247" t="s">
        <v>1718</v>
      </c>
      <c r="AV247" t="str">
        <f>VLOOKUP(D247,DATA_SISTEMA!$A$1:$Q$506,12,FALSE)</f>
        <v>LA VICTORIA</v>
      </c>
      <c r="AW247" t="str">
        <f>VLOOKUP(D247,DATA_SISTEMA!$A$1:$Q$506,11,FALSE)</f>
        <v>CHICLAYO</v>
      </c>
      <c r="AX247" t="str">
        <f>VLOOKUP(D247,DATA_SISTEMA!$A$1:$Q$506,10,FALSE)</f>
        <v>LAMBAYEQUE</v>
      </c>
      <c r="AY247" t="s">
        <v>1718</v>
      </c>
      <c r="AZ247" t="s">
        <v>5028</v>
      </c>
      <c r="BA247" t="s">
        <v>1718</v>
      </c>
      <c r="BB247" t="s">
        <v>5028</v>
      </c>
      <c r="BC247" t="s">
        <v>1718</v>
      </c>
      <c r="BD247" t="s">
        <v>5028</v>
      </c>
      <c r="BE247" t="s">
        <v>1718</v>
      </c>
      <c r="BF247" s="34" t="s">
        <v>2104</v>
      </c>
      <c r="BG247" s="14">
        <v>77.5</v>
      </c>
    </row>
    <row r="248" spans="1:59" x14ac:dyDescent="0.25">
      <c r="A248" s="4">
        <v>247</v>
      </c>
      <c r="B248" s="33" t="s">
        <v>1719</v>
      </c>
      <c r="C248" s="14" t="s">
        <v>1966</v>
      </c>
      <c r="D248" s="46" t="s">
        <v>4768</v>
      </c>
      <c r="E248" s="14" t="s">
        <v>372</v>
      </c>
      <c r="F248" s="36" t="s">
        <v>1718</v>
      </c>
      <c r="G248" s="14">
        <v>918771107</v>
      </c>
      <c r="H248" t="str">
        <f>VLOOKUP(D248,DATA_SISTEMA!$A$1:$Q$506,13,FALSE)</f>
        <v>CALLE MARISCAL CASTILLA S/N - PUCARÁ</v>
      </c>
      <c r="I248" t="str">
        <f>VLOOKUP(D248,DATA_SISTEMA!$A$1:$Q$506,7,FALSE)</f>
        <v>1999-04-07</v>
      </c>
      <c r="J248" s="32" t="s">
        <v>1718</v>
      </c>
      <c r="K248" s="32" t="s">
        <v>1718</v>
      </c>
      <c r="L248" s="32" t="s">
        <v>1718</v>
      </c>
      <c r="M248">
        <v>317</v>
      </c>
      <c r="N248">
        <v>0</v>
      </c>
      <c r="O248" s="32" t="str">
        <f t="shared" si="3"/>
        <v>2470020261X</v>
      </c>
      <c r="P248" s="32" t="s">
        <v>1718</v>
      </c>
      <c r="Q248" s="32" t="s">
        <v>1718</v>
      </c>
      <c r="R248" s="32" t="s">
        <v>2110</v>
      </c>
      <c r="S248" s="32" t="s">
        <v>5033</v>
      </c>
      <c r="T248" t="str">
        <f>VLOOKUP(D248,DATA_SISTEMA!$A$1:$Q$506,9,FALSE)</f>
        <v>M</v>
      </c>
      <c r="U248" s="32" t="s">
        <v>2106</v>
      </c>
      <c r="V248" s="32" t="s">
        <v>1718</v>
      </c>
      <c r="W248" s="37" t="s">
        <v>5028</v>
      </c>
      <c r="X248" s="32" t="s">
        <v>4522</v>
      </c>
      <c r="Y248" s="32" t="s">
        <v>1718</v>
      </c>
      <c r="Z248" s="32" t="s">
        <v>1718</v>
      </c>
      <c r="AA248" s="32" t="s">
        <v>5028</v>
      </c>
      <c r="AB248" s="32" t="s">
        <v>1718</v>
      </c>
      <c r="AC248" s="32" t="s">
        <v>1718</v>
      </c>
      <c r="AD248" s="32" t="s">
        <v>1718</v>
      </c>
      <c r="AE248" s="32" t="s">
        <v>1718</v>
      </c>
      <c r="AF248" s="32" t="s">
        <v>1718</v>
      </c>
      <c r="AG248" s="32" t="s">
        <v>1718</v>
      </c>
      <c r="AH248" s="32" t="s">
        <v>2107</v>
      </c>
      <c r="AI248" s="14" t="s">
        <v>1541</v>
      </c>
      <c r="AJ248" s="14" t="s">
        <v>1168</v>
      </c>
      <c r="AK248" s="14" t="s">
        <v>1169</v>
      </c>
      <c r="AL248" s="14">
        <v>75608382</v>
      </c>
      <c r="AM248" t="s">
        <v>1718</v>
      </c>
      <c r="AN248" t="s">
        <v>1718</v>
      </c>
      <c r="AO248" t="s">
        <v>1718</v>
      </c>
      <c r="AP248" t="s">
        <v>1718</v>
      </c>
      <c r="AQ248" t="s">
        <v>1718</v>
      </c>
      <c r="AR248" t="s">
        <v>1718</v>
      </c>
      <c r="AS248" t="s">
        <v>1718</v>
      </c>
      <c r="AT248" t="s">
        <v>1718</v>
      </c>
      <c r="AU248" t="s">
        <v>1718</v>
      </c>
      <c r="AV248" t="str">
        <f>VLOOKUP(D248,DATA_SISTEMA!$A$1:$Q$506,12,FALSE)</f>
        <v>PUCARA</v>
      </c>
      <c r="AW248" t="str">
        <f>VLOOKUP(D248,DATA_SISTEMA!$A$1:$Q$506,11,FALSE)</f>
        <v>JAEN</v>
      </c>
      <c r="AX248" t="str">
        <f>VLOOKUP(D248,DATA_SISTEMA!$A$1:$Q$506,10,FALSE)</f>
        <v>CAJAMARCA</v>
      </c>
      <c r="AY248" t="s">
        <v>1718</v>
      </c>
      <c r="AZ248" t="s">
        <v>5028</v>
      </c>
      <c r="BA248" t="s">
        <v>1718</v>
      </c>
      <c r="BB248" t="s">
        <v>5028</v>
      </c>
      <c r="BC248" t="s">
        <v>1718</v>
      </c>
      <c r="BD248" t="s">
        <v>5028</v>
      </c>
      <c r="BE248" t="s">
        <v>1718</v>
      </c>
      <c r="BF248" s="34" t="s">
        <v>2104</v>
      </c>
      <c r="BG248" s="14">
        <v>75</v>
      </c>
    </row>
    <row r="249" spans="1:59" x14ac:dyDescent="0.25">
      <c r="A249" s="4">
        <v>248</v>
      </c>
      <c r="B249" s="33" t="s">
        <v>1719</v>
      </c>
      <c r="C249" s="14" t="s">
        <v>1967</v>
      </c>
      <c r="D249" s="46" t="s">
        <v>4769</v>
      </c>
      <c r="E249" s="14" t="s">
        <v>374</v>
      </c>
      <c r="F249" s="36" t="s">
        <v>1718</v>
      </c>
      <c r="G249" s="14">
        <v>955474720</v>
      </c>
      <c r="H249" t="str">
        <f>VLOOKUP(D249,DATA_SISTEMA!$A$1:$Q$506,13,FALSE)</f>
        <v>NICOLAS DE AYLLON 142</v>
      </c>
      <c r="I249" t="str">
        <f>VLOOKUP(D249,DATA_SISTEMA!$A$1:$Q$506,7,FALSE)</f>
        <v>1999-06-13</v>
      </c>
      <c r="J249" s="32" t="s">
        <v>1718</v>
      </c>
      <c r="K249" s="32" t="s">
        <v>1718</v>
      </c>
      <c r="L249" s="32" t="s">
        <v>1718</v>
      </c>
      <c r="M249">
        <v>317</v>
      </c>
      <c r="N249">
        <v>0</v>
      </c>
      <c r="O249" s="32" t="str">
        <f t="shared" si="3"/>
        <v>2480020261X</v>
      </c>
      <c r="P249" s="32" t="s">
        <v>1718</v>
      </c>
      <c r="Q249" s="32" t="s">
        <v>1718</v>
      </c>
      <c r="R249" s="32" t="s">
        <v>2110</v>
      </c>
      <c r="S249" s="32" t="s">
        <v>5033</v>
      </c>
      <c r="T249" t="str">
        <f>VLOOKUP(D249,DATA_SISTEMA!$A$1:$Q$506,9,FALSE)</f>
        <v>F</v>
      </c>
      <c r="U249" s="32" t="s">
        <v>2106</v>
      </c>
      <c r="V249" s="32" t="s">
        <v>1718</v>
      </c>
      <c r="W249" s="37" t="s">
        <v>5028</v>
      </c>
      <c r="X249" s="32" t="s">
        <v>4522</v>
      </c>
      <c r="Y249" s="32" t="s">
        <v>1718</v>
      </c>
      <c r="Z249" s="32" t="s">
        <v>1718</v>
      </c>
      <c r="AA249" s="32" t="s">
        <v>5028</v>
      </c>
      <c r="AB249" s="32" t="s">
        <v>1718</v>
      </c>
      <c r="AC249" s="32" t="s">
        <v>1718</v>
      </c>
      <c r="AD249" s="32" t="s">
        <v>1718</v>
      </c>
      <c r="AE249" s="32" t="s">
        <v>1718</v>
      </c>
      <c r="AF249" s="32" t="s">
        <v>1718</v>
      </c>
      <c r="AG249" s="32" t="s">
        <v>1718</v>
      </c>
      <c r="AH249" s="32" t="s">
        <v>2107</v>
      </c>
      <c r="AI249" s="14" t="s">
        <v>1542</v>
      </c>
      <c r="AJ249" s="14" t="s">
        <v>858</v>
      </c>
      <c r="AK249" s="14" t="s">
        <v>1170</v>
      </c>
      <c r="AL249" s="14">
        <v>75459300</v>
      </c>
      <c r="AM249" t="s">
        <v>1718</v>
      </c>
      <c r="AN249" t="s">
        <v>1718</v>
      </c>
      <c r="AO249" t="s">
        <v>1718</v>
      </c>
      <c r="AP249" t="s">
        <v>1718</v>
      </c>
      <c r="AQ249" t="s">
        <v>1718</v>
      </c>
      <c r="AR249" t="s">
        <v>1718</v>
      </c>
      <c r="AS249" t="s">
        <v>1718</v>
      </c>
      <c r="AT249" t="s">
        <v>1718</v>
      </c>
      <c r="AU249" t="s">
        <v>1718</v>
      </c>
      <c r="AV249" t="str">
        <f>VLOOKUP(D249,DATA_SISTEMA!$A$1:$Q$506,12,FALSE)</f>
        <v>JOSE LEONARDO ORTIZ</v>
      </c>
      <c r="AW249" t="str">
        <f>VLOOKUP(D249,DATA_SISTEMA!$A$1:$Q$506,11,FALSE)</f>
        <v>CHICLAYO</v>
      </c>
      <c r="AX249" t="str">
        <f>VLOOKUP(D249,DATA_SISTEMA!$A$1:$Q$506,10,FALSE)</f>
        <v>LAMBAYEQUE</v>
      </c>
      <c r="AY249" t="s">
        <v>1718</v>
      </c>
      <c r="AZ249" t="s">
        <v>5028</v>
      </c>
      <c r="BA249" t="s">
        <v>1718</v>
      </c>
      <c r="BB249" t="s">
        <v>5028</v>
      </c>
      <c r="BC249" t="s">
        <v>1718</v>
      </c>
      <c r="BD249" t="s">
        <v>5028</v>
      </c>
      <c r="BE249" t="s">
        <v>1718</v>
      </c>
      <c r="BF249" s="34" t="s">
        <v>2104</v>
      </c>
      <c r="BG249" s="14">
        <v>73.5</v>
      </c>
    </row>
    <row r="250" spans="1:59" x14ac:dyDescent="0.25">
      <c r="A250" s="4">
        <v>249</v>
      </c>
      <c r="B250" s="33" t="s">
        <v>1719</v>
      </c>
      <c r="C250" s="14" t="s">
        <v>1968</v>
      </c>
      <c r="D250" s="46" t="s">
        <v>4770</v>
      </c>
      <c r="E250" s="14" t="s">
        <v>376</v>
      </c>
      <c r="F250" s="36" t="s">
        <v>1718</v>
      </c>
      <c r="G250" s="14">
        <v>957661395</v>
      </c>
      <c r="H250" t="str">
        <f>VLOOKUP(D250,DATA_SISTEMA!$A$1:$Q$506,13,FALSE)</f>
        <v>CALLE DOS DE MAYO 402</v>
      </c>
      <c r="I250" t="str">
        <f>VLOOKUP(D250,DATA_SISTEMA!$A$1:$Q$506,7,FALSE)</f>
        <v>1995-09-20</v>
      </c>
      <c r="J250" s="32" t="s">
        <v>1718</v>
      </c>
      <c r="K250" s="32" t="s">
        <v>1718</v>
      </c>
      <c r="L250" s="32" t="s">
        <v>1718</v>
      </c>
      <c r="M250">
        <v>317</v>
      </c>
      <c r="N250">
        <v>0</v>
      </c>
      <c r="O250" s="32" t="str">
        <f t="shared" si="3"/>
        <v>2490020261X</v>
      </c>
      <c r="P250" s="32" t="s">
        <v>1718</v>
      </c>
      <c r="Q250" s="32" t="s">
        <v>1718</v>
      </c>
      <c r="R250" s="32" t="s">
        <v>2110</v>
      </c>
      <c r="S250" s="32" t="s">
        <v>5033</v>
      </c>
      <c r="T250" t="str">
        <f>VLOOKUP(D250,DATA_SISTEMA!$A$1:$Q$506,9,FALSE)</f>
        <v>F</v>
      </c>
      <c r="U250" s="32" t="s">
        <v>2106</v>
      </c>
      <c r="V250" s="32" t="s">
        <v>1718</v>
      </c>
      <c r="W250" s="37" t="s">
        <v>5028</v>
      </c>
      <c r="X250" s="32" t="s">
        <v>4522</v>
      </c>
      <c r="Y250" s="32" t="s">
        <v>1718</v>
      </c>
      <c r="Z250" s="32" t="s">
        <v>1718</v>
      </c>
      <c r="AA250" s="32" t="s">
        <v>5028</v>
      </c>
      <c r="AB250" s="32" t="s">
        <v>1718</v>
      </c>
      <c r="AC250" s="32" t="s">
        <v>1718</v>
      </c>
      <c r="AD250" s="32" t="s">
        <v>1718</v>
      </c>
      <c r="AE250" s="32" t="s">
        <v>1718</v>
      </c>
      <c r="AF250" s="32" t="s">
        <v>1718</v>
      </c>
      <c r="AG250" s="32" t="s">
        <v>1718</v>
      </c>
      <c r="AH250" s="32" t="s">
        <v>2107</v>
      </c>
      <c r="AI250" s="14" t="s">
        <v>1543</v>
      </c>
      <c r="AJ250" s="14" t="s">
        <v>1171</v>
      </c>
      <c r="AK250" s="14" t="s">
        <v>870</v>
      </c>
      <c r="AL250" s="14">
        <v>70042427</v>
      </c>
      <c r="AM250" t="s">
        <v>1718</v>
      </c>
      <c r="AN250" t="s">
        <v>1718</v>
      </c>
      <c r="AO250" t="s">
        <v>1718</v>
      </c>
      <c r="AP250" t="s">
        <v>1718</v>
      </c>
      <c r="AQ250" t="s">
        <v>1718</v>
      </c>
      <c r="AR250" t="s">
        <v>1718</v>
      </c>
      <c r="AS250" t="s">
        <v>1718</v>
      </c>
      <c r="AT250" t="s">
        <v>1718</v>
      </c>
      <c r="AU250" t="s">
        <v>1718</v>
      </c>
      <c r="AV250" t="str">
        <f>VLOOKUP(D250,DATA_SISTEMA!$A$1:$Q$506,12,FALSE)</f>
        <v>JAEN</v>
      </c>
      <c r="AW250" t="str">
        <f>VLOOKUP(D250,DATA_SISTEMA!$A$1:$Q$506,11,FALSE)</f>
        <v>JAEN</v>
      </c>
      <c r="AX250" t="str">
        <f>VLOOKUP(D250,DATA_SISTEMA!$A$1:$Q$506,10,FALSE)</f>
        <v>CAJAMARCA</v>
      </c>
      <c r="AY250" t="s">
        <v>1718</v>
      </c>
      <c r="AZ250" t="s">
        <v>5028</v>
      </c>
      <c r="BA250" t="s">
        <v>1718</v>
      </c>
      <c r="BB250" t="s">
        <v>5028</v>
      </c>
      <c r="BC250" t="s">
        <v>1718</v>
      </c>
      <c r="BD250" t="s">
        <v>5028</v>
      </c>
      <c r="BE250" t="s">
        <v>1718</v>
      </c>
      <c r="BF250" s="34" t="s">
        <v>2104</v>
      </c>
      <c r="BG250" s="14">
        <v>73.5</v>
      </c>
    </row>
    <row r="251" spans="1:59" x14ac:dyDescent="0.25">
      <c r="A251" s="4">
        <v>250</v>
      </c>
      <c r="B251" s="33" t="s">
        <v>1719</v>
      </c>
      <c r="C251" s="14" t="s">
        <v>1969</v>
      </c>
      <c r="D251" s="46" t="s">
        <v>4771</v>
      </c>
      <c r="E251" s="14" t="s">
        <v>378</v>
      </c>
      <c r="F251" s="36" t="s">
        <v>1718</v>
      </c>
      <c r="G251" s="14">
        <v>923507346</v>
      </c>
      <c r="H251" t="str">
        <f>VLOOKUP(D251,DATA_SISTEMA!$A$1:$Q$506,13,FALSE)</f>
        <v>HORACIO PATIÑO 399 - URB. LATINA</v>
      </c>
      <c r="I251" t="str">
        <f>VLOOKUP(D251,DATA_SISTEMA!$A$1:$Q$506,7,FALSE)</f>
        <v>2000-09-09</v>
      </c>
      <c r="J251" s="32" t="s">
        <v>1718</v>
      </c>
      <c r="K251" s="32" t="s">
        <v>1718</v>
      </c>
      <c r="L251" s="32" t="s">
        <v>1718</v>
      </c>
      <c r="M251">
        <v>317</v>
      </c>
      <c r="N251">
        <v>0</v>
      </c>
      <c r="O251" s="32" t="str">
        <f t="shared" si="3"/>
        <v>2500020261X</v>
      </c>
      <c r="P251" s="32" t="s">
        <v>1718</v>
      </c>
      <c r="Q251" s="32" t="s">
        <v>1718</v>
      </c>
      <c r="R251" s="32" t="s">
        <v>2110</v>
      </c>
      <c r="S251" s="32" t="s">
        <v>5033</v>
      </c>
      <c r="T251" t="str">
        <f>VLOOKUP(D251,DATA_SISTEMA!$A$1:$Q$506,9,FALSE)</f>
        <v>F</v>
      </c>
      <c r="U251" s="32" t="s">
        <v>2106</v>
      </c>
      <c r="V251" s="32" t="s">
        <v>1718</v>
      </c>
      <c r="W251" s="37" t="s">
        <v>5028</v>
      </c>
      <c r="X251" s="32" t="s">
        <v>4522</v>
      </c>
      <c r="Y251" s="32" t="s">
        <v>1718</v>
      </c>
      <c r="Z251" s="32" t="s">
        <v>1718</v>
      </c>
      <c r="AA251" s="32" t="s">
        <v>5028</v>
      </c>
      <c r="AB251" s="32" t="s">
        <v>1718</v>
      </c>
      <c r="AC251" s="32" t="s">
        <v>1718</v>
      </c>
      <c r="AD251" s="32" t="s">
        <v>1718</v>
      </c>
      <c r="AE251" s="32" t="s">
        <v>1718</v>
      </c>
      <c r="AF251" s="32" t="s">
        <v>1718</v>
      </c>
      <c r="AG251" s="32" t="s">
        <v>1718</v>
      </c>
      <c r="AH251" s="32" t="s">
        <v>2107</v>
      </c>
      <c r="AI251" s="14" t="s">
        <v>1544</v>
      </c>
      <c r="AJ251" s="14" t="s">
        <v>1040</v>
      </c>
      <c r="AK251" s="14" t="s">
        <v>1095</v>
      </c>
      <c r="AL251" s="14">
        <v>75194516</v>
      </c>
      <c r="AM251" t="s">
        <v>1718</v>
      </c>
      <c r="AN251" t="s">
        <v>1718</v>
      </c>
      <c r="AO251" t="s">
        <v>1718</v>
      </c>
      <c r="AP251" t="s">
        <v>1718</v>
      </c>
      <c r="AQ251" t="s">
        <v>1718</v>
      </c>
      <c r="AR251" t="s">
        <v>1718</v>
      </c>
      <c r="AS251" t="s">
        <v>1718</v>
      </c>
      <c r="AT251" t="s">
        <v>1718</v>
      </c>
      <c r="AU251" t="s">
        <v>1718</v>
      </c>
      <c r="AV251" t="str">
        <f>VLOOKUP(D251,DATA_SISTEMA!$A$1:$Q$506,12,FALSE)</f>
        <v>JOSE LEONARDO ORTIZ</v>
      </c>
      <c r="AW251" t="str">
        <f>VLOOKUP(D251,DATA_SISTEMA!$A$1:$Q$506,11,FALSE)</f>
        <v>CHICLAYO</v>
      </c>
      <c r="AX251" t="str">
        <f>VLOOKUP(D251,DATA_SISTEMA!$A$1:$Q$506,10,FALSE)</f>
        <v>LAMBAYEQUE</v>
      </c>
      <c r="AY251" t="s">
        <v>1718</v>
      </c>
      <c r="AZ251" t="s">
        <v>5028</v>
      </c>
      <c r="BA251" t="s">
        <v>1718</v>
      </c>
      <c r="BB251" t="s">
        <v>5028</v>
      </c>
      <c r="BC251" t="s">
        <v>1718</v>
      </c>
      <c r="BD251" t="s">
        <v>5028</v>
      </c>
      <c r="BE251" t="s">
        <v>1718</v>
      </c>
      <c r="BF251" s="34" t="s">
        <v>2104</v>
      </c>
      <c r="BG251" s="14">
        <v>73</v>
      </c>
    </row>
    <row r="252" spans="1:59" x14ac:dyDescent="0.25">
      <c r="A252" s="4">
        <v>251</v>
      </c>
      <c r="B252" s="33" t="s">
        <v>1719</v>
      </c>
      <c r="C252" s="14" t="s">
        <v>1970</v>
      </c>
      <c r="D252" s="46" t="s">
        <v>4772</v>
      </c>
      <c r="E252" s="14" t="s">
        <v>380</v>
      </c>
      <c r="F252" s="36" t="s">
        <v>1718</v>
      </c>
      <c r="G252" s="14">
        <v>955282059</v>
      </c>
      <c r="H252" t="str">
        <f>VLOOKUP(D252,DATA_SISTEMA!$A$1:$Q$506,13,FALSE)</f>
        <v>URB LOS PORTALES</v>
      </c>
      <c r="I252" t="str">
        <f>VLOOKUP(D252,DATA_SISTEMA!$A$1:$Q$506,7,FALSE)</f>
        <v>1987-09-13</v>
      </c>
      <c r="J252" s="32" t="s">
        <v>1718</v>
      </c>
      <c r="K252" s="32" t="s">
        <v>1718</v>
      </c>
      <c r="L252" s="32" t="s">
        <v>1718</v>
      </c>
      <c r="M252">
        <v>317</v>
      </c>
      <c r="N252">
        <v>0</v>
      </c>
      <c r="O252" s="32" t="str">
        <f t="shared" si="3"/>
        <v>2510020261X</v>
      </c>
      <c r="P252" s="32" t="s">
        <v>1718</v>
      </c>
      <c r="Q252" s="32" t="s">
        <v>1718</v>
      </c>
      <c r="R252" s="32" t="s">
        <v>2110</v>
      </c>
      <c r="S252" s="32" t="s">
        <v>5033</v>
      </c>
      <c r="T252" t="str">
        <f>VLOOKUP(D252,DATA_SISTEMA!$A$1:$Q$506,9,FALSE)</f>
        <v>M</v>
      </c>
      <c r="U252" s="32" t="s">
        <v>2106</v>
      </c>
      <c r="V252" s="32" t="s">
        <v>1718</v>
      </c>
      <c r="W252" s="37" t="s">
        <v>5028</v>
      </c>
      <c r="X252" s="32" t="s">
        <v>4522</v>
      </c>
      <c r="Y252" s="32" t="s">
        <v>1718</v>
      </c>
      <c r="Z252" s="32" t="s">
        <v>1718</v>
      </c>
      <c r="AA252" s="32" t="s">
        <v>5028</v>
      </c>
      <c r="AB252" s="32" t="s">
        <v>1718</v>
      </c>
      <c r="AC252" s="32" t="s">
        <v>1718</v>
      </c>
      <c r="AD252" s="32" t="s">
        <v>1718</v>
      </c>
      <c r="AE252" s="32" t="s">
        <v>1718</v>
      </c>
      <c r="AF252" s="32" t="s">
        <v>1718</v>
      </c>
      <c r="AG252" s="32" t="s">
        <v>1718</v>
      </c>
      <c r="AH252" s="32" t="s">
        <v>2107</v>
      </c>
      <c r="AI252" s="14" t="s">
        <v>1545</v>
      </c>
      <c r="AJ252" s="14" t="s">
        <v>1172</v>
      </c>
      <c r="AK252" s="14" t="s">
        <v>952</v>
      </c>
      <c r="AL252" s="14">
        <v>44858163</v>
      </c>
      <c r="AM252" t="s">
        <v>1718</v>
      </c>
      <c r="AN252" t="s">
        <v>1718</v>
      </c>
      <c r="AO252" t="s">
        <v>1718</v>
      </c>
      <c r="AP252" t="s">
        <v>1718</v>
      </c>
      <c r="AQ252" t="s">
        <v>1718</v>
      </c>
      <c r="AR252" t="s">
        <v>1718</v>
      </c>
      <c r="AS252" t="s">
        <v>1718</v>
      </c>
      <c r="AT252" t="s">
        <v>1718</v>
      </c>
      <c r="AU252" t="s">
        <v>1718</v>
      </c>
      <c r="AV252" t="str">
        <f>VLOOKUP(D252,DATA_SISTEMA!$A$1:$Q$506,12,FALSE)</f>
        <v>JOSE LEONARDO ORTIZ</v>
      </c>
      <c r="AW252" t="str">
        <f>VLOOKUP(D252,DATA_SISTEMA!$A$1:$Q$506,11,FALSE)</f>
        <v>CHICLAYO</v>
      </c>
      <c r="AX252" t="str">
        <f>VLOOKUP(D252,DATA_SISTEMA!$A$1:$Q$506,10,FALSE)</f>
        <v>LAMBAYEQUE</v>
      </c>
      <c r="AY252" t="s">
        <v>1718</v>
      </c>
      <c r="AZ252" t="s">
        <v>5028</v>
      </c>
      <c r="BA252" t="s">
        <v>1718</v>
      </c>
      <c r="BB252" t="s">
        <v>5028</v>
      </c>
      <c r="BC252" t="s">
        <v>1718</v>
      </c>
      <c r="BD252" t="s">
        <v>5028</v>
      </c>
      <c r="BE252" t="s">
        <v>1718</v>
      </c>
      <c r="BF252" s="34" t="s">
        <v>2104</v>
      </c>
      <c r="BG252" s="14">
        <v>71.5</v>
      </c>
    </row>
    <row r="253" spans="1:59" x14ac:dyDescent="0.25">
      <c r="A253" s="4">
        <v>252</v>
      </c>
      <c r="B253" s="33" t="s">
        <v>1719</v>
      </c>
      <c r="C253" s="14" t="s">
        <v>1971</v>
      </c>
      <c r="D253" s="46" t="s">
        <v>4773</v>
      </c>
      <c r="E253" s="14" t="s">
        <v>382</v>
      </c>
      <c r="F253" s="36" t="s">
        <v>1718</v>
      </c>
      <c r="G253" s="14">
        <v>929630046</v>
      </c>
      <c r="H253" t="str">
        <f>VLOOKUP(D253,DATA_SISTEMA!$A$1:$Q$506,13,FALSE)</f>
        <v>JR. ARMANDO DE LOS RÍOS 230-4 CENTRO CUTERVO</v>
      </c>
      <c r="I253" t="str">
        <f>VLOOKUP(D253,DATA_SISTEMA!$A$1:$Q$506,7,FALSE)</f>
        <v>1984-09-03</v>
      </c>
      <c r="J253" s="32" t="s">
        <v>1718</v>
      </c>
      <c r="K253" s="32" t="s">
        <v>1718</v>
      </c>
      <c r="L253" s="32" t="s">
        <v>1718</v>
      </c>
      <c r="M253">
        <v>317</v>
      </c>
      <c r="N253">
        <v>0</v>
      </c>
      <c r="O253" s="32" t="str">
        <f t="shared" si="3"/>
        <v>2520020261X</v>
      </c>
      <c r="P253" s="32" t="s">
        <v>1718</v>
      </c>
      <c r="Q253" s="32" t="s">
        <v>1718</v>
      </c>
      <c r="R253" s="32" t="s">
        <v>2110</v>
      </c>
      <c r="S253" s="32" t="s">
        <v>5033</v>
      </c>
      <c r="T253" t="str">
        <f>VLOOKUP(D253,DATA_SISTEMA!$A$1:$Q$506,9,FALSE)</f>
        <v>F</v>
      </c>
      <c r="U253" s="32" t="s">
        <v>2106</v>
      </c>
      <c r="V253" s="32" t="s">
        <v>1718</v>
      </c>
      <c r="W253" s="37" t="s">
        <v>5028</v>
      </c>
      <c r="X253" s="32" t="s">
        <v>4522</v>
      </c>
      <c r="Y253" s="32" t="s">
        <v>1718</v>
      </c>
      <c r="Z253" s="32" t="s">
        <v>1718</v>
      </c>
      <c r="AA253" s="32" t="s">
        <v>5028</v>
      </c>
      <c r="AB253" s="32" t="s">
        <v>1718</v>
      </c>
      <c r="AC253" s="32" t="s">
        <v>1718</v>
      </c>
      <c r="AD253" s="32" t="s">
        <v>1718</v>
      </c>
      <c r="AE253" s="32" t="s">
        <v>1718</v>
      </c>
      <c r="AF253" s="32" t="s">
        <v>1718</v>
      </c>
      <c r="AG253" s="32" t="s">
        <v>1718</v>
      </c>
      <c r="AH253" s="32" t="s">
        <v>2107</v>
      </c>
      <c r="AI253" s="14" t="s">
        <v>1546</v>
      </c>
      <c r="AJ253" s="14" t="s">
        <v>1173</v>
      </c>
      <c r="AK253" s="14" t="s">
        <v>1299</v>
      </c>
      <c r="AL253" s="14">
        <v>42656845</v>
      </c>
      <c r="AM253" t="s">
        <v>1718</v>
      </c>
      <c r="AN253" t="s">
        <v>1718</v>
      </c>
      <c r="AO253" t="s">
        <v>1718</v>
      </c>
      <c r="AP253" t="s">
        <v>1718</v>
      </c>
      <c r="AQ253" t="s">
        <v>1718</v>
      </c>
      <c r="AR253" t="s">
        <v>1718</v>
      </c>
      <c r="AS253" t="s">
        <v>1718</v>
      </c>
      <c r="AT253" t="s">
        <v>1718</v>
      </c>
      <c r="AU253" t="s">
        <v>1718</v>
      </c>
      <c r="AV253" t="str">
        <f>VLOOKUP(D253,DATA_SISTEMA!$A$1:$Q$506,12,FALSE)</f>
        <v>CUTERVO</v>
      </c>
      <c r="AW253" t="str">
        <f>VLOOKUP(D253,DATA_SISTEMA!$A$1:$Q$506,11,FALSE)</f>
        <v>CUTERVO</v>
      </c>
      <c r="AX253" t="str">
        <f>VLOOKUP(D253,DATA_SISTEMA!$A$1:$Q$506,10,FALSE)</f>
        <v>CAJAMARCA</v>
      </c>
      <c r="AY253" t="s">
        <v>1718</v>
      </c>
      <c r="AZ253" t="s">
        <v>5028</v>
      </c>
      <c r="BA253" t="s">
        <v>1718</v>
      </c>
      <c r="BB253" t="s">
        <v>5028</v>
      </c>
      <c r="BC253" t="s">
        <v>1718</v>
      </c>
      <c r="BD253" t="s">
        <v>5028</v>
      </c>
      <c r="BE253" t="s">
        <v>1718</v>
      </c>
      <c r="BF253" s="34" t="s">
        <v>2104</v>
      </c>
      <c r="BG253" s="14">
        <v>69.099999999999994</v>
      </c>
    </row>
    <row r="254" spans="1:59" x14ac:dyDescent="0.25">
      <c r="A254" s="4">
        <v>253</v>
      </c>
      <c r="B254" s="33" t="s">
        <v>1719</v>
      </c>
      <c r="C254" s="14" t="s">
        <v>1972</v>
      </c>
      <c r="D254" s="46" t="s">
        <v>4774</v>
      </c>
      <c r="E254" s="14" t="s">
        <v>384</v>
      </c>
      <c r="F254" s="36" t="s">
        <v>1718</v>
      </c>
      <c r="G254" s="14">
        <v>927715022</v>
      </c>
      <c r="H254" t="str">
        <f>VLOOKUP(D254,DATA_SISTEMA!$A$1:$Q$506,13,FALSE)</f>
        <v>MANUEL SEOANE 231</v>
      </c>
      <c r="I254" t="str">
        <f>VLOOKUP(D254,DATA_SISTEMA!$A$1:$Q$506,7,FALSE)</f>
        <v>1990-03-20</v>
      </c>
      <c r="J254" s="32" t="s">
        <v>1718</v>
      </c>
      <c r="K254" s="32" t="s">
        <v>1718</v>
      </c>
      <c r="L254" s="32" t="s">
        <v>1718</v>
      </c>
      <c r="M254">
        <v>317</v>
      </c>
      <c r="N254">
        <v>0</v>
      </c>
      <c r="O254" s="32" t="str">
        <f t="shared" si="3"/>
        <v>2530020261X</v>
      </c>
      <c r="P254" s="32" t="s">
        <v>1718</v>
      </c>
      <c r="Q254" s="32" t="s">
        <v>1718</v>
      </c>
      <c r="R254" s="32" t="s">
        <v>2110</v>
      </c>
      <c r="S254" s="32" t="s">
        <v>5033</v>
      </c>
      <c r="T254" t="str">
        <f>VLOOKUP(D254,DATA_SISTEMA!$A$1:$Q$506,9,FALSE)</f>
        <v>M</v>
      </c>
      <c r="U254" s="32" t="s">
        <v>2106</v>
      </c>
      <c r="V254" s="32" t="s">
        <v>1718</v>
      </c>
      <c r="W254" s="37" t="s">
        <v>5028</v>
      </c>
      <c r="X254" s="32" t="s">
        <v>4522</v>
      </c>
      <c r="Y254" s="32" t="s">
        <v>1718</v>
      </c>
      <c r="Z254" s="32" t="s">
        <v>1718</v>
      </c>
      <c r="AA254" s="32" t="s">
        <v>5028</v>
      </c>
      <c r="AB254" s="32" t="s">
        <v>1718</v>
      </c>
      <c r="AC254" s="32" t="s">
        <v>1718</v>
      </c>
      <c r="AD254" s="32" t="s">
        <v>1718</v>
      </c>
      <c r="AE254" s="32" t="s">
        <v>1718</v>
      </c>
      <c r="AF254" s="32" t="s">
        <v>1718</v>
      </c>
      <c r="AG254" s="32" t="s">
        <v>1718</v>
      </c>
      <c r="AH254" s="32" t="s">
        <v>2107</v>
      </c>
      <c r="AI254" s="14" t="s">
        <v>1547</v>
      </c>
      <c r="AJ254" s="14" t="s">
        <v>1174</v>
      </c>
      <c r="AK254" s="14" t="s">
        <v>916</v>
      </c>
      <c r="AL254" s="14">
        <v>46327997</v>
      </c>
      <c r="AM254" t="s">
        <v>1718</v>
      </c>
      <c r="AN254" t="s">
        <v>1718</v>
      </c>
      <c r="AO254" t="s">
        <v>1718</v>
      </c>
      <c r="AP254" t="s">
        <v>1718</v>
      </c>
      <c r="AQ254" t="s">
        <v>1718</v>
      </c>
      <c r="AR254" t="s">
        <v>1718</v>
      </c>
      <c r="AS254" t="s">
        <v>1718</v>
      </c>
      <c r="AT254" t="s">
        <v>1718</v>
      </c>
      <c r="AU254" t="s">
        <v>1718</v>
      </c>
      <c r="AV254" t="str">
        <f>VLOOKUP(D254,DATA_SISTEMA!$A$1:$Q$506,12,FALSE)</f>
        <v>LAMBAYEQUE</v>
      </c>
      <c r="AW254" t="str">
        <f>VLOOKUP(D254,DATA_SISTEMA!$A$1:$Q$506,11,FALSE)</f>
        <v>LAMBAYEQUE</v>
      </c>
      <c r="AX254" t="str">
        <f>VLOOKUP(D254,DATA_SISTEMA!$A$1:$Q$506,10,FALSE)</f>
        <v>LAMBAYEQUE</v>
      </c>
      <c r="AY254" t="s">
        <v>1718</v>
      </c>
      <c r="AZ254" t="s">
        <v>5028</v>
      </c>
      <c r="BA254" t="s">
        <v>1718</v>
      </c>
      <c r="BB254" t="s">
        <v>5028</v>
      </c>
      <c r="BC254" t="s">
        <v>1718</v>
      </c>
      <c r="BD254" t="s">
        <v>5028</v>
      </c>
      <c r="BE254" t="s">
        <v>1718</v>
      </c>
      <c r="BF254" s="34" t="s">
        <v>2104</v>
      </c>
      <c r="BG254" s="14">
        <v>68.5</v>
      </c>
    </row>
    <row r="255" spans="1:59" x14ac:dyDescent="0.25">
      <c r="A255" s="4">
        <v>254</v>
      </c>
      <c r="B255" s="33" t="s">
        <v>1719</v>
      </c>
      <c r="C255" s="14" t="s">
        <v>1973</v>
      </c>
      <c r="D255" s="46" t="s">
        <v>4775</v>
      </c>
      <c r="E255" s="14" t="s">
        <v>386</v>
      </c>
      <c r="F255" s="36" t="s">
        <v>1718</v>
      </c>
      <c r="G255" s="14">
        <v>929717847</v>
      </c>
      <c r="H255" t="str">
        <f>VLOOKUP(D255,DATA_SISTEMA!$A$1:$Q$506,13,FALSE)</f>
        <v>LA BALSA- BATANGRANDE</v>
      </c>
      <c r="I255" t="str">
        <f>VLOOKUP(D255,DATA_SISTEMA!$A$1:$Q$506,7,FALSE)</f>
        <v>2000-03-04</v>
      </c>
      <c r="J255" s="32" t="s">
        <v>1718</v>
      </c>
      <c r="K255" s="32" t="s">
        <v>1718</v>
      </c>
      <c r="L255" s="32" t="s">
        <v>1718</v>
      </c>
      <c r="M255">
        <v>317</v>
      </c>
      <c r="N255">
        <v>0</v>
      </c>
      <c r="O255" s="32" t="str">
        <f t="shared" si="3"/>
        <v>2540020261X</v>
      </c>
      <c r="P255" s="32" t="s">
        <v>1718</v>
      </c>
      <c r="Q255" s="32" t="s">
        <v>1718</v>
      </c>
      <c r="R255" s="32" t="s">
        <v>2110</v>
      </c>
      <c r="S255" s="32" t="s">
        <v>5033</v>
      </c>
      <c r="T255" t="str">
        <f>VLOOKUP(D255,DATA_SISTEMA!$A$1:$Q$506,9,FALSE)</f>
        <v>F</v>
      </c>
      <c r="U255" s="32" t="s">
        <v>2106</v>
      </c>
      <c r="V255" s="32" t="s">
        <v>1718</v>
      </c>
      <c r="W255" s="37" t="s">
        <v>5028</v>
      </c>
      <c r="X255" s="32" t="s">
        <v>4522</v>
      </c>
      <c r="Y255" s="32" t="s">
        <v>1718</v>
      </c>
      <c r="Z255" s="32" t="s">
        <v>1718</v>
      </c>
      <c r="AA255" s="32" t="s">
        <v>5028</v>
      </c>
      <c r="AB255" s="32" t="s">
        <v>1718</v>
      </c>
      <c r="AC255" s="32" t="s">
        <v>1718</v>
      </c>
      <c r="AD255" s="32" t="s">
        <v>1718</v>
      </c>
      <c r="AE255" s="32" t="s">
        <v>1718</v>
      </c>
      <c r="AF255" s="32" t="s">
        <v>1718</v>
      </c>
      <c r="AG255" s="32" t="s">
        <v>1718</v>
      </c>
      <c r="AH255" s="32" t="s">
        <v>2107</v>
      </c>
      <c r="AI255" s="14" t="s">
        <v>1548</v>
      </c>
      <c r="AJ255" s="14" t="s">
        <v>1175</v>
      </c>
      <c r="AK255" s="14" t="s">
        <v>1016</v>
      </c>
      <c r="AL255" s="14">
        <v>77341510</v>
      </c>
      <c r="AM255" t="s">
        <v>1718</v>
      </c>
      <c r="AN255" t="s">
        <v>1718</v>
      </c>
      <c r="AO255" t="s">
        <v>1718</v>
      </c>
      <c r="AP255" t="s">
        <v>1718</v>
      </c>
      <c r="AQ255" t="s">
        <v>1718</v>
      </c>
      <c r="AR255" t="s">
        <v>1718</v>
      </c>
      <c r="AS255" t="s">
        <v>1718</v>
      </c>
      <c r="AT255" t="s">
        <v>1718</v>
      </c>
      <c r="AU255" t="s">
        <v>1718</v>
      </c>
      <c r="AV255" t="str">
        <f>VLOOKUP(D255,DATA_SISTEMA!$A$1:$Q$506,12,FALSE)</f>
        <v>PITIPO</v>
      </c>
      <c r="AW255" t="str">
        <f>VLOOKUP(D255,DATA_SISTEMA!$A$1:$Q$506,11,FALSE)</f>
        <v>FERREÑAFE</v>
      </c>
      <c r="AX255" t="str">
        <f>VLOOKUP(D255,DATA_SISTEMA!$A$1:$Q$506,10,FALSE)</f>
        <v>LAMBAYEQUE</v>
      </c>
      <c r="AY255" t="s">
        <v>1718</v>
      </c>
      <c r="AZ255" t="s">
        <v>5028</v>
      </c>
      <c r="BA255" t="s">
        <v>1718</v>
      </c>
      <c r="BB255" t="s">
        <v>5028</v>
      </c>
      <c r="BC255" t="s">
        <v>1718</v>
      </c>
      <c r="BD255" t="s">
        <v>5028</v>
      </c>
      <c r="BE255" t="s">
        <v>1718</v>
      </c>
      <c r="BF255" s="34" t="s">
        <v>2104</v>
      </c>
      <c r="BG255" s="14">
        <v>68.5</v>
      </c>
    </row>
    <row r="256" spans="1:59" x14ac:dyDescent="0.25">
      <c r="A256" s="4">
        <v>255</v>
      </c>
      <c r="B256" s="33" t="s">
        <v>1719</v>
      </c>
      <c r="C256" s="14" t="s">
        <v>1974</v>
      </c>
      <c r="D256" s="46" t="s">
        <v>4776</v>
      </c>
      <c r="E256" s="14" t="s">
        <v>388</v>
      </c>
      <c r="F256" s="36" t="s">
        <v>1718</v>
      </c>
      <c r="G256" s="14">
        <v>904183225</v>
      </c>
      <c r="H256" t="str">
        <f>VLOOKUP(D256,DATA_SISTEMA!$A$1:$Q$506,13,FALSE)</f>
        <v>SEC.20 DE ENERO MZ. 23., LT 03</v>
      </c>
      <c r="I256" t="str">
        <f>VLOOKUP(D256,DATA_SISTEMA!$A$1:$Q$506,7,FALSE)</f>
        <v>2000-03-29</v>
      </c>
      <c r="J256" s="32" t="s">
        <v>1718</v>
      </c>
      <c r="K256" s="32" t="s">
        <v>1718</v>
      </c>
      <c r="L256" s="32" t="s">
        <v>1718</v>
      </c>
      <c r="M256">
        <v>317</v>
      </c>
      <c r="N256">
        <v>0</v>
      </c>
      <c r="O256" s="32" t="str">
        <f t="shared" si="3"/>
        <v>2550020261X</v>
      </c>
      <c r="P256" s="32" t="s">
        <v>1718</v>
      </c>
      <c r="Q256" s="32" t="s">
        <v>1718</v>
      </c>
      <c r="R256" s="32" t="s">
        <v>2110</v>
      </c>
      <c r="S256" s="32" t="s">
        <v>5033</v>
      </c>
      <c r="T256" t="str">
        <f>VLOOKUP(D256,DATA_SISTEMA!$A$1:$Q$506,9,FALSE)</f>
        <v>M</v>
      </c>
      <c r="U256" s="32" t="s">
        <v>2106</v>
      </c>
      <c r="V256" s="32" t="s">
        <v>1718</v>
      </c>
      <c r="W256" s="37" t="s">
        <v>5028</v>
      </c>
      <c r="X256" s="32" t="s">
        <v>4522</v>
      </c>
      <c r="Y256" s="32" t="s">
        <v>1718</v>
      </c>
      <c r="Z256" s="32" t="s">
        <v>1718</v>
      </c>
      <c r="AA256" s="32" t="s">
        <v>5028</v>
      </c>
      <c r="AB256" s="32" t="s">
        <v>1718</v>
      </c>
      <c r="AC256" s="32" t="s">
        <v>1718</v>
      </c>
      <c r="AD256" s="32" t="s">
        <v>1718</v>
      </c>
      <c r="AE256" s="32" t="s">
        <v>1718</v>
      </c>
      <c r="AF256" s="32" t="s">
        <v>1718</v>
      </c>
      <c r="AG256" s="32" t="s">
        <v>1718</v>
      </c>
      <c r="AH256" s="32" t="s">
        <v>2107</v>
      </c>
      <c r="AI256" s="14" t="s">
        <v>1549</v>
      </c>
      <c r="AJ256" s="14" t="s">
        <v>859</v>
      </c>
      <c r="AK256" s="14" t="s">
        <v>1176</v>
      </c>
      <c r="AL256" s="14">
        <v>71894605</v>
      </c>
      <c r="AM256" t="s">
        <v>1718</v>
      </c>
      <c r="AN256" t="s">
        <v>1718</v>
      </c>
      <c r="AO256" t="s">
        <v>1718</v>
      </c>
      <c r="AP256" t="s">
        <v>1718</v>
      </c>
      <c r="AQ256" t="s">
        <v>1718</v>
      </c>
      <c r="AR256" t="s">
        <v>1718</v>
      </c>
      <c r="AS256" t="s">
        <v>1718</v>
      </c>
      <c r="AT256" t="s">
        <v>1718</v>
      </c>
      <c r="AU256" t="s">
        <v>1718</v>
      </c>
      <c r="AV256" t="str">
        <f>VLOOKUP(D256,DATA_SISTEMA!$A$1:$Q$506,12,FALSE)</f>
        <v>POMALCA</v>
      </c>
      <c r="AW256" t="str">
        <f>VLOOKUP(D256,DATA_SISTEMA!$A$1:$Q$506,11,FALSE)</f>
        <v>CHICLAYO</v>
      </c>
      <c r="AX256" t="str">
        <f>VLOOKUP(D256,DATA_SISTEMA!$A$1:$Q$506,10,FALSE)</f>
        <v>LAMBAYEQUE</v>
      </c>
      <c r="AY256" t="s">
        <v>1718</v>
      </c>
      <c r="AZ256" t="s">
        <v>5028</v>
      </c>
      <c r="BA256" t="s">
        <v>1718</v>
      </c>
      <c r="BB256" t="s">
        <v>5028</v>
      </c>
      <c r="BC256" t="s">
        <v>1718</v>
      </c>
      <c r="BD256" t="s">
        <v>5028</v>
      </c>
      <c r="BE256" t="s">
        <v>1718</v>
      </c>
      <c r="BF256" s="34" t="s">
        <v>2104</v>
      </c>
      <c r="BG256" s="14">
        <v>68.2</v>
      </c>
    </row>
    <row r="257" spans="1:59" x14ac:dyDescent="0.25">
      <c r="A257" s="4">
        <v>256</v>
      </c>
      <c r="B257" s="33" t="s">
        <v>1719</v>
      </c>
      <c r="C257" s="14" t="s">
        <v>1975</v>
      </c>
      <c r="D257" s="46" t="s">
        <v>4777</v>
      </c>
      <c r="E257" s="14" t="s">
        <v>390</v>
      </c>
      <c r="F257" s="36" t="s">
        <v>1718</v>
      </c>
      <c r="G257" s="14">
        <v>980509283</v>
      </c>
      <c r="H257" t="str">
        <f>VLOOKUP(D257,DATA_SISTEMA!$A$1:$Q$506,13,FALSE)</f>
        <v>ROOSVELT 1406 URRUNAGA</v>
      </c>
      <c r="I257" t="str">
        <f>VLOOKUP(D257,DATA_SISTEMA!$A$1:$Q$506,7,FALSE)</f>
        <v>1996-12-29</v>
      </c>
      <c r="J257" s="32" t="s">
        <v>1718</v>
      </c>
      <c r="K257" s="32" t="s">
        <v>1718</v>
      </c>
      <c r="L257" s="32" t="s">
        <v>1718</v>
      </c>
      <c r="M257">
        <v>317</v>
      </c>
      <c r="N257">
        <v>0</v>
      </c>
      <c r="O257" s="32" t="str">
        <f t="shared" si="3"/>
        <v>2560020261X</v>
      </c>
      <c r="P257" s="32" t="s">
        <v>1718</v>
      </c>
      <c r="Q257" s="32" t="s">
        <v>1718</v>
      </c>
      <c r="R257" s="32" t="s">
        <v>2110</v>
      </c>
      <c r="S257" s="32" t="s">
        <v>5033</v>
      </c>
      <c r="T257" t="str">
        <f>VLOOKUP(D257,DATA_SISTEMA!$A$1:$Q$506,9,FALSE)</f>
        <v>F</v>
      </c>
      <c r="U257" s="32" t="s">
        <v>2106</v>
      </c>
      <c r="V257" s="32" t="s">
        <v>1718</v>
      </c>
      <c r="W257" s="37" t="s">
        <v>5028</v>
      </c>
      <c r="X257" s="32" t="s">
        <v>4522</v>
      </c>
      <c r="Y257" s="32" t="s">
        <v>1718</v>
      </c>
      <c r="Z257" s="32" t="s">
        <v>1718</v>
      </c>
      <c r="AA257" s="32" t="s">
        <v>5028</v>
      </c>
      <c r="AB257" s="32" t="s">
        <v>1718</v>
      </c>
      <c r="AC257" s="32" t="s">
        <v>1718</v>
      </c>
      <c r="AD257" s="32" t="s">
        <v>1718</v>
      </c>
      <c r="AE257" s="32" t="s">
        <v>1718</v>
      </c>
      <c r="AF257" s="32" t="s">
        <v>1718</v>
      </c>
      <c r="AG257" s="32" t="s">
        <v>1718</v>
      </c>
      <c r="AH257" s="32" t="s">
        <v>2107</v>
      </c>
      <c r="AI257" s="14" t="s">
        <v>1550</v>
      </c>
      <c r="AJ257" s="14" t="s">
        <v>1177</v>
      </c>
      <c r="AK257" s="14" t="s">
        <v>1178</v>
      </c>
      <c r="AL257" s="14">
        <v>77294821</v>
      </c>
      <c r="AM257" t="s">
        <v>1718</v>
      </c>
      <c r="AN257" t="s">
        <v>1718</v>
      </c>
      <c r="AO257" t="s">
        <v>1718</v>
      </c>
      <c r="AP257" t="s">
        <v>1718</v>
      </c>
      <c r="AQ257" t="s">
        <v>1718</v>
      </c>
      <c r="AR257" t="s">
        <v>1718</v>
      </c>
      <c r="AS257" t="s">
        <v>1718</v>
      </c>
      <c r="AT257" t="s">
        <v>1718</v>
      </c>
      <c r="AU257" t="s">
        <v>1718</v>
      </c>
      <c r="AV257" t="str">
        <f>VLOOKUP(D257,DATA_SISTEMA!$A$1:$Q$506,12,FALSE)</f>
        <v>JOSE LEONARDO ORTIZ</v>
      </c>
      <c r="AW257" t="str">
        <f>VLOOKUP(D257,DATA_SISTEMA!$A$1:$Q$506,11,FALSE)</f>
        <v>CHICLAYO</v>
      </c>
      <c r="AX257" t="str">
        <f>VLOOKUP(D257,DATA_SISTEMA!$A$1:$Q$506,10,FALSE)</f>
        <v>LAMBAYEQUE</v>
      </c>
      <c r="AY257" t="s">
        <v>1718</v>
      </c>
      <c r="AZ257" t="s">
        <v>5028</v>
      </c>
      <c r="BA257" t="s">
        <v>1718</v>
      </c>
      <c r="BB257" t="s">
        <v>5028</v>
      </c>
      <c r="BC257" t="s">
        <v>1718</v>
      </c>
      <c r="BD257" t="s">
        <v>5028</v>
      </c>
      <c r="BE257" t="s">
        <v>1718</v>
      </c>
      <c r="BF257" s="34" t="s">
        <v>2104</v>
      </c>
      <c r="BG257" s="14">
        <v>67.5</v>
      </c>
    </row>
    <row r="258" spans="1:59" x14ac:dyDescent="0.25">
      <c r="A258" s="4">
        <v>257</v>
      </c>
      <c r="B258" s="33" t="s">
        <v>1719</v>
      </c>
      <c r="C258" s="14" t="s">
        <v>1976</v>
      </c>
      <c r="D258" s="46" t="s">
        <v>4778</v>
      </c>
      <c r="E258" s="14" t="s">
        <v>392</v>
      </c>
      <c r="F258" s="36" t="s">
        <v>1718</v>
      </c>
      <c r="G258" s="14">
        <v>934930080</v>
      </c>
      <c r="H258" t="str">
        <f>VLOOKUP(D258,DATA_SISTEMA!$A$1:$Q$506,13,FALSE)</f>
        <v>ANDRÉS RÁZURI N°391 - CHICLAYO</v>
      </c>
      <c r="I258" t="str">
        <f>VLOOKUP(D258,DATA_SISTEMA!$A$1:$Q$506,7,FALSE)</f>
        <v>1996-09-18</v>
      </c>
      <c r="J258" s="32" t="s">
        <v>1718</v>
      </c>
      <c r="K258" s="32" t="s">
        <v>1718</v>
      </c>
      <c r="L258" s="32" t="s">
        <v>1718</v>
      </c>
      <c r="M258">
        <v>317</v>
      </c>
      <c r="N258">
        <v>0</v>
      </c>
      <c r="O258" s="32" t="str">
        <f t="shared" si="3"/>
        <v>2570020261X</v>
      </c>
      <c r="P258" s="32" t="s">
        <v>1718</v>
      </c>
      <c r="Q258" s="32" t="s">
        <v>1718</v>
      </c>
      <c r="R258" s="32" t="s">
        <v>2110</v>
      </c>
      <c r="S258" s="32" t="s">
        <v>5033</v>
      </c>
      <c r="T258" t="str">
        <f>VLOOKUP(D258,DATA_SISTEMA!$A$1:$Q$506,9,FALSE)</f>
        <v>F</v>
      </c>
      <c r="U258" s="32" t="s">
        <v>2106</v>
      </c>
      <c r="V258" s="32" t="s">
        <v>1718</v>
      </c>
      <c r="W258" s="37" t="s">
        <v>5028</v>
      </c>
      <c r="X258" s="32" t="s">
        <v>4522</v>
      </c>
      <c r="Y258" s="32" t="s">
        <v>1718</v>
      </c>
      <c r="Z258" s="32" t="s">
        <v>1718</v>
      </c>
      <c r="AA258" s="32" t="s">
        <v>5028</v>
      </c>
      <c r="AB258" s="32" t="s">
        <v>1718</v>
      </c>
      <c r="AC258" s="32" t="s">
        <v>1718</v>
      </c>
      <c r="AD258" s="32" t="s">
        <v>1718</v>
      </c>
      <c r="AE258" s="32" t="s">
        <v>1718</v>
      </c>
      <c r="AF258" s="32" t="s">
        <v>1718</v>
      </c>
      <c r="AG258" s="32" t="s">
        <v>1718</v>
      </c>
      <c r="AH258" s="32" t="s">
        <v>2107</v>
      </c>
      <c r="AI258" s="14" t="s">
        <v>1551</v>
      </c>
      <c r="AJ258" s="14" t="s">
        <v>898</v>
      </c>
      <c r="AK258" s="14" t="s">
        <v>1179</v>
      </c>
      <c r="AL258" s="14">
        <v>70914357</v>
      </c>
      <c r="AM258" t="s">
        <v>1718</v>
      </c>
      <c r="AN258" t="s">
        <v>1718</v>
      </c>
      <c r="AO258" t="s">
        <v>1718</v>
      </c>
      <c r="AP258" t="s">
        <v>1718</v>
      </c>
      <c r="AQ258" t="s">
        <v>1718</v>
      </c>
      <c r="AR258" t="s">
        <v>1718</v>
      </c>
      <c r="AS258" t="s">
        <v>1718</v>
      </c>
      <c r="AT258" t="s">
        <v>1718</v>
      </c>
      <c r="AU258" t="s">
        <v>1718</v>
      </c>
      <c r="AV258" t="str">
        <f>VLOOKUP(D258,DATA_SISTEMA!$A$1:$Q$506,12,FALSE)</f>
        <v>CHICLAYO</v>
      </c>
      <c r="AW258" t="str">
        <f>VLOOKUP(D258,DATA_SISTEMA!$A$1:$Q$506,11,FALSE)</f>
        <v>CHICLAYO</v>
      </c>
      <c r="AX258" t="str">
        <f>VLOOKUP(D258,DATA_SISTEMA!$A$1:$Q$506,10,FALSE)</f>
        <v>LAMBAYEQUE</v>
      </c>
      <c r="AY258" t="s">
        <v>1718</v>
      </c>
      <c r="AZ258" t="s">
        <v>5028</v>
      </c>
      <c r="BA258" t="s">
        <v>1718</v>
      </c>
      <c r="BB258" t="s">
        <v>5028</v>
      </c>
      <c r="BC258" t="s">
        <v>1718</v>
      </c>
      <c r="BD258" t="s">
        <v>5028</v>
      </c>
      <c r="BE258" t="s">
        <v>1718</v>
      </c>
      <c r="BF258" s="34" t="s">
        <v>2104</v>
      </c>
      <c r="BG258" s="14">
        <v>67</v>
      </c>
    </row>
    <row r="259" spans="1:59" x14ac:dyDescent="0.25">
      <c r="A259" s="4">
        <v>258</v>
      </c>
      <c r="B259" s="33" t="s">
        <v>1719</v>
      </c>
      <c r="C259" s="14" t="s">
        <v>1977</v>
      </c>
      <c r="D259" s="46" t="s">
        <v>4779</v>
      </c>
      <c r="E259" s="14" t="s">
        <v>394</v>
      </c>
      <c r="F259" s="36" t="s">
        <v>1718</v>
      </c>
      <c r="G259" s="14">
        <v>945312620</v>
      </c>
      <c r="H259" t="str">
        <f>VLOOKUP(D259,DATA_SISTEMA!$A$1:$Q$506,13,FALSE)</f>
        <v>LOS JASMINES #365 - URB. FEDERICO VILLAREAL</v>
      </c>
      <c r="I259" t="str">
        <f>VLOOKUP(D259,DATA_SISTEMA!$A$1:$Q$506,7,FALSE)</f>
        <v>1974-09-26</v>
      </c>
      <c r="J259" s="32" t="s">
        <v>1718</v>
      </c>
      <c r="K259" s="32" t="s">
        <v>1718</v>
      </c>
      <c r="L259" s="32" t="s">
        <v>1718</v>
      </c>
      <c r="M259">
        <v>317</v>
      </c>
      <c r="N259">
        <v>0</v>
      </c>
      <c r="O259" s="32" t="str">
        <f t="shared" ref="O259:O322" si="4">_xlfn.CONCAT(A259,"0020261X")</f>
        <v>2580020261X</v>
      </c>
      <c r="P259" s="32" t="s">
        <v>1718</v>
      </c>
      <c r="Q259" s="32" t="s">
        <v>1718</v>
      </c>
      <c r="R259" s="32" t="s">
        <v>2110</v>
      </c>
      <c r="S259" s="32" t="s">
        <v>5033</v>
      </c>
      <c r="T259" t="str">
        <f>VLOOKUP(D259,DATA_SISTEMA!$A$1:$Q$506,9,FALSE)</f>
        <v>M</v>
      </c>
      <c r="U259" s="32" t="s">
        <v>2106</v>
      </c>
      <c r="V259" s="32" t="s">
        <v>1718</v>
      </c>
      <c r="W259" s="37" t="s">
        <v>5028</v>
      </c>
      <c r="X259" s="32" t="s">
        <v>4522</v>
      </c>
      <c r="Y259" s="32" t="s">
        <v>1718</v>
      </c>
      <c r="Z259" s="32" t="s">
        <v>1718</v>
      </c>
      <c r="AA259" s="32" t="s">
        <v>5028</v>
      </c>
      <c r="AB259" s="32" t="s">
        <v>1718</v>
      </c>
      <c r="AC259" s="32" t="s">
        <v>1718</v>
      </c>
      <c r="AD259" s="32" t="s">
        <v>1718</v>
      </c>
      <c r="AE259" s="32" t="s">
        <v>1718</v>
      </c>
      <c r="AF259" s="32" t="s">
        <v>1718</v>
      </c>
      <c r="AG259" s="32" t="s">
        <v>1718</v>
      </c>
      <c r="AH259" s="32" t="s">
        <v>2107</v>
      </c>
      <c r="AI259" s="14" t="s">
        <v>1552</v>
      </c>
      <c r="AJ259" s="14" t="s">
        <v>1180</v>
      </c>
      <c r="AK259" s="14" t="s">
        <v>965</v>
      </c>
      <c r="AL259" s="14">
        <v>16717925</v>
      </c>
      <c r="AM259" t="s">
        <v>1718</v>
      </c>
      <c r="AN259" t="s">
        <v>1718</v>
      </c>
      <c r="AO259" t="s">
        <v>1718</v>
      </c>
      <c r="AP259" t="s">
        <v>1718</v>
      </c>
      <c r="AQ259" t="s">
        <v>1718</v>
      </c>
      <c r="AR259" t="s">
        <v>1718</v>
      </c>
      <c r="AS259" t="s">
        <v>1718</v>
      </c>
      <c r="AT259" t="s">
        <v>1718</v>
      </c>
      <c r="AU259" t="s">
        <v>1718</v>
      </c>
      <c r="AV259" t="str">
        <f>VLOOKUP(D259,DATA_SISTEMA!$A$1:$Q$506,12,FALSE)</f>
        <v>PIMENTEL</v>
      </c>
      <c r="AW259" t="str">
        <f>VLOOKUP(D259,DATA_SISTEMA!$A$1:$Q$506,11,FALSE)</f>
        <v>CHICLAYO</v>
      </c>
      <c r="AX259" t="str">
        <f>VLOOKUP(D259,DATA_SISTEMA!$A$1:$Q$506,10,FALSE)</f>
        <v>LAMBAYEQUE</v>
      </c>
      <c r="AY259" t="s">
        <v>1718</v>
      </c>
      <c r="AZ259" t="s">
        <v>5028</v>
      </c>
      <c r="BA259" t="s">
        <v>1718</v>
      </c>
      <c r="BB259" t="s">
        <v>5028</v>
      </c>
      <c r="BC259" t="s">
        <v>1718</v>
      </c>
      <c r="BD259" t="s">
        <v>5028</v>
      </c>
      <c r="BE259" t="s">
        <v>1718</v>
      </c>
      <c r="BF259" s="34" t="s">
        <v>2104</v>
      </c>
      <c r="BG259" s="14">
        <v>66</v>
      </c>
    </row>
    <row r="260" spans="1:59" x14ac:dyDescent="0.25">
      <c r="A260" s="4">
        <v>259</v>
      </c>
      <c r="B260" s="33" t="s">
        <v>1719</v>
      </c>
      <c r="C260" s="14" t="s">
        <v>1978</v>
      </c>
      <c r="D260" s="46" t="s">
        <v>4780</v>
      </c>
      <c r="E260" s="14" t="s">
        <v>396</v>
      </c>
      <c r="F260" s="36" t="s">
        <v>1718</v>
      </c>
      <c r="G260" s="14">
        <v>983896674</v>
      </c>
      <c r="H260" t="str">
        <f>VLOOKUP(D260,DATA_SISTEMA!$A$1:$Q$506,13,FALSE)</f>
        <v>JHON F KENNEDY #340 - P.J SAN MARTIN</v>
      </c>
      <c r="I260" t="str">
        <f>VLOOKUP(D260,DATA_SISTEMA!$A$1:$Q$506,7,FALSE)</f>
        <v>2000-02-21</v>
      </c>
      <c r="J260" s="32" t="s">
        <v>1718</v>
      </c>
      <c r="K260" s="32" t="s">
        <v>1718</v>
      </c>
      <c r="L260" s="32" t="s">
        <v>1718</v>
      </c>
      <c r="M260">
        <v>317</v>
      </c>
      <c r="N260">
        <v>0</v>
      </c>
      <c r="O260" s="32" t="str">
        <f t="shared" si="4"/>
        <v>2590020261X</v>
      </c>
      <c r="P260" s="32" t="s">
        <v>1718</v>
      </c>
      <c r="Q260" s="32" t="s">
        <v>1718</v>
      </c>
      <c r="R260" s="32" t="s">
        <v>2110</v>
      </c>
      <c r="S260" s="32" t="s">
        <v>5033</v>
      </c>
      <c r="T260" t="str">
        <f>VLOOKUP(D260,DATA_SISTEMA!$A$1:$Q$506,9,FALSE)</f>
        <v>F</v>
      </c>
      <c r="U260" s="32" t="s">
        <v>2106</v>
      </c>
      <c r="V260" s="32" t="s">
        <v>1718</v>
      </c>
      <c r="W260" s="37" t="s">
        <v>5028</v>
      </c>
      <c r="X260" s="32" t="s">
        <v>4522</v>
      </c>
      <c r="Y260" s="32" t="s">
        <v>1718</v>
      </c>
      <c r="Z260" s="32" t="s">
        <v>1718</v>
      </c>
      <c r="AA260" s="32" t="s">
        <v>5028</v>
      </c>
      <c r="AB260" s="32" t="s">
        <v>1718</v>
      </c>
      <c r="AC260" s="32" t="s">
        <v>1718</v>
      </c>
      <c r="AD260" s="32" t="s">
        <v>1718</v>
      </c>
      <c r="AE260" s="32" t="s">
        <v>1718</v>
      </c>
      <c r="AF260" s="32" t="s">
        <v>1718</v>
      </c>
      <c r="AG260" s="32" t="s">
        <v>1718</v>
      </c>
      <c r="AH260" s="32" t="s">
        <v>2107</v>
      </c>
      <c r="AI260" s="14" t="s">
        <v>1443</v>
      </c>
      <c r="AJ260" s="14" t="s">
        <v>1181</v>
      </c>
      <c r="AK260" s="14" t="s">
        <v>933</v>
      </c>
      <c r="AL260" s="14">
        <v>70072077</v>
      </c>
      <c r="AM260" t="s">
        <v>1718</v>
      </c>
      <c r="AN260" t="s">
        <v>1718</v>
      </c>
      <c r="AO260" t="s">
        <v>1718</v>
      </c>
      <c r="AP260" t="s">
        <v>1718</v>
      </c>
      <c r="AQ260" t="s">
        <v>1718</v>
      </c>
      <c r="AR260" t="s">
        <v>1718</v>
      </c>
      <c r="AS260" t="s">
        <v>1718</v>
      </c>
      <c r="AT260" t="s">
        <v>1718</v>
      </c>
      <c r="AU260" t="s">
        <v>1718</v>
      </c>
      <c r="AV260" t="str">
        <f>VLOOKUP(D260,DATA_SISTEMA!$A$1:$Q$506,12,FALSE)</f>
        <v>LAMBAYEQUE</v>
      </c>
      <c r="AW260" t="str">
        <f>VLOOKUP(D260,DATA_SISTEMA!$A$1:$Q$506,11,FALSE)</f>
        <v>LAMBAYEQUE</v>
      </c>
      <c r="AX260" t="str">
        <f>VLOOKUP(D260,DATA_SISTEMA!$A$1:$Q$506,10,FALSE)</f>
        <v>LAMBAYEQUE</v>
      </c>
      <c r="AY260" t="s">
        <v>1718</v>
      </c>
      <c r="AZ260" t="s">
        <v>5028</v>
      </c>
      <c r="BA260" t="s">
        <v>1718</v>
      </c>
      <c r="BB260" t="s">
        <v>5028</v>
      </c>
      <c r="BC260" t="s">
        <v>1718</v>
      </c>
      <c r="BD260" t="s">
        <v>5028</v>
      </c>
      <c r="BE260" t="s">
        <v>1718</v>
      </c>
      <c r="BF260" s="34" t="s">
        <v>2104</v>
      </c>
      <c r="BG260" s="14">
        <v>65.3</v>
      </c>
    </row>
    <row r="261" spans="1:59" x14ac:dyDescent="0.25">
      <c r="A261" s="4">
        <v>260</v>
      </c>
      <c r="B261" s="33" t="s">
        <v>1719</v>
      </c>
      <c r="C261" s="14" t="s">
        <v>1979</v>
      </c>
      <c r="D261" s="46" t="s">
        <v>4781</v>
      </c>
      <c r="E261" s="14" t="s">
        <v>398</v>
      </c>
      <c r="F261" s="36" t="s">
        <v>1718</v>
      </c>
      <c r="G261" s="14">
        <v>972287939</v>
      </c>
      <c r="H261" t="str">
        <f>VLOOKUP(D261,DATA_SISTEMA!$A$1:$Q$506,13,FALSE)</f>
        <v>PRIMERO DE JUNIO MZ. A - LT. 23</v>
      </c>
      <c r="I261" t="str">
        <f>VLOOKUP(D261,DATA_SISTEMA!$A$1:$Q$506,7,FALSE)</f>
        <v>1997-08-06</v>
      </c>
      <c r="J261" s="32" t="s">
        <v>1718</v>
      </c>
      <c r="K261" s="32" t="s">
        <v>1718</v>
      </c>
      <c r="L261" s="32" t="s">
        <v>1718</v>
      </c>
      <c r="M261">
        <v>317</v>
      </c>
      <c r="N261">
        <v>0</v>
      </c>
      <c r="O261" s="32" t="str">
        <f t="shared" si="4"/>
        <v>2600020261X</v>
      </c>
      <c r="P261" s="32" t="s">
        <v>1718</v>
      </c>
      <c r="Q261" s="32" t="s">
        <v>1718</v>
      </c>
      <c r="R261" s="32" t="s">
        <v>2110</v>
      </c>
      <c r="S261" s="32" t="s">
        <v>5033</v>
      </c>
      <c r="T261" t="str">
        <f>VLOOKUP(D261,DATA_SISTEMA!$A$1:$Q$506,9,FALSE)</f>
        <v>M</v>
      </c>
      <c r="U261" s="32" t="s">
        <v>2106</v>
      </c>
      <c r="V261" s="32" t="s">
        <v>1718</v>
      </c>
      <c r="W261" s="37" t="s">
        <v>5028</v>
      </c>
      <c r="X261" s="32" t="s">
        <v>4522</v>
      </c>
      <c r="Y261" s="32" t="s">
        <v>1718</v>
      </c>
      <c r="Z261" s="32" t="s">
        <v>1718</v>
      </c>
      <c r="AA261" s="32" t="s">
        <v>5028</v>
      </c>
      <c r="AB261" s="32" t="s">
        <v>1718</v>
      </c>
      <c r="AC261" s="32" t="s">
        <v>1718</v>
      </c>
      <c r="AD261" s="32" t="s">
        <v>1718</v>
      </c>
      <c r="AE261" s="32" t="s">
        <v>1718</v>
      </c>
      <c r="AF261" s="32" t="s">
        <v>1718</v>
      </c>
      <c r="AG261" s="32" t="s">
        <v>1718</v>
      </c>
      <c r="AH261" s="32" t="s">
        <v>2107</v>
      </c>
      <c r="AI261" s="14" t="s">
        <v>1553</v>
      </c>
      <c r="AJ261" s="14" t="s">
        <v>1061</v>
      </c>
      <c r="AK261" s="14" t="s">
        <v>1003</v>
      </c>
      <c r="AL261" s="14">
        <v>74820040</v>
      </c>
      <c r="AM261" t="s">
        <v>1718</v>
      </c>
      <c r="AN261" t="s">
        <v>1718</v>
      </c>
      <c r="AO261" t="s">
        <v>1718</v>
      </c>
      <c r="AP261" t="s">
        <v>1718</v>
      </c>
      <c r="AQ261" t="s">
        <v>1718</v>
      </c>
      <c r="AR261" t="s">
        <v>1718</v>
      </c>
      <c r="AS261" t="s">
        <v>1718</v>
      </c>
      <c r="AT261" t="s">
        <v>1718</v>
      </c>
      <c r="AU261" t="s">
        <v>1718</v>
      </c>
      <c r="AV261" t="str">
        <f>VLOOKUP(D261,DATA_SISTEMA!$A$1:$Q$506,12,FALSE)</f>
        <v>LA VICTORIA</v>
      </c>
      <c r="AW261" t="str">
        <f>VLOOKUP(D261,DATA_SISTEMA!$A$1:$Q$506,11,FALSE)</f>
        <v>CHICLAYO</v>
      </c>
      <c r="AX261" t="str">
        <f>VLOOKUP(D261,DATA_SISTEMA!$A$1:$Q$506,10,FALSE)</f>
        <v>LAMBAYEQUE</v>
      </c>
      <c r="AY261" t="s">
        <v>1718</v>
      </c>
      <c r="AZ261" t="s">
        <v>5028</v>
      </c>
      <c r="BA261" t="s">
        <v>1718</v>
      </c>
      <c r="BB261" t="s">
        <v>5028</v>
      </c>
      <c r="BC261" t="s">
        <v>1718</v>
      </c>
      <c r="BD261" t="s">
        <v>5028</v>
      </c>
      <c r="BE261" t="s">
        <v>1718</v>
      </c>
      <c r="BF261" s="34" t="s">
        <v>2104</v>
      </c>
      <c r="BG261" s="14">
        <v>65</v>
      </c>
    </row>
    <row r="262" spans="1:59" x14ac:dyDescent="0.25">
      <c r="A262" s="4">
        <v>261</v>
      </c>
      <c r="B262" s="33" t="s">
        <v>1719</v>
      </c>
      <c r="C262" s="14" t="s">
        <v>1980</v>
      </c>
      <c r="D262" s="46" t="s">
        <v>4782</v>
      </c>
      <c r="E262" s="14" t="s">
        <v>400</v>
      </c>
      <c r="F262" s="36" t="s">
        <v>1718</v>
      </c>
      <c r="G262" s="14">
        <v>969612526</v>
      </c>
      <c r="H262" t="str">
        <f>VLOOKUP(D262,DATA_SISTEMA!$A$1:$Q$506,13,FALSE)</f>
        <v>SOLF Y MURO 1677 P.J.SANTA ROSA</v>
      </c>
      <c r="I262" t="str">
        <f>VLOOKUP(D262,DATA_SISTEMA!$A$1:$Q$506,7,FALSE)</f>
        <v>1980-02-21</v>
      </c>
      <c r="J262" s="32" t="s">
        <v>1718</v>
      </c>
      <c r="K262" s="32" t="s">
        <v>1718</v>
      </c>
      <c r="L262" s="32" t="s">
        <v>1718</v>
      </c>
      <c r="M262">
        <v>317</v>
      </c>
      <c r="N262">
        <v>0</v>
      </c>
      <c r="O262" s="32" t="str">
        <f t="shared" si="4"/>
        <v>2610020261X</v>
      </c>
      <c r="P262" s="32" t="s">
        <v>1718</v>
      </c>
      <c r="Q262" s="32" t="s">
        <v>1718</v>
      </c>
      <c r="R262" s="32" t="s">
        <v>2110</v>
      </c>
      <c r="S262" s="32" t="s">
        <v>5033</v>
      </c>
      <c r="T262" t="str">
        <f>VLOOKUP(D262,DATA_SISTEMA!$A$1:$Q$506,9,FALSE)</f>
        <v>F</v>
      </c>
      <c r="U262" s="32" t="s">
        <v>2106</v>
      </c>
      <c r="V262" s="32" t="s">
        <v>1718</v>
      </c>
      <c r="W262" s="37" t="s">
        <v>5028</v>
      </c>
      <c r="X262" s="32" t="s">
        <v>4522</v>
      </c>
      <c r="Y262" s="32" t="s">
        <v>1718</v>
      </c>
      <c r="Z262" s="32" t="s">
        <v>1718</v>
      </c>
      <c r="AA262" s="32" t="s">
        <v>5028</v>
      </c>
      <c r="AB262" s="32" t="s">
        <v>1718</v>
      </c>
      <c r="AC262" s="32" t="s">
        <v>1718</v>
      </c>
      <c r="AD262" s="32" t="s">
        <v>1718</v>
      </c>
      <c r="AE262" s="32" t="s">
        <v>1718</v>
      </c>
      <c r="AF262" s="32" t="s">
        <v>1718</v>
      </c>
      <c r="AG262" s="32" t="s">
        <v>1718</v>
      </c>
      <c r="AH262" s="32" t="s">
        <v>2107</v>
      </c>
      <c r="AI262" s="14" t="s">
        <v>1554</v>
      </c>
      <c r="AJ262" s="14" t="s">
        <v>894</v>
      </c>
      <c r="AK262" s="14" t="s">
        <v>1049</v>
      </c>
      <c r="AL262" s="14">
        <v>42822148</v>
      </c>
      <c r="AM262" t="s">
        <v>1718</v>
      </c>
      <c r="AN262" t="s">
        <v>1718</v>
      </c>
      <c r="AO262" t="s">
        <v>1718</v>
      </c>
      <c r="AP262" t="s">
        <v>1718</v>
      </c>
      <c r="AQ262" t="s">
        <v>1718</v>
      </c>
      <c r="AR262" t="s">
        <v>1718</v>
      </c>
      <c r="AS262" t="s">
        <v>1718</v>
      </c>
      <c r="AT262" t="s">
        <v>1718</v>
      </c>
      <c r="AU262" t="s">
        <v>1718</v>
      </c>
      <c r="AV262" t="str">
        <f>VLOOKUP(D262,DATA_SISTEMA!$A$1:$Q$506,12,FALSE)</f>
        <v>LAMBAYEQUE</v>
      </c>
      <c r="AW262" t="str">
        <f>VLOOKUP(D262,DATA_SISTEMA!$A$1:$Q$506,11,FALSE)</f>
        <v>LAMBAYEQUE</v>
      </c>
      <c r="AX262" t="str">
        <f>VLOOKUP(D262,DATA_SISTEMA!$A$1:$Q$506,10,FALSE)</f>
        <v>LAMBAYEQUE</v>
      </c>
      <c r="AY262" t="s">
        <v>1718</v>
      </c>
      <c r="AZ262" t="s">
        <v>5028</v>
      </c>
      <c r="BA262" t="s">
        <v>1718</v>
      </c>
      <c r="BB262" t="s">
        <v>5028</v>
      </c>
      <c r="BC262" t="s">
        <v>1718</v>
      </c>
      <c r="BD262" t="s">
        <v>5028</v>
      </c>
      <c r="BE262" t="s">
        <v>1718</v>
      </c>
      <c r="BF262" s="34" t="s">
        <v>2104</v>
      </c>
      <c r="BG262" s="14">
        <v>62.9</v>
      </c>
    </row>
    <row r="263" spans="1:59" x14ac:dyDescent="0.25">
      <c r="A263" s="4">
        <v>262</v>
      </c>
      <c r="B263" s="33" t="s">
        <v>1719</v>
      </c>
      <c r="C263" s="14" t="s">
        <v>1981</v>
      </c>
      <c r="D263" s="46" t="s">
        <v>4783</v>
      </c>
      <c r="E263" s="14" t="s">
        <v>402</v>
      </c>
      <c r="F263" s="36" t="s">
        <v>1718</v>
      </c>
      <c r="G263" s="14">
        <v>968076806</v>
      </c>
      <c r="H263" t="str">
        <f>VLOOKUP(D263,DATA_SISTEMA!$A$1:$Q$506,13,FALSE)</f>
        <v>MZ A LT. 8 URB. ALAMEDA REAL - LAMBAYEQUE</v>
      </c>
      <c r="I263" t="str">
        <f>VLOOKUP(D263,DATA_SISTEMA!$A$1:$Q$506,7,FALSE)</f>
        <v>1992-05-17</v>
      </c>
      <c r="J263" s="32" t="s">
        <v>1718</v>
      </c>
      <c r="K263" s="32" t="s">
        <v>1718</v>
      </c>
      <c r="L263" s="32" t="s">
        <v>1718</v>
      </c>
      <c r="M263">
        <v>317</v>
      </c>
      <c r="N263">
        <v>0</v>
      </c>
      <c r="O263" s="32" t="str">
        <f t="shared" si="4"/>
        <v>2620020261X</v>
      </c>
      <c r="P263" s="32" t="s">
        <v>1718</v>
      </c>
      <c r="Q263" s="32" t="s">
        <v>1718</v>
      </c>
      <c r="R263" s="32" t="s">
        <v>2110</v>
      </c>
      <c r="S263" s="32" t="s">
        <v>5033</v>
      </c>
      <c r="T263" t="str">
        <f>VLOOKUP(D263,DATA_SISTEMA!$A$1:$Q$506,9,FALSE)</f>
        <v>F</v>
      </c>
      <c r="U263" s="32" t="s">
        <v>2106</v>
      </c>
      <c r="V263" s="32" t="s">
        <v>1718</v>
      </c>
      <c r="W263" s="37" t="s">
        <v>5028</v>
      </c>
      <c r="X263" s="32" t="s">
        <v>4522</v>
      </c>
      <c r="Y263" s="32" t="s">
        <v>1718</v>
      </c>
      <c r="Z263" s="32" t="s">
        <v>1718</v>
      </c>
      <c r="AA263" s="32" t="s">
        <v>5028</v>
      </c>
      <c r="AB263" s="32" t="s">
        <v>1718</v>
      </c>
      <c r="AC263" s="32" t="s">
        <v>1718</v>
      </c>
      <c r="AD263" s="32" t="s">
        <v>1718</v>
      </c>
      <c r="AE263" s="32" t="s">
        <v>1718</v>
      </c>
      <c r="AF263" s="32" t="s">
        <v>1718</v>
      </c>
      <c r="AG263" s="32" t="s">
        <v>1718</v>
      </c>
      <c r="AH263" s="32" t="s">
        <v>2107</v>
      </c>
      <c r="AI263" s="14" t="s">
        <v>1555</v>
      </c>
      <c r="AJ263" s="14" t="s">
        <v>908</v>
      </c>
      <c r="AK263" s="14" t="s">
        <v>1182</v>
      </c>
      <c r="AL263" s="14">
        <v>47466869</v>
      </c>
      <c r="AM263" t="s">
        <v>1718</v>
      </c>
      <c r="AN263" t="s">
        <v>1718</v>
      </c>
      <c r="AO263" t="s">
        <v>1718</v>
      </c>
      <c r="AP263" t="s">
        <v>1718</v>
      </c>
      <c r="AQ263" t="s">
        <v>1718</v>
      </c>
      <c r="AR263" t="s">
        <v>1718</v>
      </c>
      <c r="AS263" t="s">
        <v>1718</v>
      </c>
      <c r="AT263" t="s">
        <v>1718</v>
      </c>
      <c r="AU263" t="s">
        <v>1718</v>
      </c>
      <c r="AV263" t="str">
        <f>VLOOKUP(D263,DATA_SISTEMA!$A$1:$Q$506,12,FALSE)</f>
        <v>LAMBAYEQUE</v>
      </c>
      <c r="AW263" t="str">
        <f>VLOOKUP(D263,DATA_SISTEMA!$A$1:$Q$506,11,FALSE)</f>
        <v>LAMBAYEQUE</v>
      </c>
      <c r="AX263" t="str">
        <f>VLOOKUP(D263,DATA_SISTEMA!$A$1:$Q$506,10,FALSE)</f>
        <v>LAMBAYEQUE</v>
      </c>
      <c r="AY263" t="s">
        <v>1718</v>
      </c>
      <c r="AZ263" t="s">
        <v>5028</v>
      </c>
      <c r="BA263" t="s">
        <v>1718</v>
      </c>
      <c r="BB263" t="s">
        <v>5028</v>
      </c>
      <c r="BC263" t="s">
        <v>1718</v>
      </c>
      <c r="BD263" t="s">
        <v>5028</v>
      </c>
      <c r="BE263" t="s">
        <v>1718</v>
      </c>
      <c r="BF263" s="34" t="s">
        <v>2104</v>
      </c>
      <c r="BG263" s="14">
        <v>61.3</v>
      </c>
    </row>
    <row r="264" spans="1:59" x14ac:dyDescent="0.25">
      <c r="A264" s="4">
        <v>263</v>
      </c>
      <c r="B264" s="33" t="s">
        <v>1719</v>
      </c>
      <c r="C264" s="14" t="s">
        <v>1982</v>
      </c>
      <c r="D264" s="46" t="s">
        <v>4784</v>
      </c>
      <c r="E264" s="14" t="s">
        <v>404</v>
      </c>
      <c r="F264" s="36" t="s">
        <v>1718</v>
      </c>
      <c r="G264" s="14">
        <v>949695725</v>
      </c>
      <c r="H264" t="str">
        <f>VLOOKUP(D264,DATA_SISTEMA!$A$1:$Q$506,13,FALSE)</f>
        <v>CALLE MIGEL GRAU 198</v>
      </c>
      <c r="I264" t="str">
        <f>VLOOKUP(D264,DATA_SISTEMA!$A$1:$Q$506,7,FALSE)</f>
        <v>1975-06-11</v>
      </c>
      <c r="J264" s="32" t="s">
        <v>1718</v>
      </c>
      <c r="K264" s="32" t="s">
        <v>1718</v>
      </c>
      <c r="L264" s="32" t="s">
        <v>1718</v>
      </c>
      <c r="M264">
        <v>317</v>
      </c>
      <c r="N264">
        <v>0</v>
      </c>
      <c r="O264" s="32" t="str">
        <f t="shared" si="4"/>
        <v>2630020261X</v>
      </c>
      <c r="P264" s="32" t="s">
        <v>1718</v>
      </c>
      <c r="Q264" s="32" t="s">
        <v>1718</v>
      </c>
      <c r="R264" s="32" t="s">
        <v>2110</v>
      </c>
      <c r="S264" s="32" t="s">
        <v>5033</v>
      </c>
      <c r="T264" t="str">
        <f>VLOOKUP(D264,DATA_SISTEMA!$A$1:$Q$506,9,FALSE)</f>
        <v>M</v>
      </c>
      <c r="U264" s="32" t="s">
        <v>2106</v>
      </c>
      <c r="V264" s="32" t="s">
        <v>1718</v>
      </c>
      <c r="W264" s="37" t="s">
        <v>5028</v>
      </c>
      <c r="X264" s="32" t="s">
        <v>4522</v>
      </c>
      <c r="Y264" s="32" t="s">
        <v>1718</v>
      </c>
      <c r="Z264" s="32" t="s">
        <v>1718</v>
      </c>
      <c r="AA264" s="32" t="s">
        <v>5028</v>
      </c>
      <c r="AB264" s="32" t="s">
        <v>1718</v>
      </c>
      <c r="AC264" s="32" t="s">
        <v>1718</v>
      </c>
      <c r="AD264" s="32" t="s">
        <v>1718</v>
      </c>
      <c r="AE264" s="32" t="s">
        <v>1718</v>
      </c>
      <c r="AF264" s="32" t="s">
        <v>1718</v>
      </c>
      <c r="AG264" s="32" t="s">
        <v>1718</v>
      </c>
      <c r="AH264" s="32" t="s">
        <v>2107</v>
      </c>
      <c r="AI264" s="14" t="s">
        <v>1556</v>
      </c>
      <c r="AJ264" s="14" t="s">
        <v>901</v>
      </c>
      <c r="AK264" s="14" t="s">
        <v>1053</v>
      </c>
      <c r="AL264" s="14">
        <v>26706589</v>
      </c>
      <c r="AM264" t="s">
        <v>1718</v>
      </c>
      <c r="AN264" t="s">
        <v>1718</v>
      </c>
      <c r="AO264" t="s">
        <v>1718</v>
      </c>
      <c r="AP264" t="s">
        <v>1718</v>
      </c>
      <c r="AQ264" t="s">
        <v>1718</v>
      </c>
      <c r="AR264" t="s">
        <v>1718</v>
      </c>
      <c r="AS264" t="s">
        <v>1718</v>
      </c>
      <c r="AT264" t="s">
        <v>1718</v>
      </c>
      <c r="AU264" t="s">
        <v>1718</v>
      </c>
      <c r="AV264" t="str">
        <f>VLOOKUP(D264,DATA_SISTEMA!$A$1:$Q$506,12,FALSE)</f>
        <v>LLACANORA</v>
      </c>
      <c r="AW264" t="str">
        <f>VLOOKUP(D264,DATA_SISTEMA!$A$1:$Q$506,11,FALSE)</f>
        <v>CAJAMARCA</v>
      </c>
      <c r="AX264" t="str">
        <f>VLOOKUP(D264,DATA_SISTEMA!$A$1:$Q$506,10,FALSE)</f>
        <v>CAJAMARCA</v>
      </c>
      <c r="AY264" t="s">
        <v>1718</v>
      </c>
      <c r="AZ264" t="s">
        <v>5028</v>
      </c>
      <c r="BA264" t="s">
        <v>1718</v>
      </c>
      <c r="BB264" t="s">
        <v>5028</v>
      </c>
      <c r="BC264" t="s">
        <v>1718</v>
      </c>
      <c r="BD264" t="s">
        <v>5028</v>
      </c>
      <c r="BE264" t="s">
        <v>1718</v>
      </c>
      <c r="BF264" s="34" t="s">
        <v>2104</v>
      </c>
      <c r="BG264" s="14">
        <v>58.3</v>
      </c>
    </row>
    <row r="265" spans="1:59" x14ac:dyDescent="0.25">
      <c r="A265" s="4">
        <v>264</v>
      </c>
      <c r="B265" s="33" t="s">
        <v>1719</v>
      </c>
      <c r="C265" s="14" t="s">
        <v>1983</v>
      </c>
      <c r="D265" s="46" t="s">
        <v>4785</v>
      </c>
      <c r="E265" s="14" t="s">
        <v>406</v>
      </c>
      <c r="F265" s="36" t="s">
        <v>1718</v>
      </c>
      <c r="G265" s="14">
        <v>964543139</v>
      </c>
      <c r="H265" t="str">
        <f>VLOOKUP(D265,DATA_SISTEMA!$A$1:$Q$506,13,FALSE)</f>
        <v>CALLE FILIPINAS MZ 21 LOTE 4 - URB. SANTA ROSA - LA VICTORIA</v>
      </c>
      <c r="I265" t="str">
        <f>VLOOKUP(D265,DATA_SISTEMA!$A$1:$Q$506,7,FALSE)</f>
        <v>1973-09-02</v>
      </c>
      <c r="J265" s="32" t="s">
        <v>1718</v>
      </c>
      <c r="K265" s="32" t="s">
        <v>1718</v>
      </c>
      <c r="L265" s="32" t="s">
        <v>1718</v>
      </c>
      <c r="M265">
        <v>317</v>
      </c>
      <c r="N265">
        <v>0</v>
      </c>
      <c r="O265" s="32" t="str">
        <f t="shared" si="4"/>
        <v>2640020261X</v>
      </c>
      <c r="P265" s="32" t="s">
        <v>1718</v>
      </c>
      <c r="Q265" s="32" t="s">
        <v>1718</v>
      </c>
      <c r="R265" s="32" t="s">
        <v>2110</v>
      </c>
      <c r="S265" s="32" t="s">
        <v>5033</v>
      </c>
      <c r="T265" t="str">
        <f>VLOOKUP(D265,DATA_SISTEMA!$A$1:$Q$506,9,FALSE)</f>
        <v>F</v>
      </c>
      <c r="U265" s="32" t="s">
        <v>2106</v>
      </c>
      <c r="V265" s="32" t="s">
        <v>1718</v>
      </c>
      <c r="W265" s="37" t="s">
        <v>5028</v>
      </c>
      <c r="X265" s="32" t="s">
        <v>4522</v>
      </c>
      <c r="Y265" s="32" t="s">
        <v>1718</v>
      </c>
      <c r="Z265" s="32" t="s">
        <v>1718</v>
      </c>
      <c r="AA265" s="32" t="s">
        <v>5028</v>
      </c>
      <c r="AB265" s="32" t="s">
        <v>1718</v>
      </c>
      <c r="AC265" s="32" t="s">
        <v>1718</v>
      </c>
      <c r="AD265" s="32" t="s">
        <v>1718</v>
      </c>
      <c r="AE265" s="32" t="s">
        <v>1718</v>
      </c>
      <c r="AF265" s="32" t="s">
        <v>1718</v>
      </c>
      <c r="AG265" s="32" t="s">
        <v>1718</v>
      </c>
      <c r="AH265" s="32" t="s">
        <v>2107</v>
      </c>
      <c r="AI265" s="14" t="s">
        <v>1557</v>
      </c>
      <c r="AJ265" s="14" t="s">
        <v>1183</v>
      </c>
      <c r="AK265" s="14" t="s">
        <v>1184</v>
      </c>
      <c r="AL265" s="14">
        <v>16716019</v>
      </c>
      <c r="AM265" t="s">
        <v>1718</v>
      </c>
      <c r="AN265" t="s">
        <v>1718</v>
      </c>
      <c r="AO265" t="s">
        <v>1718</v>
      </c>
      <c r="AP265" t="s">
        <v>1718</v>
      </c>
      <c r="AQ265" t="s">
        <v>1718</v>
      </c>
      <c r="AR265" t="s">
        <v>1718</v>
      </c>
      <c r="AS265" t="s">
        <v>1718</v>
      </c>
      <c r="AT265" t="s">
        <v>1718</v>
      </c>
      <c r="AU265" t="s">
        <v>1718</v>
      </c>
      <c r="AV265" t="str">
        <f>VLOOKUP(D265,DATA_SISTEMA!$A$1:$Q$506,12,FALSE)</f>
        <v>LA VICTORIA</v>
      </c>
      <c r="AW265" t="str">
        <f>VLOOKUP(D265,DATA_SISTEMA!$A$1:$Q$506,11,FALSE)</f>
        <v>CHICLAYO</v>
      </c>
      <c r="AX265" t="str">
        <f>VLOOKUP(D265,DATA_SISTEMA!$A$1:$Q$506,10,FALSE)</f>
        <v>LAMBAYEQUE</v>
      </c>
      <c r="AY265" t="s">
        <v>1718</v>
      </c>
      <c r="AZ265" t="s">
        <v>5028</v>
      </c>
      <c r="BA265" t="s">
        <v>1718</v>
      </c>
      <c r="BB265" t="s">
        <v>5028</v>
      </c>
      <c r="BC265" t="s">
        <v>1718</v>
      </c>
      <c r="BD265" t="s">
        <v>5028</v>
      </c>
      <c r="BE265" t="s">
        <v>1718</v>
      </c>
      <c r="BF265" s="34" t="s">
        <v>2104</v>
      </c>
      <c r="BG265" s="14">
        <v>56</v>
      </c>
    </row>
    <row r="266" spans="1:59" x14ac:dyDescent="0.25">
      <c r="A266" s="4">
        <v>265</v>
      </c>
      <c r="B266" s="33" t="s">
        <v>1719</v>
      </c>
      <c r="C266" s="14" t="s">
        <v>1984</v>
      </c>
      <c r="D266" s="46" t="s">
        <v>4786</v>
      </c>
      <c r="E266" s="14" t="s">
        <v>408</v>
      </c>
      <c r="F266" s="36" t="s">
        <v>1718</v>
      </c>
      <c r="G266" s="14">
        <v>923296753</v>
      </c>
      <c r="H266" t="str">
        <f>VLOOKUP(D266,DATA_SISTEMA!$A$1:$Q$506,13,FALSE)</f>
        <v>PLAYA RIMAC AV RAMON CASTILLA 404</v>
      </c>
      <c r="I266" t="str">
        <f>VLOOKUP(D266,DATA_SISTEMA!$A$1:$Q$506,7,FALSE)</f>
        <v>1983-08-26</v>
      </c>
      <c r="J266" s="32" t="s">
        <v>1718</v>
      </c>
      <c r="K266" s="32" t="s">
        <v>1718</v>
      </c>
      <c r="L266" s="32" t="s">
        <v>1718</v>
      </c>
      <c r="M266">
        <v>317</v>
      </c>
      <c r="N266">
        <v>0</v>
      </c>
      <c r="O266" s="32" t="str">
        <f t="shared" si="4"/>
        <v>2650020261X</v>
      </c>
      <c r="P266" s="32" t="s">
        <v>1718</v>
      </c>
      <c r="Q266" s="32" t="s">
        <v>1718</v>
      </c>
      <c r="R266" s="32" t="s">
        <v>2110</v>
      </c>
      <c r="S266" s="32" t="s">
        <v>5033</v>
      </c>
      <c r="T266" t="str">
        <f>VLOOKUP(D266,DATA_SISTEMA!$A$1:$Q$506,9,FALSE)</f>
        <v>F</v>
      </c>
      <c r="U266" s="32" t="s">
        <v>2106</v>
      </c>
      <c r="V266" s="32" t="s">
        <v>1718</v>
      </c>
      <c r="W266" s="37" t="s">
        <v>5028</v>
      </c>
      <c r="X266" s="32" t="s">
        <v>4522</v>
      </c>
      <c r="Y266" s="32" t="s">
        <v>1718</v>
      </c>
      <c r="Z266" s="32" t="s">
        <v>1718</v>
      </c>
      <c r="AA266" s="32" t="s">
        <v>5028</v>
      </c>
      <c r="AB266" s="32" t="s">
        <v>1718</v>
      </c>
      <c r="AC266" s="32" t="s">
        <v>1718</v>
      </c>
      <c r="AD266" s="32" t="s">
        <v>1718</v>
      </c>
      <c r="AE266" s="32" t="s">
        <v>1718</v>
      </c>
      <c r="AF266" s="32" t="s">
        <v>1718</v>
      </c>
      <c r="AG266" s="32" t="s">
        <v>1718</v>
      </c>
      <c r="AH266" s="32" t="s">
        <v>2107</v>
      </c>
      <c r="AI266" s="14" t="s">
        <v>1558</v>
      </c>
      <c r="AJ266" s="14" t="s">
        <v>1185</v>
      </c>
      <c r="AK266" s="14" t="s">
        <v>861</v>
      </c>
      <c r="AL266" s="14">
        <v>42056550</v>
      </c>
      <c r="AM266" t="s">
        <v>1718</v>
      </c>
      <c r="AN266" t="s">
        <v>1718</v>
      </c>
      <c r="AO266" t="s">
        <v>1718</v>
      </c>
      <c r="AP266" t="s">
        <v>1718</v>
      </c>
      <c r="AQ266" t="s">
        <v>1718</v>
      </c>
      <c r="AR266" t="s">
        <v>1718</v>
      </c>
      <c r="AS266" t="s">
        <v>1718</v>
      </c>
      <c r="AT266" t="s">
        <v>1718</v>
      </c>
      <c r="AU266" t="s">
        <v>1718</v>
      </c>
      <c r="AV266" t="str">
        <f>VLOOKUP(D266,DATA_SISTEMA!$A$1:$Q$506,12,FALSE)</f>
        <v>CALLAO</v>
      </c>
      <c r="AW266" t="str">
        <f>VLOOKUP(D266,DATA_SISTEMA!$A$1:$Q$506,11,FALSE)</f>
        <v>CALLAO</v>
      </c>
      <c r="AX266" t="str">
        <f>VLOOKUP(D266,DATA_SISTEMA!$A$1:$Q$506,10,FALSE)</f>
        <v>CALLAO</v>
      </c>
      <c r="AY266" t="s">
        <v>1718</v>
      </c>
      <c r="AZ266" t="s">
        <v>5028</v>
      </c>
      <c r="BA266" t="s">
        <v>1718</v>
      </c>
      <c r="BB266" t="s">
        <v>5028</v>
      </c>
      <c r="BC266" t="s">
        <v>1718</v>
      </c>
      <c r="BD266" t="s">
        <v>5028</v>
      </c>
      <c r="BE266" t="s">
        <v>1718</v>
      </c>
      <c r="BF266" s="34" t="s">
        <v>2104</v>
      </c>
      <c r="BG266" s="14">
        <v>53</v>
      </c>
    </row>
    <row r="267" spans="1:59" x14ac:dyDescent="0.25">
      <c r="A267" s="4">
        <v>266</v>
      </c>
      <c r="B267" s="33" t="s">
        <v>1719</v>
      </c>
      <c r="C267" s="14" t="s">
        <v>1985</v>
      </c>
      <c r="D267" s="46" t="s">
        <v>4787</v>
      </c>
      <c r="E267" s="14" t="s">
        <v>411</v>
      </c>
      <c r="F267" s="36" t="s">
        <v>1718</v>
      </c>
      <c r="G267" s="14">
        <v>928685358</v>
      </c>
      <c r="H267" t="str">
        <f>VLOOKUP(D267,DATA_SISTEMA!$A$1:$Q$506,13,FALSE)</f>
        <v>CALLE LOS MERMES 248 VILLA HERMOSA</v>
      </c>
      <c r="I267" t="str">
        <f>VLOOKUP(D267,DATA_SISTEMA!$A$1:$Q$506,7,FALSE)</f>
        <v>1972-08-24</v>
      </c>
      <c r="J267" s="32" t="s">
        <v>1718</v>
      </c>
      <c r="K267" s="32" t="s">
        <v>1718</v>
      </c>
      <c r="L267" s="32" t="s">
        <v>1718</v>
      </c>
      <c r="M267">
        <v>317</v>
      </c>
      <c r="N267">
        <v>0</v>
      </c>
      <c r="O267" s="32" t="str">
        <f t="shared" si="4"/>
        <v>2660020261X</v>
      </c>
      <c r="P267" s="32" t="s">
        <v>1718</v>
      </c>
      <c r="Q267" s="32" t="s">
        <v>1718</v>
      </c>
      <c r="R267" s="32" t="s">
        <v>2110</v>
      </c>
      <c r="S267" s="32" t="s">
        <v>5033</v>
      </c>
      <c r="T267" t="str">
        <f>VLOOKUP(D267,DATA_SISTEMA!$A$1:$Q$506,9,FALSE)</f>
        <v>F</v>
      </c>
      <c r="U267" s="32" t="s">
        <v>2106</v>
      </c>
      <c r="V267" s="32" t="s">
        <v>1718</v>
      </c>
      <c r="W267" s="37" t="s">
        <v>5028</v>
      </c>
      <c r="X267" s="32" t="s">
        <v>4522</v>
      </c>
      <c r="Y267" s="32" t="s">
        <v>1718</v>
      </c>
      <c r="Z267" s="32" t="s">
        <v>1718</v>
      </c>
      <c r="AA267" s="32" t="s">
        <v>5028</v>
      </c>
      <c r="AB267" s="32" t="s">
        <v>1718</v>
      </c>
      <c r="AC267" s="32" t="s">
        <v>1718</v>
      </c>
      <c r="AD267" s="32" t="s">
        <v>1718</v>
      </c>
      <c r="AE267" s="32" t="s">
        <v>1718</v>
      </c>
      <c r="AF267" s="32" t="s">
        <v>1718</v>
      </c>
      <c r="AG267" s="32" t="s">
        <v>1718</v>
      </c>
      <c r="AH267" s="32" t="s">
        <v>2107</v>
      </c>
      <c r="AI267" s="14" t="s">
        <v>1559</v>
      </c>
      <c r="AJ267" s="14" t="s">
        <v>1186</v>
      </c>
      <c r="AK267" s="14" t="s">
        <v>1187</v>
      </c>
      <c r="AL267" s="14" t="s">
        <v>409</v>
      </c>
      <c r="AM267" t="s">
        <v>1718</v>
      </c>
      <c r="AN267" t="s">
        <v>1718</v>
      </c>
      <c r="AO267" t="s">
        <v>1718</v>
      </c>
      <c r="AP267" t="s">
        <v>1718</v>
      </c>
      <c r="AQ267" t="s">
        <v>1718</v>
      </c>
      <c r="AR267" t="s">
        <v>1718</v>
      </c>
      <c r="AS267" t="s">
        <v>1718</v>
      </c>
      <c r="AT267" t="s">
        <v>1718</v>
      </c>
      <c r="AU267" t="s">
        <v>1718</v>
      </c>
      <c r="AV267" t="str">
        <f>VLOOKUP(D267,DATA_SISTEMA!$A$1:$Q$506,12,FALSE)</f>
        <v>JOSE LEONARDO ORTIZ</v>
      </c>
      <c r="AW267" t="str">
        <f>VLOOKUP(D267,DATA_SISTEMA!$A$1:$Q$506,11,FALSE)</f>
        <v>CHICLAYO</v>
      </c>
      <c r="AX267" t="str">
        <f>VLOOKUP(D267,DATA_SISTEMA!$A$1:$Q$506,10,FALSE)</f>
        <v>LAMBAYEQUE</v>
      </c>
      <c r="AY267" t="s">
        <v>1718</v>
      </c>
      <c r="AZ267" t="s">
        <v>5028</v>
      </c>
      <c r="BA267" t="s">
        <v>1718</v>
      </c>
      <c r="BB267" t="s">
        <v>5028</v>
      </c>
      <c r="BC267" t="s">
        <v>1718</v>
      </c>
      <c r="BD267" t="s">
        <v>5028</v>
      </c>
      <c r="BE267" t="s">
        <v>1718</v>
      </c>
      <c r="BF267" s="34" t="s">
        <v>2104</v>
      </c>
      <c r="BG267" s="14">
        <v>51.3</v>
      </c>
    </row>
    <row r="268" spans="1:59" x14ac:dyDescent="0.25">
      <c r="A268" s="4">
        <v>267</v>
      </c>
      <c r="B268" s="33" t="s">
        <v>1719</v>
      </c>
      <c r="C268" s="9" t="s">
        <v>1986</v>
      </c>
      <c r="D268" s="47" t="s">
        <v>4788</v>
      </c>
      <c r="E268" s="9" t="s">
        <v>8</v>
      </c>
      <c r="F268" s="36" t="s">
        <v>1718</v>
      </c>
      <c r="G268" s="9">
        <v>922210488</v>
      </c>
      <c r="H268" t="str">
        <f>VLOOKUP(D268,DATA_SISTEMA!$A$1:$Q$506,13,FALSE)</f>
        <v>AV. IMPERIO 975, LA VICTORIA, CHICLAYO, LAMBAYEQUE</v>
      </c>
      <c r="I268" t="str">
        <f>VLOOKUP(D268,DATA_SISTEMA!$A$1:$Q$506,7,FALSE)</f>
        <v>1980-04-13</v>
      </c>
      <c r="J268" s="32" t="s">
        <v>1718</v>
      </c>
      <c r="K268" s="32" t="s">
        <v>1718</v>
      </c>
      <c r="L268" s="32" t="s">
        <v>1718</v>
      </c>
      <c r="M268">
        <v>11</v>
      </c>
      <c r="N268">
        <v>0</v>
      </c>
      <c r="O268" s="32" t="str">
        <f t="shared" si="4"/>
        <v>2670020261X</v>
      </c>
      <c r="P268" s="32" t="s">
        <v>1718</v>
      </c>
      <c r="Q268" s="32" t="s">
        <v>1718</v>
      </c>
      <c r="R268" s="32" t="s">
        <v>2110</v>
      </c>
      <c r="S268" s="32" t="s">
        <v>5031</v>
      </c>
      <c r="T268" t="str">
        <f>VLOOKUP(D268,DATA_SISTEMA!$A$1:$Q$506,9,FALSE)</f>
        <v>M</v>
      </c>
      <c r="U268" s="32" t="s">
        <v>2106</v>
      </c>
      <c r="V268" s="32" t="s">
        <v>1718</v>
      </c>
      <c r="W268" s="37" t="s">
        <v>5028</v>
      </c>
      <c r="X268" s="32" t="s">
        <v>4522</v>
      </c>
      <c r="Y268" s="32" t="s">
        <v>1718</v>
      </c>
      <c r="Z268" s="32" t="s">
        <v>1718</v>
      </c>
      <c r="AA268" s="32" t="s">
        <v>5028</v>
      </c>
      <c r="AB268" s="32" t="s">
        <v>1718</v>
      </c>
      <c r="AC268" s="32" t="s">
        <v>1718</v>
      </c>
      <c r="AD268" s="32" t="s">
        <v>1718</v>
      </c>
      <c r="AE268" s="32" t="s">
        <v>1718</v>
      </c>
      <c r="AF268" s="32" t="s">
        <v>1718</v>
      </c>
      <c r="AG268" s="32" t="s">
        <v>1718</v>
      </c>
      <c r="AH268" s="32" t="s">
        <v>2107</v>
      </c>
      <c r="AI268" s="9" t="s">
        <v>1560</v>
      </c>
      <c r="AJ268" s="9" t="s">
        <v>950</v>
      </c>
      <c r="AK268" s="9" t="s">
        <v>1188</v>
      </c>
      <c r="AL268" s="9">
        <v>40564392</v>
      </c>
      <c r="AM268" t="s">
        <v>1718</v>
      </c>
      <c r="AN268" t="s">
        <v>1718</v>
      </c>
      <c r="AO268" t="s">
        <v>1718</v>
      </c>
      <c r="AP268" t="s">
        <v>1718</v>
      </c>
      <c r="AQ268" t="s">
        <v>1718</v>
      </c>
      <c r="AR268" t="s">
        <v>1718</v>
      </c>
      <c r="AS268" t="s">
        <v>1718</v>
      </c>
      <c r="AT268" t="s">
        <v>1718</v>
      </c>
      <c r="AU268" t="s">
        <v>1718</v>
      </c>
      <c r="AV268" t="str">
        <f>VLOOKUP(D268,DATA_SISTEMA!$A$1:$Q$506,12,FALSE)</f>
        <v>LA VICTORIA</v>
      </c>
      <c r="AW268" t="str">
        <f>VLOOKUP(D268,DATA_SISTEMA!$A$1:$Q$506,11,FALSE)</f>
        <v>CHICLAYO</v>
      </c>
      <c r="AX268" t="str">
        <f>VLOOKUP(D268,DATA_SISTEMA!$A$1:$Q$506,10,FALSE)</f>
        <v>LAMBAYEQUE</v>
      </c>
      <c r="AY268" t="s">
        <v>1718</v>
      </c>
      <c r="AZ268" t="s">
        <v>5028</v>
      </c>
      <c r="BA268" t="s">
        <v>1718</v>
      </c>
      <c r="BB268" t="s">
        <v>5028</v>
      </c>
      <c r="BC268" t="s">
        <v>1718</v>
      </c>
      <c r="BD268" t="s">
        <v>5028</v>
      </c>
      <c r="BE268" t="s">
        <v>1718</v>
      </c>
      <c r="BF268" s="34" t="s">
        <v>2104</v>
      </c>
      <c r="BG268" s="9">
        <v>84.5</v>
      </c>
    </row>
    <row r="269" spans="1:59" x14ac:dyDescent="0.25">
      <c r="A269" s="4">
        <v>268</v>
      </c>
      <c r="B269" s="33" t="s">
        <v>1719</v>
      </c>
      <c r="C269" s="9" t="s">
        <v>1987</v>
      </c>
      <c r="D269" s="47" t="s">
        <v>4789</v>
      </c>
      <c r="E269" s="9" t="s">
        <v>13</v>
      </c>
      <c r="F269" s="36" t="s">
        <v>1718</v>
      </c>
      <c r="G269" s="9">
        <v>965197190</v>
      </c>
      <c r="H269" t="str">
        <f>VLOOKUP(D269,DATA_SISTEMA!$A$1:$Q$506,13,FALSE)</f>
        <v>JR. AYACUCHO 1312, JOSÉ LEONARDO ORTÍZ</v>
      </c>
      <c r="I269" t="str">
        <f>VLOOKUP(D269,DATA_SISTEMA!$A$1:$Q$506,7,FALSE)</f>
        <v>1968-06-30</v>
      </c>
      <c r="J269" s="32" t="s">
        <v>1718</v>
      </c>
      <c r="K269" s="32" t="s">
        <v>1718</v>
      </c>
      <c r="L269" s="32" t="s">
        <v>1718</v>
      </c>
      <c r="M269">
        <v>11</v>
      </c>
      <c r="N269">
        <v>0</v>
      </c>
      <c r="O269" s="32" t="str">
        <f t="shared" si="4"/>
        <v>2680020261X</v>
      </c>
      <c r="P269" s="32" t="s">
        <v>1718</v>
      </c>
      <c r="Q269" s="32" t="s">
        <v>1718</v>
      </c>
      <c r="R269" s="32" t="s">
        <v>2110</v>
      </c>
      <c r="S269" s="32" t="s">
        <v>5031</v>
      </c>
      <c r="T269" t="str">
        <f>VLOOKUP(D269,DATA_SISTEMA!$A$1:$Q$506,9,FALSE)</f>
        <v>M</v>
      </c>
      <c r="U269" s="32" t="s">
        <v>2106</v>
      </c>
      <c r="V269" s="32" t="s">
        <v>1718</v>
      </c>
      <c r="W269" s="37" t="s">
        <v>5028</v>
      </c>
      <c r="X269" s="32" t="s">
        <v>4522</v>
      </c>
      <c r="Y269" s="32" t="s">
        <v>1718</v>
      </c>
      <c r="Z269" s="32" t="s">
        <v>1718</v>
      </c>
      <c r="AA269" s="32" t="s">
        <v>5028</v>
      </c>
      <c r="AB269" s="32" t="s">
        <v>1718</v>
      </c>
      <c r="AC269" s="32" t="s">
        <v>1718</v>
      </c>
      <c r="AD269" s="32" t="s">
        <v>1718</v>
      </c>
      <c r="AE269" s="32" t="s">
        <v>1718</v>
      </c>
      <c r="AF269" s="32" t="s">
        <v>1718</v>
      </c>
      <c r="AG269" s="32" t="s">
        <v>1718</v>
      </c>
      <c r="AH269" s="32" t="s">
        <v>2107</v>
      </c>
      <c r="AI269" s="9" t="s">
        <v>1561</v>
      </c>
      <c r="AJ269" s="9" t="s">
        <v>1189</v>
      </c>
      <c r="AK269" s="9" t="s">
        <v>1190</v>
      </c>
      <c r="AL269" s="9">
        <v>16676613</v>
      </c>
      <c r="AM269" t="s">
        <v>1718</v>
      </c>
      <c r="AN269" t="s">
        <v>1718</v>
      </c>
      <c r="AO269" t="s">
        <v>1718</v>
      </c>
      <c r="AP269" t="s">
        <v>1718</v>
      </c>
      <c r="AQ269" t="s">
        <v>1718</v>
      </c>
      <c r="AR269" t="s">
        <v>1718</v>
      </c>
      <c r="AS269" t="s">
        <v>1718</v>
      </c>
      <c r="AT269" t="s">
        <v>1718</v>
      </c>
      <c r="AU269" t="s">
        <v>1718</v>
      </c>
      <c r="AV269" t="str">
        <f>VLOOKUP(D269,DATA_SISTEMA!$A$1:$Q$506,12,FALSE)</f>
        <v>JOSE LEONARDO ORTIZ</v>
      </c>
      <c r="AW269" t="str">
        <f>VLOOKUP(D269,DATA_SISTEMA!$A$1:$Q$506,11,FALSE)</f>
        <v>CHICLAYO</v>
      </c>
      <c r="AX269" t="str">
        <f>VLOOKUP(D269,DATA_SISTEMA!$A$1:$Q$506,10,FALSE)</f>
        <v>LAMBAYEQUE</v>
      </c>
      <c r="AY269" t="s">
        <v>1718</v>
      </c>
      <c r="AZ269" t="s">
        <v>5028</v>
      </c>
      <c r="BA269" t="s">
        <v>1718</v>
      </c>
      <c r="BB269" t="s">
        <v>5028</v>
      </c>
      <c r="BC269" t="s">
        <v>1718</v>
      </c>
      <c r="BD269" t="s">
        <v>5028</v>
      </c>
      <c r="BE269" t="s">
        <v>1718</v>
      </c>
      <c r="BF269" s="34" t="s">
        <v>2104</v>
      </c>
      <c r="BG269" s="9">
        <v>83</v>
      </c>
    </row>
    <row r="270" spans="1:59" x14ac:dyDescent="0.25">
      <c r="A270" s="4">
        <v>269</v>
      </c>
      <c r="B270" s="33" t="s">
        <v>1719</v>
      </c>
      <c r="C270" s="9" t="s">
        <v>1988</v>
      </c>
      <c r="D270" s="47" t="s">
        <v>4790</v>
      </c>
      <c r="E270" s="9" t="s">
        <v>15</v>
      </c>
      <c r="F270" s="36" t="s">
        <v>1718</v>
      </c>
      <c r="G270" s="9">
        <v>951538062</v>
      </c>
      <c r="H270" t="str">
        <f>VLOOKUP(D270,DATA_SISTEMA!$A$1:$Q$506,13,FALSE)</f>
        <v>MZ. E LOTE 18 URB. CRUZ DE CHALPÓN</v>
      </c>
      <c r="I270" t="str">
        <f>VLOOKUP(D270,DATA_SISTEMA!$A$1:$Q$506,7,FALSE)</f>
        <v>1988-02-21</v>
      </c>
      <c r="J270" s="32" t="s">
        <v>1718</v>
      </c>
      <c r="K270" s="32" t="s">
        <v>1718</v>
      </c>
      <c r="L270" s="32" t="s">
        <v>1718</v>
      </c>
      <c r="M270">
        <v>11</v>
      </c>
      <c r="N270">
        <v>0</v>
      </c>
      <c r="O270" s="32" t="str">
        <f t="shared" si="4"/>
        <v>2690020261X</v>
      </c>
      <c r="P270" s="32" t="s">
        <v>1718</v>
      </c>
      <c r="Q270" s="32" t="s">
        <v>1718</v>
      </c>
      <c r="R270" s="32" t="s">
        <v>2110</v>
      </c>
      <c r="S270" s="32" t="s">
        <v>5031</v>
      </c>
      <c r="T270" t="str">
        <f>VLOOKUP(D270,DATA_SISTEMA!$A$1:$Q$506,9,FALSE)</f>
        <v>M</v>
      </c>
      <c r="U270" s="32" t="s">
        <v>2106</v>
      </c>
      <c r="V270" s="32" t="s">
        <v>1718</v>
      </c>
      <c r="W270" s="37" t="s">
        <v>5028</v>
      </c>
      <c r="X270" s="32" t="s">
        <v>4522</v>
      </c>
      <c r="Y270" s="32" t="s">
        <v>1718</v>
      </c>
      <c r="Z270" s="32" t="s">
        <v>1718</v>
      </c>
      <c r="AA270" s="32" t="s">
        <v>5028</v>
      </c>
      <c r="AB270" s="32" t="s">
        <v>1718</v>
      </c>
      <c r="AC270" s="32" t="s">
        <v>1718</v>
      </c>
      <c r="AD270" s="32" t="s">
        <v>1718</v>
      </c>
      <c r="AE270" s="32" t="s">
        <v>1718</v>
      </c>
      <c r="AF270" s="32" t="s">
        <v>1718</v>
      </c>
      <c r="AG270" s="32" t="s">
        <v>1718</v>
      </c>
      <c r="AH270" s="32" t="s">
        <v>2107</v>
      </c>
      <c r="AI270" s="9" t="s">
        <v>1374</v>
      </c>
      <c r="AJ270" s="9" t="s">
        <v>861</v>
      </c>
      <c r="AK270" s="9" t="s">
        <v>1191</v>
      </c>
      <c r="AL270" s="9">
        <v>70060478</v>
      </c>
      <c r="AM270" t="s">
        <v>1718</v>
      </c>
      <c r="AN270" t="s">
        <v>1718</v>
      </c>
      <c r="AO270" t="s">
        <v>1718</v>
      </c>
      <c r="AP270" t="s">
        <v>1718</v>
      </c>
      <c r="AQ270" t="s">
        <v>1718</v>
      </c>
      <c r="AR270" t="s">
        <v>1718</v>
      </c>
      <c r="AS270" t="s">
        <v>1718</v>
      </c>
      <c r="AT270" t="s">
        <v>1718</v>
      </c>
      <c r="AU270" t="s">
        <v>1718</v>
      </c>
      <c r="AV270" t="str">
        <f>VLOOKUP(D270,DATA_SISTEMA!$A$1:$Q$506,12,FALSE)</f>
        <v>CHICLAYO</v>
      </c>
      <c r="AW270" t="str">
        <f>VLOOKUP(D270,DATA_SISTEMA!$A$1:$Q$506,11,FALSE)</f>
        <v>CHICLAYO</v>
      </c>
      <c r="AX270" t="str">
        <f>VLOOKUP(D270,DATA_SISTEMA!$A$1:$Q$506,10,FALSE)</f>
        <v>LAMBAYEQUE</v>
      </c>
      <c r="AY270" t="s">
        <v>1718</v>
      </c>
      <c r="AZ270" t="s">
        <v>5028</v>
      </c>
      <c r="BA270" t="s">
        <v>1718</v>
      </c>
      <c r="BB270" t="s">
        <v>5028</v>
      </c>
      <c r="BC270" t="s">
        <v>1718</v>
      </c>
      <c r="BD270" t="s">
        <v>5028</v>
      </c>
      <c r="BE270" t="s">
        <v>1718</v>
      </c>
      <c r="BF270" s="34" t="s">
        <v>2104</v>
      </c>
      <c r="BG270" s="9">
        <v>82</v>
      </c>
    </row>
    <row r="271" spans="1:59" x14ac:dyDescent="0.25">
      <c r="A271" s="4">
        <v>270</v>
      </c>
      <c r="B271" s="33" t="s">
        <v>1719</v>
      </c>
      <c r="C271" s="9" t="s">
        <v>1989</v>
      </c>
      <c r="D271" s="47" t="s">
        <v>4791</v>
      </c>
      <c r="E271" s="9" t="s">
        <v>17</v>
      </c>
      <c r="F271" s="36" t="s">
        <v>1718</v>
      </c>
      <c r="G271" s="9">
        <v>979618370</v>
      </c>
      <c r="H271" t="str">
        <f>VLOOKUP(D271,DATA_SISTEMA!$A$1:$Q$506,13,FALSE)</f>
        <v>AV.LORA Y LORA # 1056</v>
      </c>
      <c r="I271" t="str">
        <f>VLOOKUP(D271,DATA_SISTEMA!$A$1:$Q$506,7,FALSE)</f>
        <v>1967-11-27</v>
      </c>
      <c r="J271" s="32" t="s">
        <v>1718</v>
      </c>
      <c r="K271" s="32" t="s">
        <v>1718</v>
      </c>
      <c r="L271" s="32" t="s">
        <v>1718</v>
      </c>
      <c r="M271">
        <v>11</v>
      </c>
      <c r="N271">
        <v>0</v>
      </c>
      <c r="O271" s="32" t="str">
        <f t="shared" si="4"/>
        <v>2700020261X</v>
      </c>
      <c r="P271" s="32" t="s">
        <v>1718</v>
      </c>
      <c r="Q271" s="32" t="s">
        <v>1718</v>
      </c>
      <c r="R271" s="32" t="s">
        <v>2110</v>
      </c>
      <c r="S271" s="32" t="s">
        <v>5031</v>
      </c>
      <c r="T271" t="str">
        <f>VLOOKUP(D271,DATA_SISTEMA!$A$1:$Q$506,9,FALSE)</f>
        <v>F</v>
      </c>
      <c r="U271" s="32" t="s">
        <v>2106</v>
      </c>
      <c r="V271" s="32" t="s">
        <v>1718</v>
      </c>
      <c r="W271" s="37" t="s">
        <v>5028</v>
      </c>
      <c r="X271" s="32" t="s">
        <v>4522</v>
      </c>
      <c r="Y271" s="32" t="s">
        <v>1718</v>
      </c>
      <c r="Z271" s="32" t="s">
        <v>1718</v>
      </c>
      <c r="AA271" s="32" t="s">
        <v>5028</v>
      </c>
      <c r="AB271" s="32" t="s">
        <v>1718</v>
      </c>
      <c r="AC271" s="32" t="s">
        <v>1718</v>
      </c>
      <c r="AD271" s="32" t="s">
        <v>1718</v>
      </c>
      <c r="AE271" s="32" t="s">
        <v>1718</v>
      </c>
      <c r="AF271" s="32" t="s">
        <v>1718</v>
      </c>
      <c r="AG271" s="32" t="s">
        <v>1718</v>
      </c>
      <c r="AH271" s="32" t="s">
        <v>2107</v>
      </c>
      <c r="AI271" s="9" t="s">
        <v>1562</v>
      </c>
      <c r="AJ271" s="9" t="s">
        <v>1192</v>
      </c>
      <c r="AK271" s="9" t="s">
        <v>1193</v>
      </c>
      <c r="AL271" s="9">
        <v>16656814</v>
      </c>
      <c r="AM271" t="s">
        <v>1718</v>
      </c>
      <c r="AN271" t="s">
        <v>1718</v>
      </c>
      <c r="AO271" t="s">
        <v>1718</v>
      </c>
      <c r="AP271" t="s">
        <v>1718</v>
      </c>
      <c r="AQ271" t="s">
        <v>1718</v>
      </c>
      <c r="AR271" t="s">
        <v>1718</v>
      </c>
      <c r="AS271" t="s">
        <v>1718</v>
      </c>
      <c r="AT271" t="s">
        <v>1718</v>
      </c>
      <c r="AU271" t="s">
        <v>1718</v>
      </c>
      <c r="AV271" t="str">
        <f>VLOOKUP(D271,DATA_SISTEMA!$A$1:$Q$506,12,FALSE)</f>
        <v>CHICLAYO</v>
      </c>
      <c r="AW271" t="str">
        <f>VLOOKUP(D271,DATA_SISTEMA!$A$1:$Q$506,11,FALSE)</f>
        <v>CHICLAYO</v>
      </c>
      <c r="AX271" t="str">
        <f>VLOOKUP(D271,DATA_SISTEMA!$A$1:$Q$506,10,FALSE)</f>
        <v>LAMBAYEQUE</v>
      </c>
      <c r="AY271" t="s">
        <v>1718</v>
      </c>
      <c r="AZ271" t="s">
        <v>5028</v>
      </c>
      <c r="BA271" t="s">
        <v>1718</v>
      </c>
      <c r="BB271" t="s">
        <v>5028</v>
      </c>
      <c r="BC271" t="s">
        <v>1718</v>
      </c>
      <c r="BD271" t="s">
        <v>5028</v>
      </c>
      <c r="BE271" t="s">
        <v>1718</v>
      </c>
      <c r="BF271" s="34" t="s">
        <v>2104</v>
      </c>
      <c r="BG271" s="9">
        <v>81</v>
      </c>
    </row>
    <row r="272" spans="1:59" x14ac:dyDescent="0.25">
      <c r="A272" s="4">
        <v>271</v>
      </c>
      <c r="B272" s="33" t="s">
        <v>1719</v>
      </c>
      <c r="C272" s="9" t="s">
        <v>1990</v>
      </c>
      <c r="D272" s="47" t="s">
        <v>4792</v>
      </c>
      <c r="E272" s="9" t="s">
        <v>19</v>
      </c>
      <c r="F272" s="36" t="s">
        <v>1718</v>
      </c>
      <c r="G272" s="9">
        <v>943855088</v>
      </c>
      <c r="H272" t="str">
        <f>VLOOKUP(D272,DATA_SISTEMA!$A$1:$Q$506,13,FALSE)</f>
        <v>CALLE JUAN MANUEL ITURREGUI 470- URB. CHICLAYO</v>
      </c>
      <c r="I272" t="str">
        <f>VLOOKUP(D272,DATA_SISTEMA!$A$1:$Q$506,7,FALSE)</f>
        <v>1957-06-09</v>
      </c>
      <c r="J272" s="32" t="s">
        <v>1718</v>
      </c>
      <c r="K272" s="32" t="s">
        <v>1718</v>
      </c>
      <c r="L272" s="32" t="s">
        <v>1718</v>
      </c>
      <c r="M272">
        <v>11</v>
      </c>
      <c r="N272">
        <v>0</v>
      </c>
      <c r="O272" s="32" t="str">
        <f t="shared" si="4"/>
        <v>2710020261X</v>
      </c>
      <c r="P272" s="32" t="s">
        <v>1718</v>
      </c>
      <c r="Q272" s="32" t="s">
        <v>1718</v>
      </c>
      <c r="R272" s="32" t="s">
        <v>2110</v>
      </c>
      <c r="S272" s="32" t="s">
        <v>5031</v>
      </c>
      <c r="T272" t="str">
        <f>VLOOKUP(D272,DATA_SISTEMA!$A$1:$Q$506,9,FALSE)</f>
        <v>M</v>
      </c>
      <c r="U272" s="32" t="s">
        <v>2106</v>
      </c>
      <c r="V272" s="32" t="s">
        <v>1718</v>
      </c>
      <c r="W272" s="37" t="s">
        <v>5028</v>
      </c>
      <c r="X272" s="32" t="s">
        <v>4522</v>
      </c>
      <c r="Y272" s="32" t="s">
        <v>1718</v>
      </c>
      <c r="Z272" s="32" t="s">
        <v>1718</v>
      </c>
      <c r="AA272" s="32" t="s">
        <v>5028</v>
      </c>
      <c r="AB272" s="32" t="s">
        <v>1718</v>
      </c>
      <c r="AC272" s="32" t="s">
        <v>1718</v>
      </c>
      <c r="AD272" s="32" t="s">
        <v>1718</v>
      </c>
      <c r="AE272" s="32" t="s">
        <v>1718</v>
      </c>
      <c r="AF272" s="32" t="s">
        <v>1718</v>
      </c>
      <c r="AG272" s="32" t="s">
        <v>1718</v>
      </c>
      <c r="AH272" s="32" t="s">
        <v>2107</v>
      </c>
      <c r="AI272" s="9" t="s">
        <v>1563</v>
      </c>
      <c r="AJ272" s="9" t="s">
        <v>1194</v>
      </c>
      <c r="AK272" s="9" t="s">
        <v>1195</v>
      </c>
      <c r="AL272" s="9">
        <v>16719569</v>
      </c>
      <c r="AM272" t="s">
        <v>1718</v>
      </c>
      <c r="AN272" t="s">
        <v>1718</v>
      </c>
      <c r="AO272" t="s">
        <v>1718</v>
      </c>
      <c r="AP272" t="s">
        <v>1718</v>
      </c>
      <c r="AQ272" t="s">
        <v>1718</v>
      </c>
      <c r="AR272" t="s">
        <v>1718</v>
      </c>
      <c r="AS272" t="s">
        <v>1718</v>
      </c>
      <c r="AT272" t="s">
        <v>1718</v>
      </c>
      <c r="AU272" t="s">
        <v>1718</v>
      </c>
      <c r="AV272" t="str">
        <f>VLOOKUP(D272,DATA_SISTEMA!$A$1:$Q$506,12,FALSE)</f>
        <v>CHICLAYO</v>
      </c>
      <c r="AW272" t="str">
        <f>VLOOKUP(D272,DATA_SISTEMA!$A$1:$Q$506,11,FALSE)</f>
        <v>CHICLAYO</v>
      </c>
      <c r="AX272" t="str">
        <f>VLOOKUP(D272,DATA_SISTEMA!$A$1:$Q$506,10,FALSE)</f>
        <v>LAMBAYEQUE</v>
      </c>
      <c r="AY272" t="s">
        <v>1718</v>
      </c>
      <c r="AZ272" t="s">
        <v>5028</v>
      </c>
      <c r="BA272" t="s">
        <v>1718</v>
      </c>
      <c r="BB272" t="s">
        <v>5028</v>
      </c>
      <c r="BC272" t="s">
        <v>1718</v>
      </c>
      <c r="BD272" t="s">
        <v>5028</v>
      </c>
      <c r="BE272" t="s">
        <v>1718</v>
      </c>
      <c r="BF272" s="34" t="s">
        <v>2104</v>
      </c>
      <c r="BG272" s="9">
        <v>80.8</v>
      </c>
    </row>
    <row r="273" spans="1:59" x14ac:dyDescent="0.25">
      <c r="A273" s="4">
        <v>272</v>
      </c>
      <c r="B273" s="33" t="s">
        <v>1719</v>
      </c>
      <c r="C273" s="9" t="s">
        <v>1991</v>
      </c>
      <c r="D273" s="47" t="s">
        <v>4793</v>
      </c>
      <c r="E273" s="9" t="s">
        <v>21</v>
      </c>
      <c r="F273" s="36" t="s">
        <v>1718</v>
      </c>
      <c r="G273" s="9">
        <v>949529017</v>
      </c>
      <c r="H273" t="str">
        <f>VLOOKUP(D273,DATA_SISTEMA!$A$1:$Q$506,13,FALSE)</f>
        <v>CALLE MANUEL SEOANE S/N</v>
      </c>
      <c r="I273" t="str">
        <f>VLOOKUP(D273,DATA_SISTEMA!$A$1:$Q$506,7,FALSE)</f>
        <v>1989-04-09</v>
      </c>
      <c r="J273" s="32" t="s">
        <v>1718</v>
      </c>
      <c r="K273" s="32" t="s">
        <v>1718</v>
      </c>
      <c r="L273" s="32" t="s">
        <v>1718</v>
      </c>
      <c r="M273">
        <v>11</v>
      </c>
      <c r="N273">
        <v>0</v>
      </c>
      <c r="O273" s="32" t="str">
        <f t="shared" si="4"/>
        <v>2720020261X</v>
      </c>
      <c r="P273" s="32" t="s">
        <v>1718</v>
      </c>
      <c r="Q273" s="32" t="s">
        <v>1718</v>
      </c>
      <c r="R273" s="32" t="s">
        <v>2110</v>
      </c>
      <c r="S273" s="32" t="s">
        <v>5031</v>
      </c>
      <c r="T273" t="str">
        <f>VLOOKUP(D273,DATA_SISTEMA!$A$1:$Q$506,9,FALSE)</f>
        <v>F</v>
      </c>
      <c r="U273" s="32" t="s">
        <v>2106</v>
      </c>
      <c r="V273" s="32" t="s">
        <v>1718</v>
      </c>
      <c r="W273" s="37" t="s">
        <v>5028</v>
      </c>
      <c r="X273" s="32" t="s">
        <v>4522</v>
      </c>
      <c r="Y273" s="32" t="s">
        <v>1718</v>
      </c>
      <c r="Z273" s="32" t="s">
        <v>1718</v>
      </c>
      <c r="AA273" s="32" t="s">
        <v>5028</v>
      </c>
      <c r="AB273" s="32" t="s">
        <v>1718</v>
      </c>
      <c r="AC273" s="32" t="s">
        <v>1718</v>
      </c>
      <c r="AD273" s="32" t="s">
        <v>1718</v>
      </c>
      <c r="AE273" s="32" t="s">
        <v>1718</v>
      </c>
      <c r="AF273" s="32" t="s">
        <v>1718</v>
      </c>
      <c r="AG273" s="32" t="s">
        <v>1718</v>
      </c>
      <c r="AH273" s="32" t="s">
        <v>2107</v>
      </c>
      <c r="AI273" s="9" t="s">
        <v>1564</v>
      </c>
      <c r="AJ273" s="9" t="s">
        <v>1196</v>
      </c>
      <c r="AK273" s="9" t="s">
        <v>1197</v>
      </c>
      <c r="AL273" s="9">
        <v>45695320</v>
      </c>
      <c r="AM273" t="s">
        <v>1718</v>
      </c>
      <c r="AN273" t="s">
        <v>1718</v>
      </c>
      <c r="AO273" t="s">
        <v>1718</v>
      </c>
      <c r="AP273" t="s">
        <v>1718</v>
      </c>
      <c r="AQ273" t="s">
        <v>1718</v>
      </c>
      <c r="AR273" t="s">
        <v>1718</v>
      </c>
      <c r="AS273" t="s">
        <v>1718</v>
      </c>
      <c r="AT273" t="s">
        <v>1718</v>
      </c>
      <c r="AU273" t="s">
        <v>1718</v>
      </c>
      <c r="AV273" t="str">
        <f>VLOOKUP(D273,DATA_SISTEMA!$A$1:$Q$506,12,FALSE)</f>
        <v>ILLIMO</v>
      </c>
      <c r="AW273" t="str">
        <f>VLOOKUP(D273,DATA_SISTEMA!$A$1:$Q$506,11,FALSE)</f>
        <v>LAMBAYEQUE</v>
      </c>
      <c r="AX273" t="str">
        <f>VLOOKUP(D273,DATA_SISTEMA!$A$1:$Q$506,10,FALSE)</f>
        <v>LAMBAYEQUE</v>
      </c>
      <c r="AY273" t="s">
        <v>1718</v>
      </c>
      <c r="AZ273" t="s">
        <v>5028</v>
      </c>
      <c r="BA273" t="s">
        <v>1718</v>
      </c>
      <c r="BB273" t="s">
        <v>5028</v>
      </c>
      <c r="BC273" t="s">
        <v>1718</v>
      </c>
      <c r="BD273" t="s">
        <v>5028</v>
      </c>
      <c r="BE273" t="s">
        <v>1718</v>
      </c>
      <c r="BF273" s="34" t="s">
        <v>2104</v>
      </c>
      <c r="BG273" s="9">
        <v>80</v>
      </c>
    </row>
    <row r="274" spans="1:59" x14ac:dyDescent="0.25">
      <c r="A274" s="4">
        <v>273</v>
      </c>
      <c r="B274" s="33" t="s">
        <v>1719</v>
      </c>
      <c r="C274" s="9" t="s">
        <v>1992</v>
      </c>
      <c r="D274" s="47" t="s">
        <v>4794</v>
      </c>
      <c r="E274" s="9" t="s">
        <v>23</v>
      </c>
      <c r="F274" s="36" t="s">
        <v>1718</v>
      </c>
      <c r="G274" s="9">
        <v>971049145</v>
      </c>
      <c r="H274" t="str">
        <f>VLOOKUP(D274,DATA_SISTEMA!$A$1:$Q$506,13,FALSE)</f>
        <v>AV.EZEQUIEL GONZALES CÁCEDA N°2086 CHEPÉN LA LIBERTAD</v>
      </c>
      <c r="I274" t="str">
        <f>VLOOKUP(D274,DATA_SISTEMA!$A$1:$Q$506,7,FALSE)</f>
        <v>1965-04-07</v>
      </c>
      <c r="J274" s="32" t="s">
        <v>1718</v>
      </c>
      <c r="K274" s="32" t="s">
        <v>1718</v>
      </c>
      <c r="L274" s="32" t="s">
        <v>1718</v>
      </c>
      <c r="M274">
        <v>11</v>
      </c>
      <c r="N274">
        <v>0</v>
      </c>
      <c r="O274" s="32" t="str">
        <f t="shared" si="4"/>
        <v>2730020261X</v>
      </c>
      <c r="P274" s="32" t="s">
        <v>1718</v>
      </c>
      <c r="Q274" s="32" t="s">
        <v>1718</v>
      </c>
      <c r="R274" s="32" t="s">
        <v>2110</v>
      </c>
      <c r="S274" s="32" t="s">
        <v>5031</v>
      </c>
      <c r="T274" t="str">
        <f>VLOOKUP(D274,DATA_SISTEMA!$A$1:$Q$506,9,FALSE)</f>
        <v>M</v>
      </c>
      <c r="U274" s="32" t="s">
        <v>2106</v>
      </c>
      <c r="V274" s="32" t="s">
        <v>1718</v>
      </c>
      <c r="W274" s="37" t="s">
        <v>5028</v>
      </c>
      <c r="X274" s="32" t="s">
        <v>4522</v>
      </c>
      <c r="Y274" s="32" t="s">
        <v>1718</v>
      </c>
      <c r="Z274" s="32" t="s">
        <v>1718</v>
      </c>
      <c r="AA274" s="32" t="s">
        <v>5028</v>
      </c>
      <c r="AB274" s="32" t="s">
        <v>1718</v>
      </c>
      <c r="AC274" s="32" t="s">
        <v>1718</v>
      </c>
      <c r="AD274" s="32" t="s">
        <v>1718</v>
      </c>
      <c r="AE274" s="32" t="s">
        <v>1718</v>
      </c>
      <c r="AF274" s="32" t="s">
        <v>1718</v>
      </c>
      <c r="AG274" s="32" t="s">
        <v>1718</v>
      </c>
      <c r="AH274" s="32" t="s">
        <v>2107</v>
      </c>
      <c r="AI274" s="9" t="s">
        <v>1565</v>
      </c>
      <c r="AJ274" s="9" t="s">
        <v>1198</v>
      </c>
      <c r="AK274" s="9" t="s">
        <v>1199</v>
      </c>
      <c r="AL274" s="9">
        <v>19219053</v>
      </c>
      <c r="AM274" t="s">
        <v>1718</v>
      </c>
      <c r="AN274" t="s">
        <v>1718</v>
      </c>
      <c r="AO274" t="s">
        <v>1718</v>
      </c>
      <c r="AP274" t="s">
        <v>1718</v>
      </c>
      <c r="AQ274" t="s">
        <v>1718</v>
      </c>
      <c r="AR274" t="s">
        <v>1718</v>
      </c>
      <c r="AS274" t="s">
        <v>1718</v>
      </c>
      <c r="AT274" t="s">
        <v>1718</v>
      </c>
      <c r="AU274" t="s">
        <v>1718</v>
      </c>
      <c r="AV274" t="str">
        <f>VLOOKUP(D274,DATA_SISTEMA!$A$1:$Q$506,12,FALSE)</f>
        <v>SAN PABLO</v>
      </c>
      <c r="AW274" t="str">
        <f>VLOOKUP(D274,DATA_SISTEMA!$A$1:$Q$506,11,FALSE)</f>
        <v>SAN PABLO</v>
      </c>
      <c r="AX274" t="str">
        <f>VLOOKUP(D274,DATA_SISTEMA!$A$1:$Q$506,10,FALSE)</f>
        <v>CAJAMARCA</v>
      </c>
      <c r="AY274" t="s">
        <v>1718</v>
      </c>
      <c r="AZ274" t="s">
        <v>5028</v>
      </c>
      <c r="BA274" t="s">
        <v>1718</v>
      </c>
      <c r="BB274" t="s">
        <v>5028</v>
      </c>
      <c r="BC274" t="s">
        <v>1718</v>
      </c>
      <c r="BD274" t="s">
        <v>5028</v>
      </c>
      <c r="BE274" t="s">
        <v>1718</v>
      </c>
      <c r="BF274" s="34" t="s">
        <v>2104</v>
      </c>
      <c r="BG274" s="9">
        <v>78.5</v>
      </c>
    </row>
    <row r="275" spans="1:59" x14ac:dyDescent="0.25">
      <c r="A275" s="4">
        <v>274</v>
      </c>
      <c r="B275" s="33" t="s">
        <v>1719</v>
      </c>
      <c r="C275" s="9" t="s">
        <v>1993</v>
      </c>
      <c r="D275" s="47" t="s">
        <v>4795</v>
      </c>
      <c r="E275" s="9" t="s">
        <v>25</v>
      </c>
      <c r="F275" s="36" t="s">
        <v>1718</v>
      </c>
      <c r="G275" s="9">
        <v>937361416</v>
      </c>
      <c r="H275" t="str">
        <f>VLOOKUP(D275,DATA_SISTEMA!$A$1:$Q$506,13,FALSE)</f>
        <v>URB. CARMEN ANGELICA MZ. A LT 16</v>
      </c>
      <c r="I275" t="str">
        <f>VLOOKUP(D275,DATA_SISTEMA!$A$1:$Q$506,7,FALSE)</f>
        <v>1993-01-16</v>
      </c>
      <c r="J275" s="32" t="s">
        <v>1718</v>
      </c>
      <c r="K275" s="32" t="s">
        <v>1718</v>
      </c>
      <c r="L275" s="32" t="s">
        <v>1718</v>
      </c>
      <c r="M275">
        <v>11</v>
      </c>
      <c r="N275">
        <v>0</v>
      </c>
      <c r="O275" s="32" t="str">
        <f t="shared" si="4"/>
        <v>2740020261X</v>
      </c>
      <c r="P275" s="32" t="s">
        <v>1718</v>
      </c>
      <c r="Q275" s="32" t="s">
        <v>1718</v>
      </c>
      <c r="R275" s="32" t="s">
        <v>2110</v>
      </c>
      <c r="S275" s="32" t="s">
        <v>5031</v>
      </c>
      <c r="T275" t="str">
        <f>VLOOKUP(D275,DATA_SISTEMA!$A$1:$Q$506,9,FALSE)</f>
        <v>F</v>
      </c>
      <c r="U275" s="32" t="s">
        <v>2106</v>
      </c>
      <c r="V275" s="32" t="s">
        <v>1718</v>
      </c>
      <c r="W275" s="37" t="s">
        <v>5028</v>
      </c>
      <c r="X275" s="32" t="s">
        <v>4522</v>
      </c>
      <c r="Y275" s="32" t="s">
        <v>1718</v>
      </c>
      <c r="Z275" s="32" t="s">
        <v>1718</v>
      </c>
      <c r="AA275" s="32" t="s">
        <v>5028</v>
      </c>
      <c r="AB275" s="32" t="s">
        <v>1718</v>
      </c>
      <c r="AC275" s="32" t="s">
        <v>1718</v>
      </c>
      <c r="AD275" s="32" t="s">
        <v>1718</v>
      </c>
      <c r="AE275" s="32" t="s">
        <v>1718</v>
      </c>
      <c r="AF275" s="32" t="s">
        <v>1718</v>
      </c>
      <c r="AG275" s="32" t="s">
        <v>1718</v>
      </c>
      <c r="AH275" s="32" t="s">
        <v>2107</v>
      </c>
      <c r="AI275" s="9" t="s">
        <v>1566</v>
      </c>
      <c r="AJ275" s="9" t="s">
        <v>951</v>
      </c>
      <c r="AK275" s="9" t="s">
        <v>933</v>
      </c>
      <c r="AL275" s="9">
        <v>71291418</v>
      </c>
      <c r="AM275" t="s">
        <v>1718</v>
      </c>
      <c r="AN275" t="s">
        <v>1718</v>
      </c>
      <c r="AO275" t="s">
        <v>1718</v>
      </c>
      <c r="AP275" t="s">
        <v>1718</v>
      </c>
      <c r="AQ275" t="s">
        <v>1718</v>
      </c>
      <c r="AR275" t="s">
        <v>1718</v>
      </c>
      <c r="AS275" t="s">
        <v>1718</v>
      </c>
      <c r="AT275" t="s">
        <v>1718</v>
      </c>
      <c r="AU275" t="s">
        <v>1718</v>
      </c>
      <c r="AV275" t="str">
        <f>VLOOKUP(D275,DATA_SISTEMA!$A$1:$Q$506,12,FALSE)</f>
        <v>CHICLAYO</v>
      </c>
      <c r="AW275" t="str">
        <f>VLOOKUP(D275,DATA_SISTEMA!$A$1:$Q$506,11,FALSE)</f>
        <v>CHICLAYO</v>
      </c>
      <c r="AX275" t="str">
        <f>VLOOKUP(D275,DATA_SISTEMA!$A$1:$Q$506,10,FALSE)</f>
        <v>LAMBAYEQUE</v>
      </c>
      <c r="AY275" t="s">
        <v>1718</v>
      </c>
      <c r="AZ275" t="s">
        <v>5028</v>
      </c>
      <c r="BA275" t="s">
        <v>1718</v>
      </c>
      <c r="BB275" t="s">
        <v>5028</v>
      </c>
      <c r="BC275" t="s">
        <v>1718</v>
      </c>
      <c r="BD275" t="s">
        <v>5028</v>
      </c>
      <c r="BE275" t="s">
        <v>1718</v>
      </c>
      <c r="BF275" s="34" t="s">
        <v>2104</v>
      </c>
      <c r="BG275" s="9">
        <v>77.5</v>
      </c>
    </row>
    <row r="276" spans="1:59" x14ac:dyDescent="0.25">
      <c r="A276" s="4">
        <v>275</v>
      </c>
      <c r="B276" s="33" t="s">
        <v>1719</v>
      </c>
      <c r="C276" s="9" t="s">
        <v>1994</v>
      </c>
      <c r="D276" s="47" t="s">
        <v>4796</v>
      </c>
      <c r="E276" s="9" t="s">
        <v>27</v>
      </c>
      <c r="F276" s="36" t="s">
        <v>1718</v>
      </c>
      <c r="G276" s="9">
        <v>979784034</v>
      </c>
      <c r="H276" t="str">
        <f>VLOOKUP(D276,DATA_SISTEMA!$A$1:$Q$506,13,FALSE)</f>
        <v>SAN CRISTÓBAL N° 329 - P.J. SAN ANTONIO</v>
      </c>
      <c r="I276" t="str">
        <f>VLOOKUP(D276,DATA_SISTEMA!$A$1:$Q$506,7,FALSE)</f>
        <v>1985-06-16</v>
      </c>
      <c r="J276" s="32" t="s">
        <v>1718</v>
      </c>
      <c r="K276" s="32" t="s">
        <v>1718</v>
      </c>
      <c r="L276" s="32" t="s">
        <v>1718</v>
      </c>
      <c r="M276">
        <v>11</v>
      </c>
      <c r="N276">
        <v>0</v>
      </c>
      <c r="O276" s="32" t="str">
        <f t="shared" si="4"/>
        <v>2750020261X</v>
      </c>
      <c r="P276" s="32" t="s">
        <v>1718</v>
      </c>
      <c r="Q276" s="32" t="s">
        <v>1718</v>
      </c>
      <c r="R276" s="32" t="s">
        <v>2110</v>
      </c>
      <c r="S276" s="32" t="s">
        <v>5031</v>
      </c>
      <c r="T276" t="str">
        <f>VLOOKUP(D276,DATA_SISTEMA!$A$1:$Q$506,9,FALSE)</f>
        <v>M</v>
      </c>
      <c r="U276" s="32" t="s">
        <v>2106</v>
      </c>
      <c r="V276" s="32" t="s">
        <v>1718</v>
      </c>
      <c r="W276" s="37" t="s">
        <v>5028</v>
      </c>
      <c r="X276" s="32" t="s">
        <v>4522</v>
      </c>
      <c r="Y276" s="32" t="s">
        <v>1718</v>
      </c>
      <c r="Z276" s="32" t="s">
        <v>1718</v>
      </c>
      <c r="AA276" s="32" t="s">
        <v>5028</v>
      </c>
      <c r="AB276" s="32" t="s">
        <v>1718</v>
      </c>
      <c r="AC276" s="32" t="s">
        <v>1718</v>
      </c>
      <c r="AD276" s="32" t="s">
        <v>1718</v>
      </c>
      <c r="AE276" s="32" t="s">
        <v>1718</v>
      </c>
      <c r="AF276" s="32" t="s">
        <v>1718</v>
      </c>
      <c r="AG276" s="32" t="s">
        <v>1718</v>
      </c>
      <c r="AH276" s="32" t="s">
        <v>2107</v>
      </c>
      <c r="AI276" s="9" t="s">
        <v>1567</v>
      </c>
      <c r="AJ276" s="9" t="s">
        <v>916</v>
      </c>
      <c r="AK276" s="9" t="s">
        <v>995</v>
      </c>
      <c r="AL276" s="9">
        <v>43674308</v>
      </c>
      <c r="AM276" t="s">
        <v>1718</v>
      </c>
      <c r="AN276" t="s">
        <v>1718</v>
      </c>
      <c r="AO276" t="s">
        <v>1718</v>
      </c>
      <c r="AP276" t="s">
        <v>1718</v>
      </c>
      <c r="AQ276" t="s">
        <v>1718</v>
      </c>
      <c r="AR276" t="s">
        <v>1718</v>
      </c>
      <c r="AS276" t="s">
        <v>1718</v>
      </c>
      <c r="AT276" t="s">
        <v>1718</v>
      </c>
      <c r="AU276" t="s">
        <v>1718</v>
      </c>
      <c r="AV276" t="str">
        <f>VLOOKUP(D276,DATA_SISTEMA!$A$1:$Q$506,12,FALSE)</f>
        <v>CHICLAYO</v>
      </c>
      <c r="AW276" t="str">
        <f>VLOOKUP(D276,DATA_SISTEMA!$A$1:$Q$506,11,FALSE)</f>
        <v>CHICLAYO</v>
      </c>
      <c r="AX276" t="str">
        <f>VLOOKUP(D276,DATA_SISTEMA!$A$1:$Q$506,10,FALSE)</f>
        <v>LAMBAYEQUE</v>
      </c>
      <c r="AY276" t="s">
        <v>1718</v>
      </c>
      <c r="AZ276" t="s">
        <v>5028</v>
      </c>
      <c r="BA276" t="s">
        <v>1718</v>
      </c>
      <c r="BB276" t="s">
        <v>5028</v>
      </c>
      <c r="BC276" t="s">
        <v>1718</v>
      </c>
      <c r="BD276" t="s">
        <v>5028</v>
      </c>
      <c r="BE276" t="s">
        <v>1718</v>
      </c>
      <c r="BF276" s="34" t="s">
        <v>2104</v>
      </c>
      <c r="BG276" s="9">
        <v>76</v>
      </c>
    </row>
    <row r="277" spans="1:59" x14ac:dyDescent="0.25">
      <c r="A277" s="4">
        <v>276</v>
      </c>
      <c r="B277" s="33" t="s">
        <v>1719</v>
      </c>
      <c r="C277" s="9" t="s">
        <v>1995</v>
      </c>
      <c r="D277" s="47" t="s">
        <v>4797</v>
      </c>
      <c r="E277" s="9" t="s">
        <v>29</v>
      </c>
      <c r="F277" s="36" t="s">
        <v>1718</v>
      </c>
      <c r="G277" s="9">
        <v>968092042</v>
      </c>
      <c r="H277" t="str">
        <f>VLOOKUP(D277,DATA_SISTEMA!$A$1:$Q$506,13,FALSE)</f>
        <v>CONQUISTA1136</v>
      </c>
      <c r="I277" t="str">
        <f>VLOOKUP(D277,DATA_SISTEMA!$A$1:$Q$506,7,FALSE)</f>
        <v>1976-09-02</v>
      </c>
      <c r="J277" s="32" t="s">
        <v>1718</v>
      </c>
      <c r="K277" s="32" t="s">
        <v>1718</v>
      </c>
      <c r="L277" s="32" t="s">
        <v>1718</v>
      </c>
      <c r="M277">
        <v>11</v>
      </c>
      <c r="N277">
        <v>0</v>
      </c>
      <c r="O277" s="32" t="str">
        <f t="shared" si="4"/>
        <v>2760020261X</v>
      </c>
      <c r="P277" s="32" t="s">
        <v>1718</v>
      </c>
      <c r="Q277" s="32" t="s">
        <v>1718</v>
      </c>
      <c r="R277" s="32" t="s">
        <v>2110</v>
      </c>
      <c r="S277" s="32" t="s">
        <v>5031</v>
      </c>
      <c r="T277" t="str">
        <f>VLOOKUP(D277,DATA_SISTEMA!$A$1:$Q$506,9,FALSE)</f>
        <v>F</v>
      </c>
      <c r="U277" s="32" t="s">
        <v>2106</v>
      </c>
      <c r="V277" s="32" t="s">
        <v>1718</v>
      </c>
      <c r="W277" s="37" t="s">
        <v>5028</v>
      </c>
      <c r="X277" s="32" t="s">
        <v>4522</v>
      </c>
      <c r="Y277" s="32" t="s">
        <v>1718</v>
      </c>
      <c r="Z277" s="32" t="s">
        <v>1718</v>
      </c>
      <c r="AA277" s="32" t="s">
        <v>5028</v>
      </c>
      <c r="AB277" s="32" t="s">
        <v>1718</v>
      </c>
      <c r="AC277" s="32" t="s">
        <v>1718</v>
      </c>
      <c r="AD277" s="32" t="s">
        <v>1718</v>
      </c>
      <c r="AE277" s="32" t="s">
        <v>1718</v>
      </c>
      <c r="AF277" s="32" t="s">
        <v>1718</v>
      </c>
      <c r="AG277" s="32" t="s">
        <v>1718</v>
      </c>
      <c r="AH277" s="32" t="s">
        <v>2107</v>
      </c>
      <c r="AI277" s="9" t="s">
        <v>1568</v>
      </c>
      <c r="AJ277" s="9" t="s">
        <v>860</v>
      </c>
      <c r="AK277" s="9" t="s">
        <v>1200</v>
      </c>
      <c r="AL277" s="9">
        <v>17451203</v>
      </c>
      <c r="AM277" t="s">
        <v>1718</v>
      </c>
      <c r="AN277" t="s">
        <v>1718</v>
      </c>
      <c r="AO277" t="s">
        <v>1718</v>
      </c>
      <c r="AP277" t="s">
        <v>1718</v>
      </c>
      <c r="AQ277" t="s">
        <v>1718</v>
      </c>
      <c r="AR277" t="s">
        <v>1718</v>
      </c>
      <c r="AS277" t="s">
        <v>1718</v>
      </c>
      <c r="AT277" t="s">
        <v>1718</v>
      </c>
      <c r="AU277" t="s">
        <v>1718</v>
      </c>
      <c r="AV277" t="str">
        <f>VLOOKUP(D277,DATA_SISTEMA!$A$1:$Q$506,12,FALSE)</f>
        <v>CHICLAYO</v>
      </c>
      <c r="AW277" t="str">
        <f>VLOOKUP(D277,DATA_SISTEMA!$A$1:$Q$506,11,FALSE)</f>
        <v>CHICLAYO</v>
      </c>
      <c r="AX277" t="str">
        <f>VLOOKUP(D277,DATA_SISTEMA!$A$1:$Q$506,10,FALSE)</f>
        <v>LAMBAYEQUE</v>
      </c>
      <c r="AY277" t="s">
        <v>1718</v>
      </c>
      <c r="AZ277" t="s">
        <v>5028</v>
      </c>
      <c r="BA277" t="s">
        <v>1718</v>
      </c>
      <c r="BB277" t="s">
        <v>5028</v>
      </c>
      <c r="BC277" t="s">
        <v>1718</v>
      </c>
      <c r="BD277" t="s">
        <v>5028</v>
      </c>
      <c r="BE277" t="s">
        <v>1718</v>
      </c>
      <c r="BF277" s="34" t="s">
        <v>2104</v>
      </c>
      <c r="BG277" s="9">
        <v>75.7</v>
      </c>
    </row>
    <row r="278" spans="1:59" x14ac:dyDescent="0.25">
      <c r="A278" s="4">
        <v>277</v>
      </c>
      <c r="B278" s="33" t="s">
        <v>1719</v>
      </c>
      <c r="C278" s="9" t="s">
        <v>1996</v>
      </c>
      <c r="D278" s="47" t="s">
        <v>4798</v>
      </c>
      <c r="E278" s="9" t="s">
        <v>31</v>
      </c>
      <c r="F278" s="36" t="s">
        <v>1718</v>
      </c>
      <c r="G278" s="9">
        <v>960952982</v>
      </c>
      <c r="H278" t="str">
        <f>VLOOKUP(D278,DATA_SISTEMA!$A$1:$Q$506,13,FALSE)</f>
        <v>LUIS NEGREIROS # 4 S/N</v>
      </c>
      <c r="I278" t="str">
        <f>VLOOKUP(D278,DATA_SISTEMA!$A$1:$Q$506,7,FALSE)</f>
        <v>1999-03-19</v>
      </c>
      <c r="J278" s="32" t="s">
        <v>1718</v>
      </c>
      <c r="K278" s="32" t="s">
        <v>1718</v>
      </c>
      <c r="L278" s="32" t="s">
        <v>1718</v>
      </c>
      <c r="M278">
        <v>11</v>
      </c>
      <c r="N278">
        <v>0</v>
      </c>
      <c r="O278" s="32" t="str">
        <f t="shared" si="4"/>
        <v>2770020261X</v>
      </c>
      <c r="P278" s="32" t="s">
        <v>1718</v>
      </c>
      <c r="Q278" s="32" t="s">
        <v>1718</v>
      </c>
      <c r="R278" s="32" t="s">
        <v>2110</v>
      </c>
      <c r="S278" s="32" t="s">
        <v>5031</v>
      </c>
      <c r="T278" t="str">
        <f>VLOOKUP(D278,DATA_SISTEMA!$A$1:$Q$506,9,FALSE)</f>
        <v>M</v>
      </c>
      <c r="U278" s="32" t="s">
        <v>2106</v>
      </c>
      <c r="V278" s="32" t="s">
        <v>1718</v>
      </c>
      <c r="W278" s="37" t="s">
        <v>5028</v>
      </c>
      <c r="X278" s="32" t="s">
        <v>4522</v>
      </c>
      <c r="Y278" s="32" t="s">
        <v>1718</v>
      </c>
      <c r="Z278" s="32" t="s">
        <v>1718</v>
      </c>
      <c r="AA278" s="32" t="s">
        <v>5028</v>
      </c>
      <c r="AB278" s="32" t="s">
        <v>1718</v>
      </c>
      <c r="AC278" s="32" t="s">
        <v>1718</v>
      </c>
      <c r="AD278" s="32" t="s">
        <v>1718</v>
      </c>
      <c r="AE278" s="32" t="s">
        <v>1718</v>
      </c>
      <c r="AF278" s="32" t="s">
        <v>1718</v>
      </c>
      <c r="AG278" s="32" t="s">
        <v>1718</v>
      </c>
      <c r="AH278" s="32" t="s">
        <v>2107</v>
      </c>
      <c r="AI278" s="9" t="s">
        <v>1569</v>
      </c>
      <c r="AJ278" s="9" t="s">
        <v>1201</v>
      </c>
      <c r="AK278" s="9" t="s">
        <v>1202</v>
      </c>
      <c r="AL278" s="9">
        <v>72747940</v>
      </c>
      <c r="AM278" t="s">
        <v>1718</v>
      </c>
      <c r="AN278" t="s">
        <v>1718</v>
      </c>
      <c r="AO278" t="s">
        <v>1718</v>
      </c>
      <c r="AP278" t="s">
        <v>1718</v>
      </c>
      <c r="AQ278" t="s">
        <v>1718</v>
      </c>
      <c r="AR278" t="s">
        <v>1718</v>
      </c>
      <c r="AS278" t="s">
        <v>1718</v>
      </c>
      <c r="AT278" t="s">
        <v>1718</v>
      </c>
      <c r="AU278" t="s">
        <v>1718</v>
      </c>
      <c r="AV278" t="str">
        <f>VLOOKUP(D278,DATA_SISTEMA!$A$1:$Q$506,12,FALSE)</f>
        <v>LAMBAYEQUE</v>
      </c>
      <c r="AW278" t="str">
        <f>VLOOKUP(D278,DATA_SISTEMA!$A$1:$Q$506,11,FALSE)</f>
        <v>LAMBAYEQUE</v>
      </c>
      <c r="AX278" t="str">
        <f>VLOOKUP(D278,DATA_SISTEMA!$A$1:$Q$506,10,FALSE)</f>
        <v>LAMBAYEQUE</v>
      </c>
      <c r="AY278" t="s">
        <v>1718</v>
      </c>
      <c r="AZ278" t="s">
        <v>5028</v>
      </c>
      <c r="BA278" t="s">
        <v>1718</v>
      </c>
      <c r="BB278" t="s">
        <v>5028</v>
      </c>
      <c r="BC278" t="s">
        <v>1718</v>
      </c>
      <c r="BD278" t="s">
        <v>5028</v>
      </c>
      <c r="BE278" t="s">
        <v>1718</v>
      </c>
      <c r="BF278" s="34" t="s">
        <v>2104</v>
      </c>
      <c r="BG278" s="9">
        <v>75.3</v>
      </c>
    </row>
    <row r="279" spans="1:59" x14ac:dyDescent="0.25">
      <c r="A279" s="4">
        <v>278</v>
      </c>
      <c r="B279" s="33" t="s">
        <v>1719</v>
      </c>
      <c r="C279" s="9" t="s">
        <v>1997</v>
      </c>
      <c r="D279" s="47" t="s">
        <v>4799</v>
      </c>
      <c r="E279" s="9" t="s">
        <v>33</v>
      </c>
      <c r="F279" s="36" t="s">
        <v>1718</v>
      </c>
      <c r="G279" s="9">
        <v>945962546</v>
      </c>
      <c r="H279" t="str">
        <f>VLOOKUP(D279,DATA_SISTEMA!$A$1:$Q$506,13,FALSE)</f>
        <v>CALLE TORRRES PAZ 539</v>
      </c>
      <c r="I279" t="str">
        <f>VLOOKUP(D279,DATA_SISTEMA!$A$1:$Q$506,7,FALSE)</f>
        <v>1988-01-11</v>
      </c>
      <c r="J279" s="32" t="s">
        <v>1718</v>
      </c>
      <c r="K279" s="32" t="s">
        <v>1718</v>
      </c>
      <c r="L279" s="32" t="s">
        <v>1718</v>
      </c>
      <c r="M279">
        <v>11</v>
      </c>
      <c r="N279">
        <v>0</v>
      </c>
      <c r="O279" s="32" t="str">
        <f t="shared" si="4"/>
        <v>2780020261X</v>
      </c>
      <c r="P279" s="32" t="s">
        <v>1718</v>
      </c>
      <c r="Q279" s="32" t="s">
        <v>1718</v>
      </c>
      <c r="R279" s="32" t="s">
        <v>2110</v>
      </c>
      <c r="S279" s="32" t="s">
        <v>5031</v>
      </c>
      <c r="T279" t="str">
        <f>VLOOKUP(D279,DATA_SISTEMA!$A$1:$Q$506,9,FALSE)</f>
        <v>M</v>
      </c>
      <c r="U279" s="32" t="s">
        <v>2106</v>
      </c>
      <c r="V279" s="32" t="s">
        <v>1718</v>
      </c>
      <c r="W279" s="37" t="s">
        <v>5028</v>
      </c>
      <c r="X279" s="32" t="s">
        <v>4522</v>
      </c>
      <c r="Y279" s="32" t="s">
        <v>1718</v>
      </c>
      <c r="Z279" s="32" t="s">
        <v>1718</v>
      </c>
      <c r="AA279" s="32" t="s">
        <v>5028</v>
      </c>
      <c r="AB279" s="32" t="s">
        <v>1718</v>
      </c>
      <c r="AC279" s="32" t="s">
        <v>1718</v>
      </c>
      <c r="AD279" s="32" t="s">
        <v>1718</v>
      </c>
      <c r="AE279" s="32" t="s">
        <v>1718</v>
      </c>
      <c r="AF279" s="32" t="s">
        <v>1718</v>
      </c>
      <c r="AG279" s="32" t="s">
        <v>1718</v>
      </c>
      <c r="AH279" s="32" t="s">
        <v>2107</v>
      </c>
      <c r="AI279" s="9" t="s">
        <v>1512</v>
      </c>
      <c r="AJ279" s="9" t="s">
        <v>1203</v>
      </c>
      <c r="AK279" s="9" t="s">
        <v>1204</v>
      </c>
      <c r="AL279" s="9">
        <v>45620610</v>
      </c>
      <c r="AM279" t="s">
        <v>1718</v>
      </c>
      <c r="AN279" t="s">
        <v>1718</v>
      </c>
      <c r="AO279" t="s">
        <v>1718</v>
      </c>
      <c r="AP279" t="s">
        <v>1718</v>
      </c>
      <c r="AQ279" t="s">
        <v>1718</v>
      </c>
      <c r="AR279" t="s">
        <v>1718</v>
      </c>
      <c r="AS279" t="s">
        <v>1718</v>
      </c>
      <c r="AT279" t="s">
        <v>1718</v>
      </c>
      <c r="AU279" t="s">
        <v>1718</v>
      </c>
      <c r="AV279" t="str">
        <f>VLOOKUP(D279,DATA_SISTEMA!$A$1:$Q$506,12,FALSE)</f>
        <v>CHICLAYO</v>
      </c>
      <c r="AW279" t="str">
        <f>VLOOKUP(D279,DATA_SISTEMA!$A$1:$Q$506,11,FALSE)</f>
        <v>CHICLAYO</v>
      </c>
      <c r="AX279" t="str">
        <f>VLOOKUP(D279,DATA_SISTEMA!$A$1:$Q$506,10,FALSE)</f>
        <v>LAMBAYEQUE</v>
      </c>
      <c r="AY279" t="s">
        <v>1718</v>
      </c>
      <c r="AZ279" t="s">
        <v>5028</v>
      </c>
      <c r="BA279" t="s">
        <v>1718</v>
      </c>
      <c r="BB279" t="s">
        <v>5028</v>
      </c>
      <c r="BC279" t="s">
        <v>1718</v>
      </c>
      <c r="BD279" t="s">
        <v>5028</v>
      </c>
      <c r="BE279" t="s">
        <v>1718</v>
      </c>
      <c r="BF279" s="34" t="s">
        <v>2104</v>
      </c>
      <c r="BG279" s="9">
        <v>75</v>
      </c>
    </row>
    <row r="280" spans="1:59" x14ac:dyDescent="0.25">
      <c r="A280" s="4">
        <v>279</v>
      </c>
      <c r="B280" s="33" t="s">
        <v>1719</v>
      </c>
      <c r="C280" s="9" t="s">
        <v>1998</v>
      </c>
      <c r="D280" s="47" t="s">
        <v>4800</v>
      </c>
      <c r="E280" s="9" t="s">
        <v>35</v>
      </c>
      <c r="F280" s="36" t="s">
        <v>1718</v>
      </c>
      <c r="G280" s="9">
        <v>980764341</v>
      </c>
      <c r="H280" t="str">
        <f>VLOOKUP(D280,DATA_SISTEMA!$A$1:$Q$506,13,FALSE)</f>
        <v>AV. TARAPACÁ Nº432 CAMPODÓNICO</v>
      </c>
      <c r="I280" t="str">
        <f>VLOOKUP(D280,DATA_SISTEMA!$A$1:$Q$506,7,FALSE)</f>
        <v>1989-03-09</v>
      </c>
      <c r="J280" s="32" t="s">
        <v>1718</v>
      </c>
      <c r="K280" s="32" t="s">
        <v>1718</v>
      </c>
      <c r="L280" s="32" t="s">
        <v>1718</v>
      </c>
      <c r="M280">
        <v>11</v>
      </c>
      <c r="N280">
        <v>0</v>
      </c>
      <c r="O280" s="32" t="str">
        <f t="shared" si="4"/>
        <v>2790020261X</v>
      </c>
      <c r="P280" s="32" t="s">
        <v>1718</v>
      </c>
      <c r="Q280" s="32" t="s">
        <v>1718</v>
      </c>
      <c r="R280" s="32" t="s">
        <v>2110</v>
      </c>
      <c r="S280" s="32" t="s">
        <v>5031</v>
      </c>
      <c r="T280" t="str">
        <f>VLOOKUP(D280,DATA_SISTEMA!$A$1:$Q$506,9,FALSE)</f>
        <v>M</v>
      </c>
      <c r="U280" s="32" t="s">
        <v>2106</v>
      </c>
      <c r="V280" s="32" t="s">
        <v>1718</v>
      </c>
      <c r="W280" s="37" t="s">
        <v>5028</v>
      </c>
      <c r="X280" s="32" t="s">
        <v>4522</v>
      </c>
      <c r="Y280" s="32" t="s">
        <v>1718</v>
      </c>
      <c r="Z280" s="32" t="s">
        <v>1718</v>
      </c>
      <c r="AA280" s="32" t="s">
        <v>5028</v>
      </c>
      <c r="AB280" s="32" t="s">
        <v>1718</v>
      </c>
      <c r="AC280" s="32" t="s">
        <v>1718</v>
      </c>
      <c r="AD280" s="32" t="s">
        <v>1718</v>
      </c>
      <c r="AE280" s="32" t="s">
        <v>1718</v>
      </c>
      <c r="AF280" s="32" t="s">
        <v>1718</v>
      </c>
      <c r="AG280" s="32" t="s">
        <v>1718</v>
      </c>
      <c r="AH280" s="32" t="s">
        <v>2107</v>
      </c>
      <c r="AI280" s="9" t="s">
        <v>1370</v>
      </c>
      <c r="AJ280" s="9" t="s">
        <v>1205</v>
      </c>
      <c r="AK280" s="9" t="s">
        <v>1205</v>
      </c>
      <c r="AL280" s="9">
        <v>46093910</v>
      </c>
      <c r="AM280" t="s">
        <v>1718</v>
      </c>
      <c r="AN280" t="s">
        <v>1718</v>
      </c>
      <c r="AO280" t="s">
        <v>1718</v>
      </c>
      <c r="AP280" t="s">
        <v>1718</v>
      </c>
      <c r="AQ280" t="s">
        <v>1718</v>
      </c>
      <c r="AR280" t="s">
        <v>1718</v>
      </c>
      <c r="AS280" t="s">
        <v>1718</v>
      </c>
      <c r="AT280" t="s">
        <v>1718</v>
      </c>
      <c r="AU280" t="s">
        <v>1718</v>
      </c>
      <c r="AV280" t="str">
        <f>VLOOKUP(D280,DATA_SISTEMA!$A$1:$Q$506,12,FALSE)</f>
        <v>CHICLAYO</v>
      </c>
      <c r="AW280" t="str">
        <f>VLOOKUP(D280,DATA_SISTEMA!$A$1:$Q$506,11,FALSE)</f>
        <v>CHICLAYO</v>
      </c>
      <c r="AX280" t="str">
        <f>VLOOKUP(D280,DATA_SISTEMA!$A$1:$Q$506,10,FALSE)</f>
        <v>LAMBAYEQUE</v>
      </c>
      <c r="AY280" t="s">
        <v>1718</v>
      </c>
      <c r="AZ280" t="s">
        <v>5028</v>
      </c>
      <c r="BA280" t="s">
        <v>1718</v>
      </c>
      <c r="BB280" t="s">
        <v>5028</v>
      </c>
      <c r="BC280" t="s">
        <v>1718</v>
      </c>
      <c r="BD280" t="s">
        <v>5028</v>
      </c>
      <c r="BE280" t="s">
        <v>1718</v>
      </c>
      <c r="BF280" s="34" t="s">
        <v>2104</v>
      </c>
      <c r="BG280" s="9">
        <v>73.5</v>
      </c>
    </row>
    <row r="281" spans="1:59" x14ac:dyDescent="0.25">
      <c r="A281" s="4">
        <v>280</v>
      </c>
      <c r="B281" s="33" t="s">
        <v>1719</v>
      </c>
      <c r="C281" s="9" t="s">
        <v>1999</v>
      </c>
      <c r="D281" s="47" t="s">
        <v>4801</v>
      </c>
      <c r="E281" s="9" t="s">
        <v>37</v>
      </c>
      <c r="F281" s="36" t="s">
        <v>1718</v>
      </c>
      <c r="G281" s="9">
        <v>979107777</v>
      </c>
      <c r="H281" t="str">
        <f>VLOOKUP(D281,DATA_SISTEMA!$A$1:$Q$506,13,FALSE)</f>
        <v>AV. ORREGO 764 TORRE AI 101</v>
      </c>
      <c r="I281" t="str">
        <f>VLOOKUP(D281,DATA_SISTEMA!$A$1:$Q$506,7,FALSE)</f>
        <v>1966-05-17</v>
      </c>
      <c r="J281" s="32" t="s">
        <v>1718</v>
      </c>
      <c r="K281" s="32" t="s">
        <v>1718</v>
      </c>
      <c r="L281" s="32" t="s">
        <v>1718</v>
      </c>
      <c r="M281">
        <v>11</v>
      </c>
      <c r="N281">
        <v>0</v>
      </c>
      <c r="O281" s="32" t="str">
        <f t="shared" si="4"/>
        <v>2800020261X</v>
      </c>
      <c r="P281" s="32" t="s">
        <v>1718</v>
      </c>
      <c r="Q281" s="32" t="s">
        <v>1718</v>
      </c>
      <c r="R281" s="32" t="s">
        <v>2110</v>
      </c>
      <c r="S281" s="32" t="s">
        <v>5031</v>
      </c>
      <c r="T281" t="str">
        <f>VLOOKUP(D281,DATA_SISTEMA!$A$1:$Q$506,9,FALSE)</f>
        <v>M</v>
      </c>
      <c r="U281" s="32" t="s">
        <v>2106</v>
      </c>
      <c r="V281" s="32" t="s">
        <v>1718</v>
      </c>
      <c r="W281" s="37" t="s">
        <v>5028</v>
      </c>
      <c r="X281" s="32" t="s">
        <v>4522</v>
      </c>
      <c r="Y281" s="32" t="s">
        <v>1718</v>
      </c>
      <c r="Z281" s="32" t="s">
        <v>1718</v>
      </c>
      <c r="AA281" s="32" t="s">
        <v>5028</v>
      </c>
      <c r="AB281" s="32" t="s">
        <v>1718</v>
      </c>
      <c r="AC281" s="32" t="s">
        <v>1718</v>
      </c>
      <c r="AD281" s="32" t="s">
        <v>1718</v>
      </c>
      <c r="AE281" s="32" t="s">
        <v>1718</v>
      </c>
      <c r="AF281" s="32" t="s">
        <v>1718</v>
      </c>
      <c r="AG281" s="32" t="s">
        <v>1718</v>
      </c>
      <c r="AH281" s="32" t="s">
        <v>2107</v>
      </c>
      <c r="AI281" s="9" t="s">
        <v>1512</v>
      </c>
      <c r="AJ281" s="9" t="s">
        <v>1206</v>
      </c>
      <c r="AK281" s="9" t="s">
        <v>1207</v>
      </c>
      <c r="AL281" s="9">
        <v>23012904</v>
      </c>
      <c r="AM281" t="s">
        <v>1718</v>
      </c>
      <c r="AN281" t="s">
        <v>1718</v>
      </c>
      <c r="AO281" t="s">
        <v>1718</v>
      </c>
      <c r="AP281" t="s">
        <v>1718</v>
      </c>
      <c r="AQ281" t="s">
        <v>1718</v>
      </c>
      <c r="AR281" t="s">
        <v>1718</v>
      </c>
      <c r="AS281" t="s">
        <v>1718</v>
      </c>
      <c r="AT281" t="s">
        <v>1718</v>
      </c>
      <c r="AU281" t="s">
        <v>1718</v>
      </c>
      <c r="AV281" t="str">
        <f>VLOOKUP(D281,DATA_SISTEMA!$A$1:$Q$506,12,FALSE)</f>
        <v>LA VICTORIA</v>
      </c>
      <c r="AW281" t="str">
        <f>VLOOKUP(D281,DATA_SISTEMA!$A$1:$Q$506,11,FALSE)</f>
        <v>CHICLAYO</v>
      </c>
      <c r="AX281" t="str">
        <f>VLOOKUP(D281,DATA_SISTEMA!$A$1:$Q$506,10,FALSE)</f>
        <v>LAMBAYEQUE</v>
      </c>
      <c r="AY281" t="s">
        <v>1718</v>
      </c>
      <c r="AZ281" t="s">
        <v>5028</v>
      </c>
      <c r="BA281" t="s">
        <v>1718</v>
      </c>
      <c r="BB281" t="s">
        <v>5028</v>
      </c>
      <c r="BC281" t="s">
        <v>1718</v>
      </c>
      <c r="BD281" t="s">
        <v>5028</v>
      </c>
      <c r="BE281" t="s">
        <v>1718</v>
      </c>
      <c r="BF281" s="34" t="s">
        <v>2104</v>
      </c>
      <c r="BG281" s="9">
        <v>73.5</v>
      </c>
    </row>
    <row r="282" spans="1:59" x14ac:dyDescent="0.25">
      <c r="A282" s="4">
        <v>281</v>
      </c>
      <c r="B282" s="33" t="s">
        <v>1719</v>
      </c>
      <c r="C282" s="9" t="s">
        <v>2000</v>
      </c>
      <c r="D282" s="47" t="s">
        <v>4802</v>
      </c>
      <c r="E282" s="9" t="s">
        <v>39</v>
      </c>
      <c r="F282" s="36" t="s">
        <v>1718</v>
      </c>
      <c r="G282" s="9">
        <v>906013135</v>
      </c>
      <c r="H282" t="str">
        <f>VLOOKUP(D282,DATA_SISTEMA!$A$1:$Q$506,13,FALSE)</f>
        <v>MANUEL MARÍA IZAGA 629 - MONSEFÚ</v>
      </c>
      <c r="I282" t="str">
        <f>VLOOKUP(D282,DATA_SISTEMA!$A$1:$Q$506,7,FALSE)</f>
        <v>1980-09-06</v>
      </c>
      <c r="J282" s="32" t="s">
        <v>1718</v>
      </c>
      <c r="K282" s="32" t="s">
        <v>1718</v>
      </c>
      <c r="L282" s="32" t="s">
        <v>1718</v>
      </c>
      <c r="M282">
        <v>11</v>
      </c>
      <c r="N282">
        <v>0</v>
      </c>
      <c r="O282" s="32" t="str">
        <f t="shared" si="4"/>
        <v>2810020261X</v>
      </c>
      <c r="P282" s="32" t="s">
        <v>1718</v>
      </c>
      <c r="Q282" s="32" t="s">
        <v>1718</v>
      </c>
      <c r="R282" s="32" t="s">
        <v>2110</v>
      </c>
      <c r="S282" s="32" t="s">
        <v>5031</v>
      </c>
      <c r="T282" t="str">
        <f>VLOOKUP(D282,DATA_SISTEMA!$A$1:$Q$506,9,FALSE)</f>
        <v>M</v>
      </c>
      <c r="U282" s="32" t="s">
        <v>2106</v>
      </c>
      <c r="V282" s="32" t="s">
        <v>1718</v>
      </c>
      <c r="W282" s="37" t="s">
        <v>5028</v>
      </c>
      <c r="X282" s="32" t="s">
        <v>4522</v>
      </c>
      <c r="Y282" s="32" t="s">
        <v>1718</v>
      </c>
      <c r="Z282" s="32" t="s">
        <v>1718</v>
      </c>
      <c r="AA282" s="32" t="s">
        <v>5028</v>
      </c>
      <c r="AB282" s="32" t="s">
        <v>1718</v>
      </c>
      <c r="AC282" s="32" t="s">
        <v>1718</v>
      </c>
      <c r="AD282" s="32" t="s">
        <v>1718</v>
      </c>
      <c r="AE282" s="32" t="s">
        <v>1718</v>
      </c>
      <c r="AF282" s="32" t="s">
        <v>1718</v>
      </c>
      <c r="AG282" s="32" t="s">
        <v>1718</v>
      </c>
      <c r="AH282" s="32" t="s">
        <v>2107</v>
      </c>
      <c r="AI282" s="9" t="s">
        <v>1570</v>
      </c>
      <c r="AJ282" s="9" t="s">
        <v>923</v>
      </c>
      <c r="AK282" s="9" t="s">
        <v>1208</v>
      </c>
      <c r="AL282" s="9">
        <v>41107329</v>
      </c>
      <c r="AM282" t="s">
        <v>1718</v>
      </c>
      <c r="AN282" t="s">
        <v>1718</v>
      </c>
      <c r="AO282" t="s">
        <v>1718</v>
      </c>
      <c r="AP282" t="s">
        <v>1718</v>
      </c>
      <c r="AQ282" t="s">
        <v>1718</v>
      </c>
      <c r="AR282" t="s">
        <v>1718</v>
      </c>
      <c r="AS282" t="s">
        <v>1718</v>
      </c>
      <c r="AT282" t="s">
        <v>1718</v>
      </c>
      <c r="AU282" t="s">
        <v>1718</v>
      </c>
      <c r="AV282" t="str">
        <f>VLOOKUP(D282,DATA_SISTEMA!$A$1:$Q$506,12,FALSE)</f>
        <v>MONSEFU</v>
      </c>
      <c r="AW282" t="str">
        <f>VLOOKUP(D282,DATA_SISTEMA!$A$1:$Q$506,11,FALSE)</f>
        <v>CHICLAYO</v>
      </c>
      <c r="AX282" t="str">
        <f>VLOOKUP(D282,DATA_SISTEMA!$A$1:$Q$506,10,FALSE)</f>
        <v>LAMBAYEQUE</v>
      </c>
      <c r="AY282" t="s">
        <v>1718</v>
      </c>
      <c r="AZ282" t="s">
        <v>5028</v>
      </c>
      <c r="BA282" t="s">
        <v>1718</v>
      </c>
      <c r="BB282" t="s">
        <v>5028</v>
      </c>
      <c r="BC282" t="s">
        <v>1718</v>
      </c>
      <c r="BD282" t="s">
        <v>5028</v>
      </c>
      <c r="BE282" t="s">
        <v>1718</v>
      </c>
      <c r="BF282" s="34" t="s">
        <v>2104</v>
      </c>
      <c r="BG282" s="9">
        <v>73</v>
      </c>
    </row>
    <row r="283" spans="1:59" x14ac:dyDescent="0.25">
      <c r="A283" s="4">
        <v>282</v>
      </c>
      <c r="B283" s="33" t="s">
        <v>1719</v>
      </c>
      <c r="C283" s="9" t="s">
        <v>2001</v>
      </c>
      <c r="D283" s="47" t="s">
        <v>4803</v>
      </c>
      <c r="E283" s="9" t="s">
        <v>41</v>
      </c>
      <c r="F283" s="36" t="s">
        <v>1718</v>
      </c>
      <c r="G283" s="9">
        <v>946859409</v>
      </c>
      <c r="H283" t="str">
        <f>VLOOKUP(D283,DATA_SISTEMA!$A$1:$Q$506,13,FALSE)</f>
        <v>PROLONGACIÓN LIBERTAD MZ K LOTE 3 URB. SANTA TERESA</v>
      </c>
      <c r="I283" t="str">
        <f>VLOOKUP(D283,DATA_SISTEMA!$A$1:$Q$506,7,FALSE)</f>
        <v>1976-12-06</v>
      </c>
      <c r="J283" s="32" t="s">
        <v>1718</v>
      </c>
      <c r="K283" s="32" t="s">
        <v>1718</v>
      </c>
      <c r="L283" s="32" t="s">
        <v>1718</v>
      </c>
      <c r="M283">
        <v>11</v>
      </c>
      <c r="N283">
        <v>0</v>
      </c>
      <c r="O283" s="32" t="str">
        <f t="shared" si="4"/>
        <v>2820020261X</v>
      </c>
      <c r="P283" s="32" t="s">
        <v>1718</v>
      </c>
      <c r="Q283" s="32" t="s">
        <v>1718</v>
      </c>
      <c r="R283" s="32" t="s">
        <v>2110</v>
      </c>
      <c r="S283" s="32" t="s">
        <v>5031</v>
      </c>
      <c r="T283" t="str">
        <f>VLOOKUP(D283,DATA_SISTEMA!$A$1:$Q$506,9,FALSE)</f>
        <v>F</v>
      </c>
      <c r="U283" s="32" t="s">
        <v>2106</v>
      </c>
      <c r="V283" s="32" t="s">
        <v>1718</v>
      </c>
      <c r="W283" s="37" t="s">
        <v>5028</v>
      </c>
      <c r="X283" s="32" t="s">
        <v>4522</v>
      </c>
      <c r="Y283" s="32" t="s">
        <v>1718</v>
      </c>
      <c r="Z283" s="32" t="s">
        <v>1718</v>
      </c>
      <c r="AA283" s="32" t="s">
        <v>5028</v>
      </c>
      <c r="AB283" s="32" t="s">
        <v>1718</v>
      </c>
      <c r="AC283" s="32" t="s">
        <v>1718</v>
      </c>
      <c r="AD283" s="32" t="s">
        <v>1718</v>
      </c>
      <c r="AE283" s="32" t="s">
        <v>1718</v>
      </c>
      <c r="AF283" s="32" t="s">
        <v>1718</v>
      </c>
      <c r="AG283" s="32" t="s">
        <v>1718</v>
      </c>
      <c r="AH283" s="32" t="s">
        <v>2107</v>
      </c>
      <c r="AI283" s="9" t="s">
        <v>1571</v>
      </c>
      <c r="AJ283" s="9" t="s">
        <v>1209</v>
      </c>
      <c r="AK283" s="9" t="s">
        <v>1202</v>
      </c>
      <c r="AL283" s="9">
        <v>17629020</v>
      </c>
      <c r="AM283" t="s">
        <v>1718</v>
      </c>
      <c r="AN283" t="s">
        <v>1718</v>
      </c>
      <c r="AO283" t="s">
        <v>1718</v>
      </c>
      <c r="AP283" t="s">
        <v>1718</v>
      </c>
      <c r="AQ283" t="s">
        <v>1718</v>
      </c>
      <c r="AR283" t="s">
        <v>1718</v>
      </c>
      <c r="AS283" t="s">
        <v>1718</v>
      </c>
      <c r="AT283" t="s">
        <v>1718</v>
      </c>
      <c r="AU283" t="s">
        <v>1718</v>
      </c>
      <c r="AV283" t="str">
        <f>VLOOKUP(D283,DATA_SISTEMA!$A$1:$Q$506,12,FALSE)</f>
        <v>LAMBAYEQUE</v>
      </c>
      <c r="AW283" t="str">
        <f>VLOOKUP(D283,DATA_SISTEMA!$A$1:$Q$506,11,FALSE)</f>
        <v>LAMBAYEQUE</v>
      </c>
      <c r="AX283" t="str">
        <f>VLOOKUP(D283,DATA_SISTEMA!$A$1:$Q$506,10,FALSE)</f>
        <v>LAMBAYEQUE</v>
      </c>
      <c r="AY283" t="s">
        <v>1718</v>
      </c>
      <c r="AZ283" t="s">
        <v>5028</v>
      </c>
      <c r="BA283" t="s">
        <v>1718</v>
      </c>
      <c r="BB283" t="s">
        <v>5028</v>
      </c>
      <c r="BC283" t="s">
        <v>1718</v>
      </c>
      <c r="BD283" t="s">
        <v>5028</v>
      </c>
      <c r="BE283" t="s">
        <v>1718</v>
      </c>
      <c r="BF283" s="34" t="s">
        <v>2104</v>
      </c>
      <c r="BG283" s="9">
        <v>71.5</v>
      </c>
    </row>
    <row r="284" spans="1:59" x14ac:dyDescent="0.25">
      <c r="A284" s="4">
        <v>283</v>
      </c>
      <c r="B284" s="33" t="s">
        <v>1719</v>
      </c>
      <c r="C284" s="9" t="s">
        <v>2002</v>
      </c>
      <c r="D284" s="47" t="s">
        <v>4804</v>
      </c>
      <c r="E284" s="9" t="s">
        <v>43</v>
      </c>
      <c r="F284" s="36" t="s">
        <v>1718</v>
      </c>
      <c r="G284" s="9">
        <v>959148878</v>
      </c>
      <c r="H284" t="str">
        <f>VLOOKUP(D284,DATA_SISTEMA!$A$1:$Q$506,13,FALSE)</f>
        <v>CALLE ANTONIO MONSALVE BACA #244-PJ SANTA ROSA</v>
      </c>
      <c r="I284" t="str">
        <f>VLOOKUP(D284,DATA_SISTEMA!$A$1:$Q$506,7,FALSE)</f>
        <v>1985-02-15</v>
      </c>
      <c r="J284" s="32" t="s">
        <v>1718</v>
      </c>
      <c r="K284" s="32" t="s">
        <v>1718</v>
      </c>
      <c r="L284" s="32" t="s">
        <v>1718</v>
      </c>
      <c r="M284">
        <v>11</v>
      </c>
      <c r="N284">
        <v>0</v>
      </c>
      <c r="O284" s="32" t="str">
        <f t="shared" si="4"/>
        <v>2830020261X</v>
      </c>
      <c r="P284" s="32" t="s">
        <v>1718</v>
      </c>
      <c r="Q284" s="32" t="s">
        <v>1718</v>
      </c>
      <c r="R284" s="32" t="s">
        <v>2110</v>
      </c>
      <c r="S284" s="32" t="s">
        <v>5031</v>
      </c>
      <c r="T284" t="str">
        <f>VLOOKUP(D284,DATA_SISTEMA!$A$1:$Q$506,9,FALSE)</f>
        <v>M</v>
      </c>
      <c r="U284" s="32" t="s">
        <v>2106</v>
      </c>
      <c r="V284" s="32" t="s">
        <v>1718</v>
      </c>
      <c r="W284" s="37" t="s">
        <v>5028</v>
      </c>
      <c r="X284" s="32" t="s">
        <v>4522</v>
      </c>
      <c r="Y284" s="32" t="s">
        <v>1718</v>
      </c>
      <c r="Z284" s="32" t="s">
        <v>1718</v>
      </c>
      <c r="AA284" s="32" t="s">
        <v>5028</v>
      </c>
      <c r="AB284" s="32" t="s">
        <v>1718</v>
      </c>
      <c r="AC284" s="32" t="s">
        <v>1718</v>
      </c>
      <c r="AD284" s="32" t="s">
        <v>1718</v>
      </c>
      <c r="AE284" s="32" t="s">
        <v>1718</v>
      </c>
      <c r="AF284" s="32" t="s">
        <v>1718</v>
      </c>
      <c r="AG284" s="32" t="s">
        <v>1718</v>
      </c>
      <c r="AH284" s="32" t="s">
        <v>2107</v>
      </c>
      <c r="AI284" s="9" t="s">
        <v>1572</v>
      </c>
      <c r="AJ284" s="9" t="s">
        <v>1210</v>
      </c>
      <c r="AK284" s="9" t="s">
        <v>898</v>
      </c>
      <c r="AL284" s="9">
        <v>42910566</v>
      </c>
      <c r="AM284" t="s">
        <v>1718</v>
      </c>
      <c r="AN284" t="s">
        <v>1718</v>
      </c>
      <c r="AO284" t="s">
        <v>1718</v>
      </c>
      <c r="AP284" t="s">
        <v>1718</v>
      </c>
      <c r="AQ284" t="s">
        <v>1718</v>
      </c>
      <c r="AR284" t="s">
        <v>1718</v>
      </c>
      <c r="AS284" t="s">
        <v>1718</v>
      </c>
      <c r="AT284" t="s">
        <v>1718</v>
      </c>
      <c r="AU284" t="s">
        <v>1718</v>
      </c>
      <c r="AV284" t="str">
        <f>VLOOKUP(D284,DATA_SISTEMA!$A$1:$Q$506,12,FALSE)</f>
        <v>LAMBAYEQUE</v>
      </c>
      <c r="AW284" t="str">
        <f>VLOOKUP(D284,DATA_SISTEMA!$A$1:$Q$506,11,FALSE)</f>
        <v>LAMBAYEQUE</v>
      </c>
      <c r="AX284" t="str">
        <f>VLOOKUP(D284,DATA_SISTEMA!$A$1:$Q$506,10,FALSE)</f>
        <v>LAMBAYEQUE</v>
      </c>
      <c r="AY284" t="s">
        <v>1718</v>
      </c>
      <c r="AZ284" t="s">
        <v>5028</v>
      </c>
      <c r="BA284" t="s">
        <v>1718</v>
      </c>
      <c r="BB284" t="s">
        <v>5028</v>
      </c>
      <c r="BC284" t="s">
        <v>1718</v>
      </c>
      <c r="BD284" t="s">
        <v>5028</v>
      </c>
      <c r="BE284" t="s">
        <v>1718</v>
      </c>
      <c r="BF284" s="34" t="s">
        <v>2104</v>
      </c>
      <c r="BG284" s="9">
        <v>69</v>
      </c>
    </row>
    <row r="285" spans="1:59" x14ac:dyDescent="0.25">
      <c r="A285" s="4">
        <v>284</v>
      </c>
      <c r="B285" s="33" t="s">
        <v>1719</v>
      </c>
      <c r="C285" s="9" t="s">
        <v>2003</v>
      </c>
      <c r="D285" s="47" t="s">
        <v>4805</v>
      </c>
      <c r="E285" s="9" t="s">
        <v>45</v>
      </c>
      <c r="F285" s="36" t="s">
        <v>1718</v>
      </c>
      <c r="G285" s="9">
        <v>994782648</v>
      </c>
      <c r="H285" t="str">
        <f>VLOOKUP(D285,DATA_SISTEMA!$A$1:$Q$506,13,FALSE)</f>
        <v>CALLE SAN ANTONIO 247.PJ SAN MARTÍN,LAMBAYEQUE</v>
      </c>
      <c r="I285" t="str">
        <f>VLOOKUP(D285,DATA_SISTEMA!$A$1:$Q$506,7,FALSE)</f>
        <v>1991-02-28</v>
      </c>
      <c r="J285" s="32" t="s">
        <v>1718</v>
      </c>
      <c r="K285" s="32" t="s">
        <v>1718</v>
      </c>
      <c r="L285" s="32" t="s">
        <v>1718</v>
      </c>
      <c r="M285">
        <v>11</v>
      </c>
      <c r="N285">
        <v>0</v>
      </c>
      <c r="O285" s="32" t="str">
        <f t="shared" si="4"/>
        <v>2840020261X</v>
      </c>
      <c r="P285" s="32" t="s">
        <v>1718</v>
      </c>
      <c r="Q285" s="32" t="s">
        <v>1718</v>
      </c>
      <c r="R285" s="32" t="s">
        <v>2110</v>
      </c>
      <c r="S285" s="32" t="s">
        <v>5031</v>
      </c>
      <c r="T285" t="str">
        <f>VLOOKUP(D285,DATA_SISTEMA!$A$1:$Q$506,9,FALSE)</f>
        <v>M</v>
      </c>
      <c r="U285" s="32" t="s">
        <v>2106</v>
      </c>
      <c r="V285" s="32" t="s">
        <v>1718</v>
      </c>
      <c r="W285" s="37" t="s">
        <v>5028</v>
      </c>
      <c r="X285" s="32" t="s">
        <v>4522</v>
      </c>
      <c r="Y285" s="32" t="s">
        <v>1718</v>
      </c>
      <c r="Z285" s="32" t="s">
        <v>1718</v>
      </c>
      <c r="AA285" s="32" t="s">
        <v>5028</v>
      </c>
      <c r="AB285" s="32" t="s">
        <v>1718</v>
      </c>
      <c r="AC285" s="32" t="s">
        <v>1718</v>
      </c>
      <c r="AD285" s="32" t="s">
        <v>1718</v>
      </c>
      <c r="AE285" s="32" t="s">
        <v>1718</v>
      </c>
      <c r="AF285" s="32" t="s">
        <v>1718</v>
      </c>
      <c r="AG285" s="32" t="s">
        <v>1718</v>
      </c>
      <c r="AH285" s="32" t="s">
        <v>2107</v>
      </c>
      <c r="AI285" s="9" t="s">
        <v>1573</v>
      </c>
      <c r="AJ285" s="9" t="s">
        <v>1211</v>
      </c>
      <c r="AK285" s="9" t="s">
        <v>933</v>
      </c>
      <c r="AL285" s="9">
        <v>47570029</v>
      </c>
      <c r="AM285" t="s">
        <v>1718</v>
      </c>
      <c r="AN285" t="s">
        <v>1718</v>
      </c>
      <c r="AO285" t="s">
        <v>1718</v>
      </c>
      <c r="AP285" t="s">
        <v>1718</v>
      </c>
      <c r="AQ285" t="s">
        <v>1718</v>
      </c>
      <c r="AR285" t="s">
        <v>1718</v>
      </c>
      <c r="AS285" t="s">
        <v>1718</v>
      </c>
      <c r="AT285" t="s">
        <v>1718</v>
      </c>
      <c r="AU285" t="s">
        <v>1718</v>
      </c>
      <c r="AV285" t="str">
        <f>VLOOKUP(D285,DATA_SISTEMA!$A$1:$Q$506,12,FALSE)</f>
        <v>LAMBAYEQUE</v>
      </c>
      <c r="AW285" t="str">
        <f>VLOOKUP(D285,DATA_SISTEMA!$A$1:$Q$506,11,FALSE)</f>
        <v>LAMBAYEQUE</v>
      </c>
      <c r="AX285" t="str">
        <f>VLOOKUP(D285,DATA_SISTEMA!$A$1:$Q$506,10,FALSE)</f>
        <v>LAMBAYEQUE</v>
      </c>
      <c r="AY285" t="s">
        <v>1718</v>
      </c>
      <c r="AZ285" t="s">
        <v>5028</v>
      </c>
      <c r="BA285" t="s">
        <v>1718</v>
      </c>
      <c r="BB285" t="s">
        <v>5028</v>
      </c>
      <c r="BC285" t="s">
        <v>1718</v>
      </c>
      <c r="BD285" t="s">
        <v>5028</v>
      </c>
      <c r="BE285" t="s">
        <v>1718</v>
      </c>
      <c r="BF285" s="34" t="s">
        <v>2104</v>
      </c>
      <c r="BG285" s="9">
        <v>68.5</v>
      </c>
    </row>
    <row r="286" spans="1:59" x14ac:dyDescent="0.25">
      <c r="A286" s="4">
        <v>285</v>
      </c>
      <c r="B286" s="33" t="s">
        <v>1719</v>
      </c>
      <c r="C286" s="9" t="s">
        <v>2004</v>
      </c>
      <c r="D286" s="47" t="s">
        <v>4806</v>
      </c>
      <c r="E286" s="9" t="s">
        <v>47</v>
      </c>
      <c r="F286" s="36" t="s">
        <v>1718</v>
      </c>
      <c r="G286" s="9">
        <v>979514678</v>
      </c>
      <c r="H286" t="str">
        <f>VLOOKUP(D286,DATA_SISTEMA!$A$1:$Q$506,13,FALSE)</f>
        <v>JR. JOSÉ GÁLVEZ N° 360</v>
      </c>
      <c r="I286" t="str">
        <f>VLOOKUP(D286,DATA_SISTEMA!$A$1:$Q$506,7,FALSE)</f>
        <v>1980-01-04</v>
      </c>
      <c r="J286" s="32" t="s">
        <v>1718</v>
      </c>
      <c r="K286" s="32" t="s">
        <v>1718</v>
      </c>
      <c r="L286" s="32" t="s">
        <v>1718</v>
      </c>
      <c r="M286">
        <v>11</v>
      </c>
      <c r="N286">
        <v>0</v>
      </c>
      <c r="O286" s="32" t="str">
        <f t="shared" si="4"/>
        <v>2850020261X</v>
      </c>
      <c r="P286" s="32" t="s">
        <v>1718</v>
      </c>
      <c r="Q286" s="32" t="s">
        <v>1718</v>
      </c>
      <c r="R286" s="32" t="s">
        <v>2110</v>
      </c>
      <c r="S286" s="32" t="s">
        <v>5031</v>
      </c>
      <c r="T286" t="str">
        <f>VLOOKUP(D286,DATA_SISTEMA!$A$1:$Q$506,9,FALSE)</f>
        <v>F</v>
      </c>
      <c r="U286" s="32" t="s">
        <v>2106</v>
      </c>
      <c r="V286" s="32" t="s">
        <v>1718</v>
      </c>
      <c r="W286" s="37" t="s">
        <v>5028</v>
      </c>
      <c r="X286" s="32" t="s">
        <v>4522</v>
      </c>
      <c r="Y286" s="32" t="s">
        <v>1718</v>
      </c>
      <c r="Z286" s="32" t="s">
        <v>1718</v>
      </c>
      <c r="AA286" s="32" t="s">
        <v>5028</v>
      </c>
      <c r="AB286" s="32" t="s">
        <v>1718</v>
      </c>
      <c r="AC286" s="32" t="s">
        <v>1718</v>
      </c>
      <c r="AD286" s="32" t="s">
        <v>1718</v>
      </c>
      <c r="AE286" s="32" t="s">
        <v>1718</v>
      </c>
      <c r="AF286" s="32" t="s">
        <v>1718</v>
      </c>
      <c r="AG286" s="32" t="s">
        <v>1718</v>
      </c>
      <c r="AH286" s="32" t="s">
        <v>2107</v>
      </c>
      <c r="AI286" s="9" t="s">
        <v>1574</v>
      </c>
      <c r="AJ286" s="9" t="s">
        <v>1212</v>
      </c>
      <c r="AK286" s="9" t="s">
        <v>1043</v>
      </c>
      <c r="AL286" s="9">
        <v>40419542</v>
      </c>
      <c r="AM286" t="s">
        <v>1718</v>
      </c>
      <c r="AN286" t="s">
        <v>1718</v>
      </c>
      <c r="AO286" t="s">
        <v>1718</v>
      </c>
      <c r="AP286" t="s">
        <v>1718</v>
      </c>
      <c r="AQ286" t="s">
        <v>1718</v>
      </c>
      <c r="AR286" t="s">
        <v>1718</v>
      </c>
      <c r="AS286" t="s">
        <v>1718</v>
      </c>
      <c r="AT286" t="s">
        <v>1718</v>
      </c>
      <c r="AU286" t="s">
        <v>1718</v>
      </c>
      <c r="AV286" t="str">
        <f>VLOOKUP(D286,DATA_SISTEMA!$A$1:$Q$506,12,FALSE)</f>
        <v>BAMBAMARCA</v>
      </c>
      <c r="AW286" t="str">
        <f>VLOOKUP(D286,DATA_SISTEMA!$A$1:$Q$506,11,FALSE)</f>
        <v>HUALGAYOC</v>
      </c>
      <c r="AX286" t="str">
        <f>VLOOKUP(D286,DATA_SISTEMA!$A$1:$Q$506,10,FALSE)</f>
        <v>CAJAMARCA</v>
      </c>
      <c r="AY286" t="s">
        <v>1718</v>
      </c>
      <c r="AZ286" t="s">
        <v>5028</v>
      </c>
      <c r="BA286" t="s">
        <v>1718</v>
      </c>
      <c r="BB286" t="s">
        <v>5028</v>
      </c>
      <c r="BC286" t="s">
        <v>1718</v>
      </c>
      <c r="BD286" t="s">
        <v>5028</v>
      </c>
      <c r="BE286" t="s">
        <v>1718</v>
      </c>
      <c r="BF286" s="34" t="s">
        <v>2104</v>
      </c>
      <c r="BG286" s="9">
        <v>59.5</v>
      </c>
    </row>
    <row r="287" spans="1:59" x14ac:dyDescent="0.25">
      <c r="A287" s="4">
        <v>286</v>
      </c>
      <c r="B287" s="33" t="s">
        <v>1719</v>
      </c>
      <c r="C287" s="30" t="s">
        <v>2005</v>
      </c>
      <c r="D287" s="48" t="s">
        <v>4807</v>
      </c>
      <c r="E287" s="30" t="s">
        <v>811</v>
      </c>
      <c r="F287" s="36" t="s">
        <v>1718</v>
      </c>
      <c r="G287" s="30">
        <v>990356090</v>
      </c>
      <c r="H287" t="str">
        <f>VLOOKUP(D287,DATA_SISTEMA!$A$1:$Q$506,13,FALSE)</f>
        <v>CALLE ARMANDO ALVA DÍAZ #137 - URB. LAS BRISAS</v>
      </c>
      <c r="I287" t="str">
        <f>VLOOKUP(D287,DATA_SISTEMA!$A$1:$Q$506,7,FALSE)</f>
        <v>1996-07-10</v>
      </c>
      <c r="J287" s="32" t="s">
        <v>1718</v>
      </c>
      <c r="K287" s="32" t="s">
        <v>1718</v>
      </c>
      <c r="L287" s="32" t="s">
        <v>1718</v>
      </c>
      <c r="M287">
        <v>330</v>
      </c>
      <c r="N287">
        <v>0</v>
      </c>
      <c r="O287" s="32" t="str">
        <f t="shared" si="4"/>
        <v>2860020261X</v>
      </c>
      <c r="P287" s="32" t="s">
        <v>1718</v>
      </c>
      <c r="Q287" s="32" t="s">
        <v>1718</v>
      </c>
      <c r="R287" s="32" t="s">
        <v>2110</v>
      </c>
      <c r="S287" s="32" t="s">
        <v>5034</v>
      </c>
      <c r="T287" t="str">
        <f>VLOOKUP(D287,DATA_SISTEMA!$A$1:$Q$506,9,FALSE)</f>
        <v>M</v>
      </c>
      <c r="U287" s="32" t="s">
        <v>2106</v>
      </c>
      <c r="V287" s="32" t="s">
        <v>1718</v>
      </c>
      <c r="W287" s="37" t="s">
        <v>5028</v>
      </c>
      <c r="X287" s="32" t="s">
        <v>4522</v>
      </c>
      <c r="Y287" s="32" t="s">
        <v>1718</v>
      </c>
      <c r="Z287" s="32" t="s">
        <v>1718</v>
      </c>
      <c r="AA287" s="32" t="s">
        <v>5028</v>
      </c>
      <c r="AB287" s="32" t="s">
        <v>1718</v>
      </c>
      <c r="AC287" s="32" t="s">
        <v>1718</v>
      </c>
      <c r="AD287" s="32" t="s">
        <v>1718</v>
      </c>
      <c r="AE287" s="32" t="s">
        <v>1718</v>
      </c>
      <c r="AF287" s="32" t="s">
        <v>1718</v>
      </c>
      <c r="AG287" s="32" t="s">
        <v>1718</v>
      </c>
      <c r="AH287" s="32" t="s">
        <v>2107</v>
      </c>
      <c r="AI287" s="30" t="s">
        <v>1575</v>
      </c>
      <c r="AJ287" s="30" t="s">
        <v>876</v>
      </c>
      <c r="AK287" s="30" t="s">
        <v>1213</v>
      </c>
      <c r="AL287" s="30">
        <v>77917975</v>
      </c>
      <c r="AM287" t="s">
        <v>1718</v>
      </c>
      <c r="AN287" t="s">
        <v>1718</v>
      </c>
      <c r="AO287" t="s">
        <v>1718</v>
      </c>
      <c r="AP287" t="s">
        <v>1718</v>
      </c>
      <c r="AQ287" t="s">
        <v>1718</v>
      </c>
      <c r="AR287" t="s">
        <v>1718</v>
      </c>
      <c r="AS287" t="s">
        <v>1718</v>
      </c>
      <c r="AT287" t="s">
        <v>1718</v>
      </c>
      <c r="AU287" t="s">
        <v>1718</v>
      </c>
      <c r="AV287" t="str">
        <f>VLOOKUP(D287,DATA_SISTEMA!$A$1:$Q$506,12,FALSE)</f>
        <v>CHICLAYO</v>
      </c>
      <c r="AW287" t="str">
        <f>VLOOKUP(D287,DATA_SISTEMA!$A$1:$Q$506,11,FALSE)</f>
        <v>CHICLAYO</v>
      </c>
      <c r="AX287" t="str">
        <f>VLOOKUP(D287,DATA_SISTEMA!$A$1:$Q$506,10,FALSE)</f>
        <v>LAMBAYEQUE</v>
      </c>
      <c r="AY287" t="s">
        <v>1718</v>
      </c>
      <c r="AZ287" t="s">
        <v>5028</v>
      </c>
      <c r="BA287" t="s">
        <v>1718</v>
      </c>
      <c r="BB287" t="s">
        <v>5028</v>
      </c>
      <c r="BC287" t="s">
        <v>1718</v>
      </c>
      <c r="BD287" t="s">
        <v>5028</v>
      </c>
      <c r="BE287" t="s">
        <v>1718</v>
      </c>
      <c r="BF287" s="34" t="s">
        <v>2104</v>
      </c>
      <c r="BG287" s="30">
        <v>87</v>
      </c>
    </row>
    <row r="288" spans="1:59" x14ac:dyDescent="0.25">
      <c r="A288" s="4">
        <v>287</v>
      </c>
      <c r="B288" s="33" t="s">
        <v>1719</v>
      </c>
      <c r="C288" s="30" t="s">
        <v>2006</v>
      </c>
      <c r="D288" s="48" t="s">
        <v>4808</v>
      </c>
      <c r="E288" s="30" t="s">
        <v>815</v>
      </c>
      <c r="F288" s="36" t="s">
        <v>1718</v>
      </c>
      <c r="G288" s="30">
        <v>941987804</v>
      </c>
      <c r="H288" t="str">
        <f>VLOOKUP(D288,DATA_SISTEMA!$A$1:$Q$506,13,FALSE)</f>
        <v>AV 28 DE JULIO 238. DIEGO FERRE</v>
      </c>
      <c r="I288" t="str">
        <f>VLOOKUP(D288,DATA_SISTEMA!$A$1:$Q$506,7,FALSE)</f>
        <v>1979-11-30</v>
      </c>
      <c r="J288" s="32" t="s">
        <v>1718</v>
      </c>
      <c r="K288" s="32" t="s">
        <v>1718</v>
      </c>
      <c r="L288" s="32" t="s">
        <v>1718</v>
      </c>
      <c r="M288">
        <v>330</v>
      </c>
      <c r="N288">
        <v>0</v>
      </c>
      <c r="O288" s="32" t="str">
        <f t="shared" si="4"/>
        <v>2870020261X</v>
      </c>
      <c r="P288" s="32" t="s">
        <v>1718</v>
      </c>
      <c r="Q288" s="32" t="s">
        <v>1718</v>
      </c>
      <c r="R288" s="32" t="s">
        <v>2110</v>
      </c>
      <c r="S288" s="32" t="s">
        <v>5034</v>
      </c>
      <c r="T288" t="str">
        <f>VLOOKUP(D288,DATA_SISTEMA!$A$1:$Q$506,9,FALSE)</f>
        <v>F</v>
      </c>
      <c r="U288" s="32" t="s">
        <v>2106</v>
      </c>
      <c r="V288" s="32" t="s">
        <v>1718</v>
      </c>
      <c r="W288" s="37" t="s">
        <v>5028</v>
      </c>
      <c r="X288" s="32" t="s">
        <v>4522</v>
      </c>
      <c r="Y288" s="32" t="s">
        <v>1718</v>
      </c>
      <c r="Z288" s="32" t="s">
        <v>1718</v>
      </c>
      <c r="AA288" s="32" t="s">
        <v>5028</v>
      </c>
      <c r="AB288" s="32" t="s">
        <v>1718</v>
      </c>
      <c r="AC288" s="32" t="s">
        <v>1718</v>
      </c>
      <c r="AD288" s="32" t="s">
        <v>1718</v>
      </c>
      <c r="AE288" s="32" t="s">
        <v>1718</v>
      </c>
      <c r="AF288" s="32" t="s">
        <v>1718</v>
      </c>
      <c r="AG288" s="32" t="s">
        <v>1718</v>
      </c>
      <c r="AH288" s="32" t="s">
        <v>2107</v>
      </c>
      <c r="AI288" s="30" t="s">
        <v>1576</v>
      </c>
      <c r="AJ288" s="30" t="s">
        <v>1214</v>
      </c>
      <c r="AK288" s="30" t="s">
        <v>1215</v>
      </c>
      <c r="AL288" s="30">
        <v>40443151</v>
      </c>
      <c r="AM288" t="s">
        <v>1718</v>
      </c>
      <c r="AN288" t="s">
        <v>1718</v>
      </c>
      <c r="AO288" t="s">
        <v>1718</v>
      </c>
      <c r="AP288" t="s">
        <v>1718</v>
      </c>
      <c r="AQ288" t="s">
        <v>1718</v>
      </c>
      <c r="AR288" t="s">
        <v>1718</v>
      </c>
      <c r="AS288" t="s">
        <v>1718</v>
      </c>
      <c r="AT288" t="s">
        <v>1718</v>
      </c>
      <c r="AU288" t="s">
        <v>1718</v>
      </c>
      <c r="AV288" t="str">
        <f>VLOOKUP(D288,DATA_SISTEMA!$A$1:$Q$506,12,FALSE)</f>
        <v>CHICLAYO</v>
      </c>
      <c r="AW288" t="str">
        <f>VLOOKUP(D288,DATA_SISTEMA!$A$1:$Q$506,11,FALSE)</f>
        <v>CHICLAYO</v>
      </c>
      <c r="AX288" t="str">
        <f>VLOOKUP(D288,DATA_SISTEMA!$A$1:$Q$506,10,FALSE)</f>
        <v>LAMBAYEQUE</v>
      </c>
      <c r="AY288" t="s">
        <v>1718</v>
      </c>
      <c r="AZ288" t="s">
        <v>5028</v>
      </c>
      <c r="BA288" t="s">
        <v>1718</v>
      </c>
      <c r="BB288" t="s">
        <v>5028</v>
      </c>
      <c r="BC288" t="s">
        <v>1718</v>
      </c>
      <c r="BD288" t="s">
        <v>5028</v>
      </c>
      <c r="BE288" t="s">
        <v>1718</v>
      </c>
      <c r="BF288" s="34" t="s">
        <v>2104</v>
      </c>
      <c r="BG288" s="30">
        <v>86.8</v>
      </c>
    </row>
    <row r="289" spans="1:59" x14ac:dyDescent="0.25">
      <c r="A289" s="4">
        <v>288</v>
      </c>
      <c r="B289" s="33" t="s">
        <v>1719</v>
      </c>
      <c r="C289" s="30" t="s">
        <v>2007</v>
      </c>
      <c r="D289" s="48" t="s">
        <v>4809</v>
      </c>
      <c r="E289" s="30" t="s">
        <v>817</v>
      </c>
      <c r="F289" s="36" t="s">
        <v>1718</v>
      </c>
      <c r="G289" s="30">
        <v>980376038</v>
      </c>
      <c r="H289" t="str">
        <f>VLOOKUP(D289,DATA_SISTEMA!$A$1:$Q$506,13,FALSE)</f>
        <v>JOSÉ OLAYA N°537</v>
      </c>
      <c r="I289" t="str">
        <f>VLOOKUP(D289,DATA_SISTEMA!$A$1:$Q$506,7,FALSE)</f>
        <v>1997-09-12</v>
      </c>
      <c r="J289" s="32" t="s">
        <v>1718</v>
      </c>
      <c r="K289" s="32" t="s">
        <v>1718</v>
      </c>
      <c r="L289" s="32" t="s">
        <v>1718</v>
      </c>
      <c r="M289">
        <v>330</v>
      </c>
      <c r="N289">
        <v>0</v>
      </c>
      <c r="O289" s="32" t="str">
        <f t="shared" si="4"/>
        <v>2880020261X</v>
      </c>
      <c r="P289" s="32" t="s">
        <v>1718</v>
      </c>
      <c r="Q289" s="32" t="s">
        <v>1718</v>
      </c>
      <c r="R289" s="32" t="s">
        <v>2110</v>
      </c>
      <c r="S289" s="32" t="s">
        <v>5034</v>
      </c>
      <c r="T289" t="str">
        <f>VLOOKUP(D289,DATA_SISTEMA!$A$1:$Q$506,9,FALSE)</f>
        <v>M</v>
      </c>
      <c r="U289" s="32" t="s">
        <v>2106</v>
      </c>
      <c r="V289" s="32" t="s">
        <v>1718</v>
      </c>
      <c r="W289" s="37" t="s">
        <v>5028</v>
      </c>
      <c r="X289" s="32" t="s">
        <v>4522</v>
      </c>
      <c r="Y289" s="32" t="s">
        <v>1718</v>
      </c>
      <c r="Z289" s="32" t="s">
        <v>1718</v>
      </c>
      <c r="AA289" s="32" t="s">
        <v>5028</v>
      </c>
      <c r="AB289" s="32" t="s">
        <v>1718</v>
      </c>
      <c r="AC289" s="32" t="s">
        <v>1718</v>
      </c>
      <c r="AD289" s="32" t="s">
        <v>1718</v>
      </c>
      <c r="AE289" s="32" t="s">
        <v>1718</v>
      </c>
      <c r="AF289" s="32" t="s">
        <v>1718</v>
      </c>
      <c r="AG289" s="32" t="s">
        <v>1718</v>
      </c>
      <c r="AH289" s="32" t="s">
        <v>2107</v>
      </c>
      <c r="AI289" s="30" t="s">
        <v>1577</v>
      </c>
      <c r="AJ289" s="30" t="s">
        <v>895</v>
      </c>
      <c r="AK289" s="30" t="s">
        <v>1211</v>
      </c>
      <c r="AL289" s="30">
        <v>73201583</v>
      </c>
      <c r="AM289" t="s">
        <v>1718</v>
      </c>
      <c r="AN289" t="s">
        <v>1718</v>
      </c>
      <c r="AO289" t="s">
        <v>1718</v>
      </c>
      <c r="AP289" t="s">
        <v>1718</v>
      </c>
      <c r="AQ289" t="s">
        <v>1718</v>
      </c>
      <c r="AR289" t="s">
        <v>1718</v>
      </c>
      <c r="AS289" t="s">
        <v>1718</v>
      </c>
      <c r="AT289" t="s">
        <v>1718</v>
      </c>
      <c r="AU289" t="s">
        <v>1718</v>
      </c>
      <c r="AV289" t="str">
        <f>VLOOKUP(D289,DATA_SISTEMA!$A$1:$Q$506,12,FALSE)</f>
        <v>LAMBAYEQUE</v>
      </c>
      <c r="AW289" t="str">
        <f>VLOOKUP(D289,DATA_SISTEMA!$A$1:$Q$506,11,FALSE)</f>
        <v>LAMBAYEQUE</v>
      </c>
      <c r="AX289" t="str">
        <f>VLOOKUP(D289,DATA_SISTEMA!$A$1:$Q$506,10,FALSE)</f>
        <v>LAMBAYEQUE</v>
      </c>
      <c r="AY289" t="s">
        <v>1718</v>
      </c>
      <c r="AZ289" t="s">
        <v>5028</v>
      </c>
      <c r="BA289" t="s">
        <v>1718</v>
      </c>
      <c r="BB289" t="s">
        <v>5028</v>
      </c>
      <c r="BC289" t="s">
        <v>1718</v>
      </c>
      <c r="BD289" t="s">
        <v>5028</v>
      </c>
      <c r="BE289" t="s">
        <v>1718</v>
      </c>
      <c r="BF289" s="34" t="s">
        <v>2104</v>
      </c>
      <c r="BG289" s="30">
        <v>80.5</v>
      </c>
    </row>
    <row r="290" spans="1:59" x14ac:dyDescent="0.25">
      <c r="A290" s="4">
        <v>289</v>
      </c>
      <c r="B290" s="33" t="s">
        <v>1719</v>
      </c>
      <c r="C290" s="30" t="s">
        <v>2008</v>
      </c>
      <c r="D290" s="48" t="s">
        <v>4810</v>
      </c>
      <c r="E290" s="30" t="s">
        <v>819</v>
      </c>
      <c r="F290" s="36" t="s">
        <v>1718</v>
      </c>
      <c r="G290" s="30">
        <v>978477960</v>
      </c>
      <c r="H290" t="str">
        <f>VLOOKUP(D290,DATA_SISTEMA!$A$1:$Q$506,13,FALSE)</f>
        <v>MANUEL SEOANE 262</v>
      </c>
      <c r="I290" t="str">
        <f>VLOOKUP(D290,DATA_SISTEMA!$A$1:$Q$506,7,FALSE)</f>
        <v>1993-01-10</v>
      </c>
      <c r="J290" s="32" t="s">
        <v>1718</v>
      </c>
      <c r="K290" s="32" t="s">
        <v>1718</v>
      </c>
      <c r="L290" s="32" t="s">
        <v>1718</v>
      </c>
      <c r="M290">
        <v>330</v>
      </c>
      <c r="N290">
        <v>0</v>
      </c>
      <c r="O290" s="32" t="str">
        <f t="shared" si="4"/>
        <v>2890020261X</v>
      </c>
      <c r="P290" s="32" t="s">
        <v>1718</v>
      </c>
      <c r="Q290" s="32" t="s">
        <v>1718</v>
      </c>
      <c r="R290" s="32" t="s">
        <v>2110</v>
      </c>
      <c r="S290" s="32" t="s">
        <v>5034</v>
      </c>
      <c r="T290" t="str">
        <f>VLOOKUP(D290,DATA_SISTEMA!$A$1:$Q$506,9,FALSE)</f>
        <v>F</v>
      </c>
      <c r="U290" s="32" t="s">
        <v>2106</v>
      </c>
      <c r="V290" s="32" t="s">
        <v>1718</v>
      </c>
      <c r="W290" s="37" t="s">
        <v>5028</v>
      </c>
      <c r="X290" s="32" t="s">
        <v>4522</v>
      </c>
      <c r="Y290" s="32" t="s">
        <v>1718</v>
      </c>
      <c r="Z290" s="32" t="s">
        <v>1718</v>
      </c>
      <c r="AA290" s="32" t="s">
        <v>5028</v>
      </c>
      <c r="AB290" s="32" t="s">
        <v>1718</v>
      </c>
      <c r="AC290" s="32" t="s">
        <v>1718</v>
      </c>
      <c r="AD290" s="32" t="s">
        <v>1718</v>
      </c>
      <c r="AE290" s="32" t="s">
        <v>1718</v>
      </c>
      <c r="AF290" s="32" t="s">
        <v>1718</v>
      </c>
      <c r="AG290" s="32" t="s">
        <v>1718</v>
      </c>
      <c r="AH290" s="32" t="s">
        <v>2107</v>
      </c>
      <c r="AI290" s="30" t="s">
        <v>1578</v>
      </c>
      <c r="AJ290" s="30" t="s">
        <v>976</v>
      </c>
      <c r="AK290" s="30" t="s">
        <v>900</v>
      </c>
      <c r="AL290" s="30">
        <v>72418564</v>
      </c>
      <c r="AM290" t="s">
        <v>1718</v>
      </c>
      <c r="AN290" t="s">
        <v>1718</v>
      </c>
      <c r="AO290" t="s">
        <v>1718</v>
      </c>
      <c r="AP290" t="s">
        <v>1718</v>
      </c>
      <c r="AQ290" t="s">
        <v>1718</v>
      </c>
      <c r="AR290" t="s">
        <v>1718</v>
      </c>
      <c r="AS290" t="s">
        <v>1718</v>
      </c>
      <c r="AT290" t="s">
        <v>1718</v>
      </c>
      <c r="AU290" t="s">
        <v>1718</v>
      </c>
      <c r="AV290" t="str">
        <f>VLOOKUP(D290,DATA_SISTEMA!$A$1:$Q$506,12,FALSE)</f>
        <v>LA VICTORIA</v>
      </c>
      <c r="AW290" t="str">
        <f>VLOOKUP(D290,DATA_SISTEMA!$A$1:$Q$506,11,FALSE)</f>
        <v>CHICLAYO</v>
      </c>
      <c r="AX290" t="str">
        <f>VLOOKUP(D290,DATA_SISTEMA!$A$1:$Q$506,10,FALSE)</f>
        <v>LAMBAYEQUE</v>
      </c>
      <c r="AY290" t="s">
        <v>1718</v>
      </c>
      <c r="AZ290" t="s">
        <v>5028</v>
      </c>
      <c r="BA290" t="s">
        <v>1718</v>
      </c>
      <c r="BB290" t="s">
        <v>5028</v>
      </c>
      <c r="BC290" t="s">
        <v>1718</v>
      </c>
      <c r="BD290" t="s">
        <v>5028</v>
      </c>
      <c r="BE290" t="s">
        <v>1718</v>
      </c>
      <c r="BF290" s="34" t="s">
        <v>2104</v>
      </c>
      <c r="BG290" s="30">
        <v>76.599999999999994</v>
      </c>
    </row>
    <row r="291" spans="1:59" x14ac:dyDescent="0.25">
      <c r="A291" s="4">
        <v>290</v>
      </c>
      <c r="B291" s="33" t="s">
        <v>1719</v>
      </c>
      <c r="C291" s="30" t="s">
        <v>2009</v>
      </c>
      <c r="D291" s="48" t="s">
        <v>4811</v>
      </c>
      <c r="E291" s="30" t="s">
        <v>821</v>
      </c>
      <c r="F291" s="36" t="s">
        <v>1718</v>
      </c>
      <c r="G291" s="30">
        <v>968446288</v>
      </c>
      <c r="H291" t="str">
        <f>VLOOKUP(D291,DATA_SISTEMA!$A$1:$Q$506,13,FALSE)</f>
        <v>ATAHUALPA 268 - JOSE LEONARDO ORTIZ</v>
      </c>
      <c r="I291" t="str">
        <f>VLOOKUP(D291,DATA_SISTEMA!$A$1:$Q$506,7,FALSE)</f>
        <v>1990-05-29</v>
      </c>
      <c r="J291" s="32" t="s">
        <v>1718</v>
      </c>
      <c r="K291" s="32" t="s">
        <v>1718</v>
      </c>
      <c r="L291" s="32" t="s">
        <v>1718</v>
      </c>
      <c r="M291">
        <v>330</v>
      </c>
      <c r="N291">
        <v>0</v>
      </c>
      <c r="O291" s="32" t="str">
        <f t="shared" si="4"/>
        <v>2900020261X</v>
      </c>
      <c r="P291" s="32" t="s">
        <v>1718</v>
      </c>
      <c r="Q291" s="32" t="s">
        <v>1718</v>
      </c>
      <c r="R291" s="32" t="s">
        <v>2110</v>
      </c>
      <c r="S291" s="32" t="s">
        <v>5034</v>
      </c>
      <c r="T291" t="str">
        <f>VLOOKUP(D291,DATA_SISTEMA!$A$1:$Q$506,9,FALSE)</f>
        <v>F</v>
      </c>
      <c r="U291" s="32" t="s">
        <v>2106</v>
      </c>
      <c r="V291" s="32" t="s">
        <v>1718</v>
      </c>
      <c r="W291" s="37" t="s">
        <v>5028</v>
      </c>
      <c r="X291" s="32" t="s">
        <v>4522</v>
      </c>
      <c r="Y291" s="32" t="s">
        <v>1718</v>
      </c>
      <c r="Z291" s="32" t="s">
        <v>1718</v>
      </c>
      <c r="AA291" s="32" t="s">
        <v>5028</v>
      </c>
      <c r="AB291" s="32" t="s">
        <v>1718</v>
      </c>
      <c r="AC291" s="32" t="s">
        <v>1718</v>
      </c>
      <c r="AD291" s="32" t="s">
        <v>1718</v>
      </c>
      <c r="AE291" s="32" t="s">
        <v>1718</v>
      </c>
      <c r="AF291" s="32" t="s">
        <v>1718</v>
      </c>
      <c r="AG291" s="32" t="s">
        <v>1718</v>
      </c>
      <c r="AH291" s="32" t="s">
        <v>2107</v>
      </c>
      <c r="AI291" s="30" t="s">
        <v>1579</v>
      </c>
      <c r="AJ291" s="30" t="s">
        <v>987</v>
      </c>
      <c r="AK291" s="30" t="s">
        <v>980</v>
      </c>
      <c r="AL291" s="30">
        <v>46543374</v>
      </c>
      <c r="AM291" t="s">
        <v>1718</v>
      </c>
      <c r="AN291" t="s">
        <v>1718</v>
      </c>
      <c r="AO291" t="s">
        <v>1718</v>
      </c>
      <c r="AP291" t="s">
        <v>1718</v>
      </c>
      <c r="AQ291" t="s">
        <v>1718</v>
      </c>
      <c r="AR291" t="s">
        <v>1718</v>
      </c>
      <c r="AS291" t="s">
        <v>1718</v>
      </c>
      <c r="AT291" t="s">
        <v>1718</v>
      </c>
      <c r="AU291" t="s">
        <v>1718</v>
      </c>
      <c r="AV291" t="str">
        <f>VLOOKUP(D291,DATA_SISTEMA!$A$1:$Q$506,12,FALSE)</f>
        <v>CHICLAYO</v>
      </c>
      <c r="AW291" t="str">
        <f>VLOOKUP(D291,DATA_SISTEMA!$A$1:$Q$506,11,FALSE)</f>
        <v>CHICLAYO</v>
      </c>
      <c r="AX291" t="str">
        <f>VLOOKUP(D291,DATA_SISTEMA!$A$1:$Q$506,10,FALSE)</f>
        <v>LAMBAYEQUE</v>
      </c>
      <c r="AY291" t="s">
        <v>1718</v>
      </c>
      <c r="AZ291" t="s">
        <v>5028</v>
      </c>
      <c r="BA291" t="s">
        <v>1718</v>
      </c>
      <c r="BB291" t="s">
        <v>5028</v>
      </c>
      <c r="BC291" t="s">
        <v>1718</v>
      </c>
      <c r="BD291" t="s">
        <v>5028</v>
      </c>
      <c r="BE291" t="s">
        <v>1718</v>
      </c>
      <c r="BF291" s="34" t="s">
        <v>2104</v>
      </c>
      <c r="BG291" s="30">
        <v>76.599999999999994</v>
      </c>
    </row>
    <row r="292" spans="1:59" x14ac:dyDescent="0.25">
      <c r="A292" s="4">
        <v>291</v>
      </c>
      <c r="B292" s="33" t="s">
        <v>1719</v>
      </c>
      <c r="C292" s="30" t="s">
        <v>2010</v>
      </c>
      <c r="D292" s="48" t="s">
        <v>4812</v>
      </c>
      <c r="E292" s="30" t="s">
        <v>823</v>
      </c>
      <c r="F292" s="36" t="s">
        <v>1718</v>
      </c>
      <c r="G292" s="30">
        <v>920530961</v>
      </c>
      <c r="H292" t="str">
        <f>VLOOKUP(D292,DATA_SISTEMA!$A$1:$Q$506,13,FALSE)</f>
        <v>URB. FONAVI MZ. B LT. 14</v>
      </c>
      <c r="I292" t="str">
        <f>VLOOKUP(D292,DATA_SISTEMA!$A$1:$Q$506,7,FALSE)</f>
        <v>1992-08-15</v>
      </c>
      <c r="J292" s="32" t="s">
        <v>1718</v>
      </c>
      <c r="K292" s="32" t="s">
        <v>1718</v>
      </c>
      <c r="L292" s="32" t="s">
        <v>1718</v>
      </c>
      <c r="M292">
        <v>330</v>
      </c>
      <c r="N292">
        <v>0</v>
      </c>
      <c r="O292" s="32" t="str">
        <f t="shared" si="4"/>
        <v>2910020261X</v>
      </c>
      <c r="P292" s="32" t="s">
        <v>1718</v>
      </c>
      <c r="Q292" s="32" t="s">
        <v>1718</v>
      </c>
      <c r="R292" s="32" t="s">
        <v>2110</v>
      </c>
      <c r="S292" s="32" t="s">
        <v>5034</v>
      </c>
      <c r="T292" t="str">
        <f>VLOOKUP(D292,DATA_SISTEMA!$A$1:$Q$506,9,FALSE)</f>
        <v>M</v>
      </c>
      <c r="U292" s="32" t="s">
        <v>2106</v>
      </c>
      <c r="V292" s="32" t="s">
        <v>1718</v>
      </c>
      <c r="W292" s="37" t="s">
        <v>5028</v>
      </c>
      <c r="X292" s="32" t="s">
        <v>4522</v>
      </c>
      <c r="Y292" s="32" t="s">
        <v>1718</v>
      </c>
      <c r="Z292" s="32" t="s">
        <v>1718</v>
      </c>
      <c r="AA292" s="32" t="s">
        <v>5028</v>
      </c>
      <c r="AB292" s="32" t="s">
        <v>1718</v>
      </c>
      <c r="AC292" s="32" t="s">
        <v>1718</v>
      </c>
      <c r="AD292" s="32" t="s">
        <v>1718</v>
      </c>
      <c r="AE292" s="32" t="s">
        <v>1718</v>
      </c>
      <c r="AF292" s="32" t="s">
        <v>1718</v>
      </c>
      <c r="AG292" s="32" t="s">
        <v>1718</v>
      </c>
      <c r="AH292" s="32" t="s">
        <v>2107</v>
      </c>
      <c r="AI292" s="30" t="s">
        <v>1580</v>
      </c>
      <c r="AJ292" s="30" t="s">
        <v>1216</v>
      </c>
      <c r="AK292" s="30" t="s">
        <v>1217</v>
      </c>
      <c r="AL292" s="30">
        <v>72429350</v>
      </c>
      <c r="AM292" t="s">
        <v>1718</v>
      </c>
      <c r="AN292" t="s">
        <v>1718</v>
      </c>
      <c r="AO292" t="s">
        <v>1718</v>
      </c>
      <c r="AP292" t="s">
        <v>1718</v>
      </c>
      <c r="AQ292" t="s">
        <v>1718</v>
      </c>
      <c r="AR292" t="s">
        <v>1718</v>
      </c>
      <c r="AS292" t="s">
        <v>1718</v>
      </c>
      <c r="AT292" t="s">
        <v>1718</v>
      </c>
      <c r="AU292" t="s">
        <v>1718</v>
      </c>
      <c r="AV292" t="str">
        <f>VLOOKUP(D292,DATA_SISTEMA!$A$1:$Q$506,12,FALSE)</f>
        <v>CATACAOS</v>
      </c>
      <c r="AW292" t="str">
        <f>VLOOKUP(D292,DATA_SISTEMA!$A$1:$Q$506,11,FALSE)</f>
        <v>PIURA</v>
      </c>
      <c r="AX292" t="str">
        <f>VLOOKUP(D292,DATA_SISTEMA!$A$1:$Q$506,10,FALSE)</f>
        <v>PIURA</v>
      </c>
      <c r="AY292" t="s">
        <v>1718</v>
      </c>
      <c r="AZ292" t="s">
        <v>5028</v>
      </c>
      <c r="BA292" t="s">
        <v>1718</v>
      </c>
      <c r="BB292" t="s">
        <v>5028</v>
      </c>
      <c r="BC292" t="s">
        <v>1718</v>
      </c>
      <c r="BD292" t="s">
        <v>5028</v>
      </c>
      <c r="BE292" t="s">
        <v>1718</v>
      </c>
      <c r="BF292" s="34" t="s">
        <v>2104</v>
      </c>
      <c r="BG292" s="30">
        <v>75</v>
      </c>
    </row>
    <row r="293" spans="1:59" x14ac:dyDescent="0.25">
      <c r="A293" s="4">
        <v>292</v>
      </c>
      <c r="B293" s="33" t="s">
        <v>1719</v>
      </c>
      <c r="C293" s="30" t="s">
        <v>2011</v>
      </c>
      <c r="D293" s="48" t="s">
        <v>4813</v>
      </c>
      <c r="E293" s="30" t="s">
        <v>825</v>
      </c>
      <c r="F293" s="36" t="s">
        <v>1718</v>
      </c>
      <c r="G293" s="30">
        <v>966227751</v>
      </c>
      <c r="H293" t="str">
        <f>VLOOKUP(D293,DATA_SISTEMA!$A$1:$Q$506,13,FALSE)</f>
        <v>CALLE COIS 654</v>
      </c>
      <c r="I293" t="str">
        <f>VLOOKUP(D293,DATA_SISTEMA!$A$1:$Q$506,7,FALSE)</f>
        <v>1980-09-17</v>
      </c>
      <c r="J293" s="32" t="s">
        <v>1718</v>
      </c>
      <c r="K293" s="32" t="s">
        <v>1718</v>
      </c>
      <c r="L293" s="32" t="s">
        <v>1718</v>
      </c>
      <c r="M293">
        <v>330</v>
      </c>
      <c r="N293">
        <v>0</v>
      </c>
      <c r="O293" s="32" t="str">
        <f t="shared" si="4"/>
        <v>2920020261X</v>
      </c>
      <c r="P293" s="32" t="s">
        <v>1718</v>
      </c>
      <c r="Q293" s="32" t="s">
        <v>1718</v>
      </c>
      <c r="R293" s="32" t="s">
        <v>2110</v>
      </c>
      <c r="S293" s="32" t="s">
        <v>5034</v>
      </c>
      <c r="T293" t="str">
        <f>VLOOKUP(D293,DATA_SISTEMA!$A$1:$Q$506,9,FALSE)</f>
        <v>F</v>
      </c>
      <c r="U293" s="32" t="s">
        <v>2106</v>
      </c>
      <c r="V293" s="32" t="s">
        <v>1718</v>
      </c>
      <c r="W293" s="37" t="s">
        <v>5028</v>
      </c>
      <c r="X293" s="32" t="s">
        <v>4522</v>
      </c>
      <c r="Y293" s="32" t="s">
        <v>1718</v>
      </c>
      <c r="Z293" s="32" t="s">
        <v>1718</v>
      </c>
      <c r="AA293" s="32" t="s">
        <v>5028</v>
      </c>
      <c r="AB293" s="32" t="s">
        <v>1718</v>
      </c>
      <c r="AC293" s="32" t="s">
        <v>1718</v>
      </c>
      <c r="AD293" s="32" t="s">
        <v>1718</v>
      </c>
      <c r="AE293" s="32" t="s">
        <v>1718</v>
      </c>
      <c r="AF293" s="32" t="s">
        <v>1718</v>
      </c>
      <c r="AG293" s="32" t="s">
        <v>1718</v>
      </c>
      <c r="AH293" s="32" t="s">
        <v>2107</v>
      </c>
      <c r="AI293" s="30" t="s">
        <v>1581</v>
      </c>
      <c r="AJ293" s="30" t="s">
        <v>1017</v>
      </c>
      <c r="AK293" s="30" t="s">
        <v>1218</v>
      </c>
      <c r="AL293" s="30">
        <v>40682987</v>
      </c>
      <c r="AM293" t="s">
        <v>1718</v>
      </c>
      <c r="AN293" t="s">
        <v>1718</v>
      </c>
      <c r="AO293" t="s">
        <v>1718</v>
      </c>
      <c r="AP293" t="s">
        <v>1718</v>
      </c>
      <c r="AQ293" t="s">
        <v>1718</v>
      </c>
      <c r="AR293" t="s">
        <v>1718</v>
      </c>
      <c r="AS293" t="s">
        <v>1718</v>
      </c>
      <c r="AT293" t="s">
        <v>1718</v>
      </c>
      <c r="AU293" t="s">
        <v>1718</v>
      </c>
      <c r="AV293" t="str">
        <f>VLOOKUP(D293,DATA_SISTEMA!$A$1:$Q$506,12,FALSE)</f>
        <v>CHICLAYO</v>
      </c>
      <c r="AW293" t="str">
        <f>VLOOKUP(D293,DATA_SISTEMA!$A$1:$Q$506,11,FALSE)</f>
        <v>CHICLAYO</v>
      </c>
      <c r="AX293" t="str">
        <f>VLOOKUP(D293,DATA_SISTEMA!$A$1:$Q$506,10,FALSE)</f>
        <v>LAMBAYEQUE</v>
      </c>
      <c r="AY293" t="s">
        <v>1718</v>
      </c>
      <c r="AZ293" t="s">
        <v>5028</v>
      </c>
      <c r="BA293" t="s">
        <v>1718</v>
      </c>
      <c r="BB293" t="s">
        <v>5028</v>
      </c>
      <c r="BC293" t="s">
        <v>1718</v>
      </c>
      <c r="BD293" t="s">
        <v>5028</v>
      </c>
      <c r="BE293" t="s">
        <v>1718</v>
      </c>
      <c r="BF293" s="34" t="s">
        <v>2104</v>
      </c>
      <c r="BG293" s="30">
        <v>75</v>
      </c>
    </row>
    <row r="294" spans="1:59" x14ac:dyDescent="0.25">
      <c r="A294" s="4">
        <v>293</v>
      </c>
      <c r="B294" s="33" t="s">
        <v>1719</v>
      </c>
      <c r="C294" s="30" t="s">
        <v>2012</v>
      </c>
      <c r="D294" s="48" t="s">
        <v>4814</v>
      </c>
      <c r="E294" s="30" t="s">
        <v>827</v>
      </c>
      <c r="F294" s="36" t="s">
        <v>1718</v>
      </c>
      <c r="G294" s="30">
        <v>966572701</v>
      </c>
      <c r="H294" t="str">
        <f>VLOOKUP(D294,DATA_SISTEMA!$A$1:$Q$506,13,FALSE)</f>
        <v>CALLE FEDERICO VILLARREAL CDRA.11</v>
      </c>
      <c r="I294" t="str">
        <f>VLOOKUP(D294,DATA_SISTEMA!$A$1:$Q$506,7,FALSE)</f>
        <v>1999-12-13</v>
      </c>
      <c r="J294" s="32" t="s">
        <v>1718</v>
      </c>
      <c r="K294" s="32" t="s">
        <v>1718</v>
      </c>
      <c r="L294" s="32" t="s">
        <v>1718</v>
      </c>
      <c r="M294">
        <v>330</v>
      </c>
      <c r="N294">
        <v>0</v>
      </c>
      <c r="O294" s="32" t="str">
        <f t="shared" si="4"/>
        <v>2930020261X</v>
      </c>
      <c r="P294" s="32" t="s">
        <v>1718</v>
      </c>
      <c r="Q294" s="32" t="s">
        <v>1718</v>
      </c>
      <c r="R294" s="32" t="s">
        <v>2110</v>
      </c>
      <c r="S294" s="32" t="s">
        <v>5034</v>
      </c>
      <c r="T294" t="str">
        <f>VLOOKUP(D294,DATA_SISTEMA!$A$1:$Q$506,9,FALSE)</f>
        <v>M</v>
      </c>
      <c r="U294" s="32" t="s">
        <v>2106</v>
      </c>
      <c r="V294" s="32" t="s">
        <v>1718</v>
      </c>
      <c r="W294" s="37" t="s">
        <v>5028</v>
      </c>
      <c r="X294" s="32" t="s">
        <v>4522</v>
      </c>
      <c r="Y294" s="32" t="s">
        <v>1718</v>
      </c>
      <c r="Z294" s="32" t="s">
        <v>1718</v>
      </c>
      <c r="AA294" s="32" t="s">
        <v>5028</v>
      </c>
      <c r="AB294" s="32" t="s">
        <v>1718</v>
      </c>
      <c r="AC294" s="32" t="s">
        <v>1718</v>
      </c>
      <c r="AD294" s="32" t="s">
        <v>1718</v>
      </c>
      <c r="AE294" s="32" t="s">
        <v>1718</v>
      </c>
      <c r="AF294" s="32" t="s">
        <v>1718</v>
      </c>
      <c r="AG294" s="32" t="s">
        <v>1718</v>
      </c>
      <c r="AH294" s="32" t="s">
        <v>2107</v>
      </c>
      <c r="AI294" s="30" t="s">
        <v>1582</v>
      </c>
      <c r="AJ294" s="30" t="s">
        <v>1024</v>
      </c>
      <c r="AK294" s="30" t="s">
        <v>1070</v>
      </c>
      <c r="AL294" s="30">
        <v>76371681</v>
      </c>
      <c r="AM294" t="s">
        <v>1718</v>
      </c>
      <c r="AN294" t="s">
        <v>1718</v>
      </c>
      <c r="AO294" t="s">
        <v>1718</v>
      </c>
      <c r="AP294" t="s">
        <v>1718</v>
      </c>
      <c r="AQ294" t="s">
        <v>1718</v>
      </c>
      <c r="AR294" t="s">
        <v>1718</v>
      </c>
      <c r="AS294" t="s">
        <v>1718</v>
      </c>
      <c r="AT294" t="s">
        <v>1718</v>
      </c>
      <c r="AU294" t="s">
        <v>1718</v>
      </c>
      <c r="AV294" t="str">
        <f>VLOOKUP(D294,DATA_SISTEMA!$A$1:$Q$506,12,FALSE)</f>
        <v>TUCUME</v>
      </c>
      <c r="AW294" t="str">
        <f>VLOOKUP(D294,DATA_SISTEMA!$A$1:$Q$506,11,FALSE)</f>
        <v>LAMBAYEQUE</v>
      </c>
      <c r="AX294" t="str">
        <f>VLOOKUP(D294,DATA_SISTEMA!$A$1:$Q$506,10,FALSE)</f>
        <v>LAMBAYEQUE</v>
      </c>
      <c r="AY294" t="s">
        <v>1718</v>
      </c>
      <c r="AZ294" t="s">
        <v>5028</v>
      </c>
      <c r="BA294" t="s">
        <v>1718</v>
      </c>
      <c r="BB294" t="s">
        <v>5028</v>
      </c>
      <c r="BC294" t="s">
        <v>1718</v>
      </c>
      <c r="BD294" t="s">
        <v>5028</v>
      </c>
      <c r="BE294" t="s">
        <v>1718</v>
      </c>
      <c r="BF294" s="34" t="s">
        <v>2104</v>
      </c>
      <c r="BG294" s="30">
        <v>74.7</v>
      </c>
    </row>
    <row r="295" spans="1:59" x14ac:dyDescent="0.25">
      <c r="A295" s="4">
        <v>294</v>
      </c>
      <c r="B295" s="33" t="s">
        <v>1719</v>
      </c>
      <c r="C295" s="30" t="s">
        <v>2013</v>
      </c>
      <c r="D295" s="48" t="s">
        <v>4815</v>
      </c>
      <c r="E295" s="30" t="s">
        <v>829</v>
      </c>
      <c r="F295" s="36" t="s">
        <v>1718</v>
      </c>
      <c r="G295" s="30">
        <v>901415921</v>
      </c>
      <c r="H295" t="str">
        <f>VLOOKUP(D295,DATA_SISTEMA!$A$1:$Q$506,13,FALSE)</f>
        <v>AAHH MIGUEL GRAU MZ L LOTE 5</v>
      </c>
      <c r="I295" t="str">
        <f>VLOOKUP(D295,DATA_SISTEMA!$A$1:$Q$506,7,FALSE)</f>
        <v>1980-02-28</v>
      </c>
      <c r="J295" s="32" t="s">
        <v>1718</v>
      </c>
      <c r="K295" s="32" t="s">
        <v>1718</v>
      </c>
      <c r="L295" s="32" t="s">
        <v>1718</v>
      </c>
      <c r="M295">
        <v>330</v>
      </c>
      <c r="N295">
        <v>0</v>
      </c>
      <c r="O295" s="32" t="str">
        <f t="shared" si="4"/>
        <v>2940020261X</v>
      </c>
      <c r="P295" s="32" t="s">
        <v>1718</v>
      </c>
      <c r="Q295" s="32" t="s">
        <v>1718</v>
      </c>
      <c r="R295" s="32" t="s">
        <v>2110</v>
      </c>
      <c r="S295" s="32" t="s">
        <v>5034</v>
      </c>
      <c r="T295" t="str">
        <f>VLOOKUP(D295,DATA_SISTEMA!$A$1:$Q$506,9,FALSE)</f>
        <v>F</v>
      </c>
      <c r="U295" s="32" t="s">
        <v>2106</v>
      </c>
      <c r="V295" s="32" t="s">
        <v>1718</v>
      </c>
      <c r="W295" s="37" t="s">
        <v>5028</v>
      </c>
      <c r="X295" s="32" t="s">
        <v>4522</v>
      </c>
      <c r="Y295" s="32" t="s">
        <v>1718</v>
      </c>
      <c r="Z295" s="32" t="s">
        <v>1718</v>
      </c>
      <c r="AA295" s="32" t="s">
        <v>5028</v>
      </c>
      <c r="AB295" s="32" t="s">
        <v>1718</v>
      </c>
      <c r="AC295" s="32" t="s">
        <v>1718</v>
      </c>
      <c r="AD295" s="32" t="s">
        <v>1718</v>
      </c>
      <c r="AE295" s="32" t="s">
        <v>1718</v>
      </c>
      <c r="AF295" s="32" t="s">
        <v>1718</v>
      </c>
      <c r="AG295" s="32" t="s">
        <v>1718</v>
      </c>
      <c r="AH295" s="32" t="s">
        <v>2107</v>
      </c>
      <c r="AI295" s="30" t="s">
        <v>1583</v>
      </c>
      <c r="AJ295" s="30" t="s">
        <v>1219</v>
      </c>
      <c r="AK295" s="30" t="s">
        <v>1220</v>
      </c>
      <c r="AL295" s="30">
        <v>40526435</v>
      </c>
      <c r="AM295" t="s">
        <v>1718</v>
      </c>
      <c r="AN295" t="s">
        <v>1718</v>
      </c>
      <c r="AO295" t="s">
        <v>1718</v>
      </c>
      <c r="AP295" t="s">
        <v>1718</v>
      </c>
      <c r="AQ295" t="s">
        <v>1718</v>
      </c>
      <c r="AR295" t="s">
        <v>1718</v>
      </c>
      <c r="AS295" t="s">
        <v>1718</v>
      </c>
      <c r="AT295" t="s">
        <v>1718</v>
      </c>
      <c r="AU295" t="s">
        <v>1718</v>
      </c>
      <c r="AV295" t="str">
        <f>VLOOKUP(D295,DATA_SISTEMA!$A$1:$Q$506,12,FALSE)</f>
        <v>PAITA</v>
      </c>
      <c r="AW295" t="str">
        <f>VLOOKUP(D295,DATA_SISTEMA!$A$1:$Q$506,11,FALSE)</f>
        <v>PAITA</v>
      </c>
      <c r="AX295" t="str">
        <f>VLOOKUP(D295,DATA_SISTEMA!$A$1:$Q$506,10,FALSE)</f>
        <v>PIURA</v>
      </c>
      <c r="AY295" t="s">
        <v>1718</v>
      </c>
      <c r="AZ295" t="s">
        <v>5028</v>
      </c>
      <c r="BA295" t="s">
        <v>1718</v>
      </c>
      <c r="BB295" t="s">
        <v>5028</v>
      </c>
      <c r="BC295" t="s">
        <v>1718</v>
      </c>
      <c r="BD295" t="s">
        <v>5028</v>
      </c>
      <c r="BE295" t="s">
        <v>1718</v>
      </c>
      <c r="BF295" s="34" t="s">
        <v>2104</v>
      </c>
      <c r="BG295" s="30">
        <v>74</v>
      </c>
    </row>
    <row r="296" spans="1:59" x14ac:dyDescent="0.25">
      <c r="A296" s="4">
        <v>295</v>
      </c>
      <c r="B296" s="33" t="s">
        <v>1719</v>
      </c>
      <c r="C296" s="30" t="s">
        <v>2014</v>
      </c>
      <c r="D296" s="48" t="s">
        <v>4816</v>
      </c>
      <c r="E296" s="30" t="s">
        <v>831</v>
      </c>
      <c r="F296" s="36" t="s">
        <v>1718</v>
      </c>
      <c r="G296" s="30">
        <v>912946485</v>
      </c>
      <c r="H296" t="str">
        <f>VLOOKUP(D296,DATA_SISTEMA!$A$1:$Q$506,13,FALSE)</f>
        <v>CALLE SAN MARTIN N° 117</v>
      </c>
      <c r="I296" t="str">
        <f>VLOOKUP(D296,DATA_SISTEMA!$A$1:$Q$506,7,FALSE)</f>
        <v>1975-05-08</v>
      </c>
      <c r="J296" s="32" t="s">
        <v>1718</v>
      </c>
      <c r="K296" s="32" t="s">
        <v>1718</v>
      </c>
      <c r="L296" s="32" t="s">
        <v>1718</v>
      </c>
      <c r="M296">
        <v>330</v>
      </c>
      <c r="N296">
        <v>0</v>
      </c>
      <c r="O296" s="32" t="str">
        <f t="shared" si="4"/>
        <v>2950020261X</v>
      </c>
      <c r="P296" s="32" t="s">
        <v>1718</v>
      </c>
      <c r="Q296" s="32" t="s">
        <v>1718</v>
      </c>
      <c r="R296" s="32" t="s">
        <v>2110</v>
      </c>
      <c r="S296" s="32" t="s">
        <v>5034</v>
      </c>
      <c r="T296" t="str">
        <f>VLOOKUP(D296,DATA_SISTEMA!$A$1:$Q$506,9,FALSE)</f>
        <v>M</v>
      </c>
      <c r="U296" s="32" t="s">
        <v>2106</v>
      </c>
      <c r="V296" s="32" t="s">
        <v>1718</v>
      </c>
      <c r="W296" s="37" t="s">
        <v>5028</v>
      </c>
      <c r="X296" s="32" t="s">
        <v>4522</v>
      </c>
      <c r="Y296" s="32" t="s">
        <v>1718</v>
      </c>
      <c r="Z296" s="32" t="s">
        <v>1718</v>
      </c>
      <c r="AA296" s="32" t="s">
        <v>5028</v>
      </c>
      <c r="AB296" s="32" t="s">
        <v>1718</v>
      </c>
      <c r="AC296" s="32" t="s">
        <v>1718</v>
      </c>
      <c r="AD296" s="32" t="s">
        <v>1718</v>
      </c>
      <c r="AE296" s="32" t="s">
        <v>1718</v>
      </c>
      <c r="AF296" s="32" t="s">
        <v>1718</v>
      </c>
      <c r="AG296" s="32" t="s">
        <v>1718</v>
      </c>
      <c r="AH296" s="32" t="s">
        <v>2107</v>
      </c>
      <c r="AI296" s="30" t="s">
        <v>1386</v>
      </c>
      <c r="AJ296" s="30" t="s">
        <v>1221</v>
      </c>
      <c r="AK296" s="30" t="s">
        <v>1222</v>
      </c>
      <c r="AL296" s="30">
        <v>17447604</v>
      </c>
      <c r="AM296" t="s">
        <v>1718</v>
      </c>
      <c r="AN296" t="s">
        <v>1718</v>
      </c>
      <c r="AO296" t="s">
        <v>1718</v>
      </c>
      <c r="AP296" t="s">
        <v>1718</v>
      </c>
      <c r="AQ296" t="s">
        <v>1718</v>
      </c>
      <c r="AR296" t="s">
        <v>1718</v>
      </c>
      <c r="AS296" t="s">
        <v>1718</v>
      </c>
      <c r="AT296" t="s">
        <v>1718</v>
      </c>
      <c r="AU296" t="s">
        <v>1718</v>
      </c>
      <c r="AV296" t="str">
        <f>VLOOKUP(D296,DATA_SISTEMA!$A$1:$Q$506,12,FALSE)</f>
        <v>FERREÑAFE</v>
      </c>
      <c r="AW296" t="str">
        <f>VLOOKUP(D296,DATA_SISTEMA!$A$1:$Q$506,11,FALSE)</f>
        <v>FERREÑAFE</v>
      </c>
      <c r="AX296" t="str">
        <f>VLOOKUP(D296,DATA_SISTEMA!$A$1:$Q$506,10,FALSE)</f>
        <v>LAMBAYEQUE</v>
      </c>
      <c r="AY296" t="s">
        <v>1718</v>
      </c>
      <c r="AZ296" t="s">
        <v>5028</v>
      </c>
      <c r="BA296" t="s">
        <v>1718</v>
      </c>
      <c r="BB296" t="s">
        <v>5028</v>
      </c>
      <c r="BC296" t="s">
        <v>1718</v>
      </c>
      <c r="BD296" t="s">
        <v>5028</v>
      </c>
      <c r="BE296" t="s">
        <v>1718</v>
      </c>
      <c r="BF296" s="34" t="s">
        <v>2104</v>
      </c>
      <c r="BG296" s="30">
        <v>73.5</v>
      </c>
    </row>
    <row r="297" spans="1:59" x14ac:dyDescent="0.25">
      <c r="A297" s="4">
        <v>296</v>
      </c>
      <c r="B297" s="33" t="s">
        <v>1719</v>
      </c>
      <c r="C297" s="30" t="s">
        <v>2015</v>
      </c>
      <c r="D297" s="48" t="s">
        <v>4817</v>
      </c>
      <c r="E297" s="30" t="s">
        <v>833</v>
      </c>
      <c r="F297" s="36" t="s">
        <v>1718</v>
      </c>
      <c r="G297" s="30">
        <v>977727216</v>
      </c>
      <c r="H297" t="str">
        <f>VLOOKUP(D297,DATA_SISTEMA!$A$1:$Q$506,13,FALSE)</f>
        <v>PJ. FANNY ABANTO CALLE MZ J LOTE 12</v>
      </c>
      <c r="I297" t="str">
        <f>VLOOKUP(D297,DATA_SISTEMA!$A$1:$Q$506,7,FALSE)</f>
        <v>1990-05-30</v>
      </c>
      <c r="J297" s="32" t="s">
        <v>1718</v>
      </c>
      <c r="K297" s="32" t="s">
        <v>1718</v>
      </c>
      <c r="L297" s="32" t="s">
        <v>1718</v>
      </c>
      <c r="M297">
        <v>330</v>
      </c>
      <c r="N297">
        <v>0</v>
      </c>
      <c r="O297" s="32" t="str">
        <f t="shared" si="4"/>
        <v>2960020261X</v>
      </c>
      <c r="P297" s="32" t="s">
        <v>1718</v>
      </c>
      <c r="Q297" s="32" t="s">
        <v>1718</v>
      </c>
      <c r="R297" s="32" t="s">
        <v>2110</v>
      </c>
      <c r="S297" s="32" t="s">
        <v>5034</v>
      </c>
      <c r="T297" t="str">
        <f>VLOOKUP(D297,DATA_SISTEMA!$A$1:$Q$506,9,FALSE)</f>
        <v>F</v>
      </c>
      <c r="U297" s="32" t="s">
        <v>2106</v>
      </c>
      <c r="V297" s="32" t="s">
        <v>1718</v>
      </c>
      <c r="W297" s="37" t="s">
        <v>5028</v>
      </c>
      <c r="X297" s="32" t="s">
        <v>4522</v>
      </c>
      <c r="Y297" s="32" t="s">
        <v>1718</v>
      </c>
      <c r="Z297" s="32" t="s">
        <v>1718</v>
      </c>
      <c r="AA297" s="32" t="s">
        <v>5028</v>
      </c>
      <c r="AB297" s="32" t="s">
        <v>1718</v>
      </c>
      <c r="AC297" s="32" t="s">
        <v>1718</v>
      </c>
      <c r="AD297" s="32" t="s">
        <v>1718</v>
      </c>
      <c r="AE297" s="32" t="s">
        <v>1718</v>
      </c>
      <c r="AF297" s="32" t="s">
        <v>1718</v>
      </c>
      <c r="AG297" s="32" t="s">
        <v>1718</v>
      </c>
      <c r="AH297" s="32" t="s">
        <v>2107</v>
      </c>
      <c r="AI297" s="30" t="s">
        <v>1584</v>
      </c>
      <c r="AJ297" s="30" t="s">
        <v>1223</v>
      </c>
      <c r="AK297" s="30" t="s">
        <v>1224</v>
      </c>
      <c r="AL297" s="30">
        <v>46602449</v>
      </c>
      <c r="AM297" t="s">
        <v>1718</v>
      </c>
      <c r="AN297" t="s">
        <v>1718</v>
      </c>
      <c r="AO297" t="s">
        <v>1718</v>
      </c>
      <c r="AP297" t="s">
        <v>1718</v>
      </c>
      <c r="AQ297" t="s">
        <v>1718</v>
      </c>
      <c r="AR297" t="s">
        <v>1718</v>
      </c>
      <c r="AS297" t="s">
        <v>1718</v>
      </c>
      <c r="AT297" t="s">
        <v>1718</v>
      </c>
      <c r="AU297" t="s">
        <v>1718</v>
      </c>
      <c r="AV297" t="str">
        <f>VLOOKUP(D297,DATA_SISTEMA!$A$1:$Q$506,12,FALSE)</f>
        <v>CHICLAYO</v>
      </c>
      <c r="AW297" t="str">
        <f>VLOOKUP(D297,DATA_SISTEMA!$A$1:$Q$506,11,FALSE)</f>
        <v>CHICLAYO</v>
      </c>
      <c r="AX297" t="str">
        <f>VLOOKUP(D297,DATA_SISTEMA!$A$1:$Q$506,10,FALSE)</f>
        <v>LAMBAYEQUE</v>
      </c>
      <c r="AY297" t="s">
        <v>1718</v>
      </c>
      <c r="AZ297" t="s">
        <v>5028</v>
      </c>
      <c r="BA297" t="s">
        <v>1718</v>
      </c>
      <c r="BB297" t="s">
        <v>5028</v>
      </c>
      <c r="BC297" t="s">
        <v>1718</v>
      </c>
      <c r="BD297" t="s">
        <v>5028</v>
      </c>
      <c r="BE297" t="s">
        <v>1718</v>
      </c>
      <c r="BF297" s="34" t="s">
        <v>2104</v>
      </c>
      <c r="BG297" s="30">
        <v>72</v>
      </c>
    </row>
    <row r="298" spans="1:59" x14ac:dyDescent="0.25">
      <c r="A298" s="4">
        <v>297</v>
      </c>
      <c r="B298" s="33" t="s">
        <v>1719</v>
      </c>
      <c r="C298" s="30" t="s">
        <v>2016</v>
      </c>
      <c r="D298" s="48" t="s">
        <v>4818</v>
      </c>
      <c r="E298" s="30" t="s">
        <v>835</v>
      </c>
      <c r="F298" s="36" t="s">
        <v>1718</v>
      </c>
      <c r="G298" s="30">
        <v>948949910</v>
      </c>
      <c r="H298" t="str">
        <f>VLOOKUP(D298,DATA_SISTEMA!$A$1:$Q$506,13,FALSE)</f>
        <v>URB. COSSIO DEL POMAR MZ A1 - LT 05, CASTILLA - PIURA</v>
      </c>
      <c r="I298" t="str">
        <f>VLOOKUP(D298,DATA_SISTEMA!$A$1:$Q$506,7,FALSE)</f>
        <v>1989-11-16</v>
      </c>
      <c r="J298" s="32" t="s">
        <v>1718</v>
      </c>
      <c r="K298" s="32" t="s">
        <v>1718</v>
      </c>
      <c r="L298" s="32" t="s">
        <v>1718</v>
      </c>
      <c r="M298">
        <v>330</v>
      </c>
      <c r="N298">
        <v>0</v>
      </c>
      <c r="O298" s="32" t="str">
        <f t="shared" si="4"/>
        <v>2970020261X</v>
      </c>
      <c r="P298" s="32" t="s">
        <v>1718</v>
      </c>
      <c r="Q298" s="32" t="s">
        <v>1718</v>
      </c>
      <c r="R298" s="32" t="s">
        <v>2110</v>
      </c>
      <c r="S298" s="32" t="s">
        <v>5034</v>
      </c>
      <c r="T298" t="str">
        <f>VLOOKUP(D298,DATA_SISTEMA!$A$1:$Q$506,9,FALSE)</f>
        <v>M</v>
      </c>
      <c r="U298" s="32" t="s">
        <v>2106</v>
      </c>
      <c r="V298" s="32" t="s">
        <v>1718</v>
      </c>
      <c r="W298" s="37" t="s">
        <v>5028</v>
      </c>
      <c r="X298" s="32" t="s">
        <v>4522</v>
      </c>
      <c r="Y298" s="32" t="s">
        <v>1718</v>
      </c>
      <c r="Z298" s="32" t="s">
        <v>1718</v>
      </c>
      <c r="AA298" s="32" t="s">
        <v>5028</v>
      </c>
      <c r="AB298" s="32" t="s">
        <v>1718</v>
      </c>
      <c r="AC298" s="32" t="s">
        <v>1718</v>
      </c>
      <c r="AD298" s="32" t="s">
        <v>1718</v>
      </c>
      <c r="AE298" s="32" t="s">
        <v>1718</v>
      </c>
      <c r="AF298" s="32" t="s">
        <v>1718</v>
      </c>
      <c r="AG298" s="32" t="s">
        <v>1718</v>
      </c>
      <c r="AH298" s="32" t="s">
        <v>2107</v>
      </c>
      <c r="AI298" s="30" t="s">
        <v>1585</v>
      </c>
      <c r="AJ298" s="30" t="s">
        <v>1225</v>
      </c>
      <c r="AK298" s="30" t="s">
        <v>1226</v>
      </c>
      <c r="AL298" s="30">
        <v>46166550</v>
      </c>
      <c r="AM298" t="s">
        <v>1718</v>
      </c>
      <c r="AN298" t="s">
        <v>1718</v>
      </c>
      <c r="AO298" t="s">
        <v>1718</v>
      </c>
      <c r="AP298" t="s">
        <v>1718</v>
      </c>
      <c r="AQ298" t="s">
        <v>1718</v>
      </c>
      <c r="AR298" t="s">
        <v>1718</v>
      </c>
      <c r="AS298" t="s">
        <v>1718</v>
      </c>
      <c r="AT298" t="s">
        <v>1718</v>
      </c>
      <c r="AU298" t="s">
        <v>1718</v>
      </c>
      <c r="AV298" t="str">
        <f>VLOOKUP(D298,DATA_SISTEMA!$A$1:$Q$506,12,FALSE)</f>
        <v>HUANCABAMBA</v>
      </c>
      <c r="AW298" t="str">
        <f>VLOOKUP(D298,DATA_SISTEMA!$A$1:$Q$506,11,FALSE)</f>
        <v>HUANCABAMBA</v>
      </c>
      <c r="AX298" t="str">
        <f>VLOOKUP(D298,DATA_SISTEMA!$A$1:$Q$506,10,FALSE)</f>
        <v>PIURA</v>
      </c>
      <c r="AY298" t="s">
        <v>1718</v>
      </c>
      <c r="AZ298" t="s">
        <v>5028</v>
      </c>
      <c r="BA298" t="s">
        <v>1718</v>
      </c>
      <c r="BB298" t="s">
        <v>5028</v>
      </c>
      <c r="BC298" t="s">
        <v>1718</v>
      </c>
      <c r="BD298" t="s">
        <v>5028</v>
      </c>
      <c r="BE298" t="s">
        <v>1718</v>
      </c>
      <c r="BF298" s="34" t="s">
        <v>2104</v>
      </c>
      <c r="BG298" s="30">
        <v>71.5</v>
      </c>
    </row>
    <row r="299" spans="1:59" x14ac:dyDescent="0.25">
      <c r="A299" s="4">
        <v>298</v>
      </c>
      <c r="B299" s="33" t="s">
        <v>1719</v>
      </c>
      <c r="C299" s="30" t="s">
        <v>2017</v>
      </c>
      <c r="D299" s="48" t="s">
        <v>4819</v>
      </c>
      <c r="E299" s="30" t="s">
        <v>837</v>
      </c>
      <c r="F299" s="36" t="s">
        <v>1718</v>
      </c>
      <c r="G299" s="30">
        <v>968529122</v>
      </c>
      <c r="H299" t="str">
        <f>VLOOKUP(D299,DATA_SISTEMA!$A$1:$Q$506,13,FALSE)</f>
        <v>ASENT. H. VICTOR RAUL HAYA DE LA TORRE MZ:P LT:36</v>
      </c>
      <c r="I299" t="str">
        <f>VLOOKUP(D299,DATA_SISTEMA!$A$1:$Q$506,7,FALSE)</f>
        <v>1992-12-17</v>
      </c>
      <c r="J299" s="32" t="s">
        <v>1718</v>
      </c>
      <c r="K299" s="32" t="s">
        <v>1718</v>
      </c>
      <c r="L299" s="32" t="s">
        <v>1718</v>
      </c>
      <c r="M299">
        <v>330</v>
      </c>
      <c r="N299">
        <v>0</v>
      </c>
      <c r="O299" s="32" t="str">
        <f t="shared" si="4"/>
        <v>2980020261X</v>
      </c>
      <c r="P299" s="32" t="s">
        <v>1718</v>
      </c>
      <c r="Q299" s="32" t="s">
        <v>1718</v>
      </c>
      <c r="R299" s="32" t="s">
        <v>2110</v>
      </c>
      <c r="S299" s="32" t="s">
        <v>5034</v>
      </c>
      <c r="T299" t="str">
        <f>VLOOKUP(D299,DATA_SISTEMA!$A$1:$Q$506,9,FALSE)</f>
        <v>M</v>
      </c>
      <c r="U299" s="32" t="s">
        <v>2106</v>
      </c>
      <c r="V299" s="32" t="s">
        <v>1718</v>
      </c>
      <c r="W299" s="37" t="s">
        <v>5028</v>
      </c>
      <c r="X299" s="32" t="s">
        <v>4522</v>
      </c>
      <c r="Y299" s="32" t="s">
        <v>1718</v>
      </c>
      <c r="Z299" s="32" t="s">
        <v>1718</v>
      </c>
      <c r="AA299" s="32" t="s">
        <v>5028</v>
      </c>
      <c r="AB299" s="32" t="s">
        <v>1718</v>
      </c>
      <c r="AC299" s="32" t="s">
        <v>1718</v>
      </c>
      <c r="AD299" s="32" t="s">
        <v>1718</v>
      </c>
      <c r="AE299" s="32" t="s">
        <v>1718</v>
      </c>
      <c r="AF299" s="32" t="s">
        <v>1718</v>
      </c>
      <c r="AG299" s="32" t="s">
        <v>1718</v>
      </c>
      <c r="AH299" s="32" t="s">
        <v>2107</v>
      </c>
      <c r="AI299" s="30" t="s">
        <v>1586</v>
      </c>
      <c r="AJ299" s="30" t="s">
        <v>1055</v>
      </c>
      <c r="AK299" s="30" t="s">
        <v>879</v>
      </c>
      <c r="AL299" s="30">
        <v>71961884</v>
      </c>
      <c r="AM299" t="s">
        <v>1718</v>
      </c>
      <c r="AN299" t="s">
        <v>1718</v>
      </c>
      <c r="AO299" t="s">
        <v>1718</v>
      </c>
      <c r="AP299" t="s">
        <v>1718</v>
      </c>
      <c r="AQ299" t="s">
        <v>1718</v>
      </c>
      <c r="AR299" t="s">
        <v>1718</v>
      </c>
      <c r="AS299" t="s">
        <v>1718</v>
      </c>
      <c r="AT299" t="s">
        <v>1718</v>
      </c>
      <c r="AU299" t="s">
        <v>1718</v>
      </c>
      <c r="AV299" t="str">
        <f>VLOOKUP(D299,DATA_SISTEMA!$A$1:$Q$506,12,FALSE)</f>
        <v>PIURA</v>
      </c>
      <c r="AW299" t="str">
        <f>VLOOKUP(D299,DATA_SISTEMA!$A$1:$Q$506,11,FALSE)</f>
        <v>PIURA</v>
      </c>
      <c r="AX299" t="str">
        <f>VLOOKUP(D299,DATA_SISTEMA!$A$1:$Q$506,10,FALSE)</f>
        <v>PIURA</v>
      </c>
      <c r="AY299" t="s">
        <v>1718</v>
      </c>
      <c r="AZ299" t="s">
        <v>5028</v>
      </c>
      <c r="BA299" t="s">
        <v>1718</v>
      </c>
      <c r="BB299" t="s">
        <v>5028</v>
      </c>
      <c r="BC299" t="s">
        <v>1718</v>
      </c>
      <c r="BD299" t="s">
        <v>5028</v>
      </c>
      <c r="BE299" t="s">
        <v>1718</v>
      </c>
      <c r="BF299" s="34" t="s">
        <v>2104</v>
      </c>
      <c r="BG299" s="30">
        <v>71</v>
      </c>
    </row>
    <row r="300" spans="1:59" x14ac:dyDescent="0.25">
      <c r="A300" s="4">
        <v>299</v>
      </c>
      <c r="B300" s="33" t="s">
        <v>1719</v>
      </c>
      <c r="C300" s="30" t="s">
        <v>2018</v>
      </c>
      <c r="D300" s="48" t="s">
        <v>4820</v>
      </c>
      <c r="E300" s="30" t="s">
        <v>839</v>
      </c>
      <c r="F300" s="36" t="s">
        <v>1718</v>
      </c>
      <c r="G300" s="30">
        <v>900651194</v>
      </c>
      <c r="H300" t="str">
        <f>VLOOKUP(D300,DATA_SISTEMA!$A$1:$Q$506,13,FALSE)</f>
        <v>URB MICAELA BASTIDAS MZ D LOTE 32</v>
      </c>
      <c r="I300" t="str">
        <f>VLOOKUP(D300,DATA_SISTEMA!$A$1:$Q$506,7,FALSE)</f>
        <v>1992-02-22</v>
      </c>
      <c r="J300" s="32" t="s">
        <v>1718</v>
      </c>
      <c r="K300" s="32" t="s">
        <v>1718</v>
      </c>
      <c r="L300" s="32" t="s">
        <v>1718</v>
      </c>
      <c r="M300">
        <v>330</v>
      </c>
      <c r="N300">
        <v>0</v>
      </c>
      <c r="O300" s="32" t="str">
        <f t="shared" si="4"/>
        <v>2990020261X</v>
      </c>
      <c r="P300" s="32" t="s">
        <v>1718</v>
      </c>
      <c r="Q300" s="32" t="s">
        <v>1718</v>
      </c>
      <c r="R300" s="32" t="s">
        <v>2110</v>
      </c>
      <c r="S300" s="32" t="s">
        <v>5034</v>
      </c>
      <c r="T300" t="str">
        <f>VLOOKUP(D300,DATA_SISTEMA!$A$1:$Q$506,9,FALSE)</f>
        <v>F</v>
      </c>
      <c r="U300" s="32" t="s">
        <v>2106</v>
      </c>
      <c r="V300" s="32" t="s">
        <v>1718</v>
      </c>
      <c r="W300" s="37" t="s">
        <v>5028</v>
      </c>
      <c r="X300" s="32" t="s">
        <v>4522</v>
      </c>
      <c r="Y300" s="32" t="s">
        <v>1718</v>
      </c>
      <c r="Z300" s="32" t="s">
        <v>1718</v>
      </c>
      <c r="AA300" s="32" t="s">
        <v>5028</v>
      </c>
      <c r="AB300" s="32" t="s">
        <v>1718</v>
      </c>
      <c r="AC300" s="32" t="s">
        <v>1718</v>
      </c>
      <c r="AD300" s="32" t="s">
        <v>1718</v>
      </c>
      <c r="AE300" s="32" t="s">
        <v>1718</v>
      </c>
      <c r="AF300" s="32" t="s">
        <v>1718</v>
      </c>
      <c r="AG300" s="32" t="s">
        <v>1718</v>
      </c>
      <c r="AH300" s="32" t="s">
        <v>2107</v>
      </c>
      <c r="AI300" s="30" t="s">
        <v>1587</v>
      </c>
      <c r="AJ300" s="30" t="s">
        <v>1024</v>
      </c>
      <c r="AK300" s="30" t="s">
        <v>1227</v>
      </c>
      <c r="AL300" s="30">
        <v>47153347</v>
      </c>
      <c r="AM300" t="s">
        <v>1718</v>
      </c>
      <c r="AN300" t="s">
        <v>1718</v>
      </c>
      <c r="AO300" t="s">
        <v>1718</v>
      </c>
      <c r="AP300" t="s">
        <v>1718</v>
      </c>
      <c r="AQ300" t="s">
        <v>1718</v>
      </c>
      <c r="AR300" t="s">
        <v>1718</v>
      </c>
      <c r="AS300" t="s">
        <v>1718</v>
      </c>
      <c r="AT300" t="s">
        <v>1718</v>
      </c>
      <c r="AU300" t="s">
        <v>1718</v>
      </c>
      <c r="AV300" t="str">
        <f>VLOOKUP(D300,DATA_SISTEMA!$A$1:$Q$506,12,FALSE)</f>
        <v>VEINTISEIS DE OCTUBLE</v>
      </c>
      <c r="AW300" t="str">
        <f>VLOOKUP(D300,DATA_SISTEMA!$A$1:$Q$506,11,FALSE)</f>
        <v>PIURA</v>
      </c>
      <c r="AX300" t="str">
        <f>VLOOKUP(D300,DATA_SISTEMA!$A$1:$Q$506,10,FALSE)</f>
        <v>PIURA</v>
      </c>
      <c r="AY300" t="s">
        <v>1718</v>
      </c>
      <c r="AZ300" t="s">
        <v>5028</v>
      </c>
      <c r="BA300" t="s">
        <v>1718</v>
      </c>
      <c r="BB300" t="s">
        <v>5028</v>
      </c>
      <c r="BC300" t="s">
        <v>1718</v>
      </c>
      <c r="BD300" t="s">
        <v>5028</v>
      </c>
      <c r="BE300" t="s">
        <v>1718</v>
      </c>
      <c r="BF300" s="34" t="s">
        <v>2104</v>
      </c>
      <c r="BG300" s="30">
        <v>69.5</v>
      </c>
    </row>
    <row r="301" spans="1:59" x14ac:dyDescent="0.25">
      <c r="A301" s="4">
        <v>300</v>
      </c>
      <c r="B301" s="33" t="s">
        <v>1719</v>
      </c>
      <c r="C301" s="30" t="s">
        <v>2019</v>
      </c>
      <c r="D301" s="48" t="s">
        <v>4821</v>
      </c>
      <c r="E301" s="30" t="s">
        <v>841</v>
      </c>
      <c r="F301" s="36" t="s">
        <v>1718</v>
      </c>
      <c r="G301" s="30">
        <v>948720491</v>
      </c>
      <c r="H301" t="str">
        <f>VLOOKUP(D301,DATA_SISTEMA!$A$1:$Q$506,13,FALSE)</f>
        <v>CALLE TINAJONES S/N CASERÍO ZAPOTAL</v>
      </c>
      <c r="I301" t="str">
        <f>VLOOKUP(D301,DATA_SISTEMA!$A$1:$Q$506,7,FALSE)</f>
        <v>1991-09-29</v>
      </c>
      <c r="J301" s="32" t="s">
        <v>1718</v>
      </c>
      <c r="K301" s="32" t="s">
        <v>1718</v>
      </c>
      <c r="L301" s="32" t="s">
        <v>1718</v>
      </c>
      <c r="M301">
        <v>330</v>
      </c>
      <c r="N301">
        <v>0</v>
      </c>
      <c r="O301" s="32" t="str">
        <f t="shared" si="4"/>
        <v>3000020261X</v>
      </c>
      <c r="P301" s="32" t="s">
        <v>1718</v>
      </c>
      <c r="Q301" s="32" t="s">
        <v>1718</v>
      </c>
      <c r="R301" s="32" t="s">
        <v>2110</v>
      </c>
      <c r="S301" s="32" t="s">
        <v>5034</v>
      </c>
      <c r="T301" t="str">
        <f>VLOOKUP(D301,DATA_SISTEMA!$A$1:$Q$506,9,FALSE)</f>
        <v>F</v>
      </c>
      <c r="U301" s="32" t="s">
        <v>2106</v>
      </c>
      <c r="V301" s="32" t="s">
        <v>1718</v>
      </c>
      <c r="W301" s="37" t="s">
        <v>5028</v>
      </c>
      <c r="X301" s="32" t="s">
        <v>4522</v>
      </c>
      <c r="Y301" s="32" t="s">
        <v>1718</v>
      </c>
      <c r="Z301" s="32" t="s">
        <v>1718</v>
      </c>
      <c r="AA301" s="32" t="s">
        <v>5028</v>
      </c>
      <c r="AB301" s="32" t="s">
        <v>1718</v>
      </c>
      <c r="AC301" s="32" t="s">
        <v>1718</v>
      </c>
      <c r="AD301" s="32" t="s">
        <v>1718</v>
      </c>
      <c r="AE301" s="32" t="s">
        <v>1718</v>
      </c>
      <c r="AF301" s="32" t="s">
        <v>1718</v>
      </c>
      <c r="AG301" s="32" t="s">
        <v>1718</v>
      </c>
      <c r="AH301" s="32" t="s">
        <v>2107</v>
      </c>
      <c r="AI301" s="30" t="s">
        <v>1588</v>
      </c>
      <c r="AJ301" s="30" t="s">
        <v>1228</v>
      </c>
      <c r="AK301" s="30" t="s">
        <v>860</v>
      </c>
      <c r="AL301" s="30">
        <v>47472434</v>
      </c>
      <c r="AM301" t="s">
        <v>1718</v>
      </c>
      <c r="AN301" t="s">
        <v>1718</v>
      </c>
      <c r="AO301" t="s">
        <v>1718</v>
      </c>
      <c r="AP301" t="s">
        <v>1718</v>
      </c>
      <c r="AQ301" t="s">
        <v>1718</v>
      </c>
      <c r="AR301" t="s">
        <v>1718</v>
      </c>
      <c r="AS301" t="s">
        <v>1718</v>
      </c>
      <c r="AT301" t="s">
        <v>1718</v>
      </c>
      <c r="AU301" t="s">
        <v>1718</v>
      </c>
      <c r="AV301" t="str">
        <f>VLOOKUP(D301,DATA_SISTEMA!$A$1:$Q$506,12,FALSE)</f>
        <v>CHONGOYAPE</v>
      </c>
      <c r="AW301" t="str">
        <f>VLOOKUP(D301,DATA_SISTEMA!$A$1:$Q$506,11,FALSE)</f>
        <v>CHICLAYO</v>
      </c>
      <c r="AX301" t="str">
        <f>VLOOKUP(D301,DATA_SISTEMA!$A$1:$Q$506,10,FALSE)</f>
        <v>LAMBAYEQUE</v>
      </c>
      <c r="AY301" t="s">
        <v>1718</v>
      </c>
      <c r="AZ301" t="s">
        <v>5028</v>
      </c>
      <c r="BA301" t="s">
        <v>1718</v>
      </c>
      <c r="BB301" t="s">
        <v>5028</v>
      </c>
      <c r="BC301" t="s">
        <v>1718</v>
      </c>
      <c r="BD301" t="s">
        <v>5028</v>
      </c>
      <c r="BE301" t="s">
        <v>1718</v>
      </c>
      <c r="BF301" s="34" t="s">
        <v>2104</v>
      </c>
      <c r="BG301" s="30">
        <v>68.8</v>
      </c>
    </row>
    <row r="302" spans="1:59" x14ac:dyDescent="0.25">
      <c r="A302" s="4">
        <v>301</v>
      </c>
      <c r="B302" s="33" t="s">
        <v>1719</v>
      </c>
      <c r="C302" s="30" t="s">
        <v>2020</v>
      </c>
      <c r="D302" s="48" t="s">
        <v>4822</v>
      </c>
      <c r="E302" s="30" t="s">
        <v>843</v>
      </c>
      <c r="F302" s="36" t="s">
        <v>1718</v>
      </c>
      <c r="G302" s="30">
        <v>942954525</v>
      </c>
      <c r="H302" t="str">
        <f>VLOOKUP(D302,DATA_SISTEMA!$A$1:$Q$506,13,FALSE)</f>
        <v>CALLE HUASCAR 788</v>
      </c>
      <c r="I302" t="str">
        <f>VLOOKUP(D302,DATA_SISTEMA!$A$1:$Q$506,7,FALSE)</f>
        <v>1984-07-06</v>
      </c>
      <c r="J302" s="32" t="s">
        <v>1718</v>
      </c>
      <c r="K302" s="32" t="s">
        <v>1718</v>
      </c>
      <c r="L302" s="32" t="s">
        <v>1718</v>
      </c>
      <c r="M302">
        <v>330</v>
      </c>
      <c r="N302">
        <v>0</v>
      </c>
      <c r="O302" s="32" t="str">
        <f t="shared" si="4"/>
        <v>3010020261X</v>
      </c>
      <c r="P302" s="32" t="s">
        <v>1718</v>
      </c>
      <c r="Q302" s="32" t="s">
        <v>1718</v>
      </c>
      <c r="R302" s="32" t="s">
        <v>2110</v>
      </c>
      <c r="S302" s="32" t="s">
        <v>5034</v>
      </c>
      <c r="T302" t="str">
        <f>VLOOKUP(D302,DATA_SISTEMA!$A$1:$Q$506,9,FALSE)</f>
        <v>F</v>
      </c>
      <c r="U302" s="32" t="s">
        <v>2106</v>
      </c>
      <c r="V302" s="32" t="s">
        <v>1718</v>
      </c>
      <c r="W302" s="37" t="s">
        <v>5028</v>
      </c>
      <c r="X302" s="32" t="s">
        <v>4522</v>
      </c>
      <c r="Y302" s="32" t="s">
        <v>1718</v>
      </c>
      <c r="Z302" s="32" t="s">
        <v>1718</v>
      </c>
      <c r="AA302" s="32" t="s">
        <v>5028</v>
      </c>
      <c r="AB302" s="32" t="s">
        <v>1718</v>
      </c>
      <c r="AC302" s="32" t="s">
        <v>1718</v>
      </c>
      <c r="AD302" s="32" t="s">
        <v>1718</v>
      </c>
      <c r="AE302" s="32" t="s">
        <v>1718</v>
      </c>
      <c r="AF302" s="32" t="s">
        <v>1718</v>
      </c>
      <c r="AG302" s="32" t="s">
        <v>1718</v>
      </c>
      <c r="AH302" s="32" t="s">
        <v>2107</v>
      </c>
      <c r="AI302" s="30" t="s">
        <v>1589</v>
      </c>
      <c r="AJ302" s="30" t="s">
        <v>1229</v>
      </c>
      <c r="AK302" s="30" t="s">
        <v>858</v>
      </c>
      <c r="AL302" s="30">
        <v>42631304</v>
      </c>
      <c r="AM302" t="s">
        <v>1718</v>
      </c>
      <c r="AN302" t="s">
        <v>1718</v>
      </c>
      <c r="AO302" t="s">
        <v>1718</v>
      </c>
      <c r="AP302" t="s">
        <v>1718</v>
      </c>
      <c r="AQ302" t="s">
        <v>1718</v>
      </c>
      <c r="AR302" t="s">
        <v>1718</v>
      </c>
      <c r="AS302" t="s">
        <v>1718</v>
      </c>
      <c r="AT302" t="s">
        <v>1718</v>
      </c>
      <c r="AU302" t="s">
        <v>1718</v>
      </c>
      <c r="AV302" t="str">
        <f>VLOOKUP(D302,DATA_SISTEMA!$A$1:$Q$506,12,FALSE)</f>
        <v>SAÑA</v>
      </c>
      <c r="AW302" t="str">
        <f>VLOOKUP(D302,DATA_SISTEMA!$A$1:$Q$506,11,FALSE)</f>
        <v>CHICLAYO</v>
      </c>
      <c r="AX302" t="str">
        <f>VLOOKUP(D302,DATA_SISTEMA!$A$1:$Q$506,10,FALSE)</f>
        <v>LAMBAYEQUE</v>
      </c>
      <c r="AY302" t="s">
        <v>1718</v>
      </c>
      <c r="AZ302" t="s">
        <v>5028</v>
      </c>
      <c r="BA302" t="s">
        <v>1718</v>
      </c>
      <c r="BB302" t="s">
        <v>5028</v>
      </c>
      <c r="BC302" t="s">
        <v>1718</v>
      </c>
      <c r="BD302" t="s">
        <v>5028</v>
      </c>
      <c r="BE302" t="s">
        <v>1718</v>
      </c>
      <c r="BF302" s="34" t="s">
        <v>2104</v>
      </c>
      <c r="BG302" s="30">
        <v>66</v>
      </c>
    </row>
    <row r="303" spans="1:59" x14ac:dyDescent="0.25">
      <c r="A303" s="4">
        <v>302</v>
      </c>
      <c r="B303" s="33" t="s">
        <v>1719</v>
      </c>
      <c r="C303" s="30" t="s">
        <v>2021</v>
      </c>
      <c r="D303" s="48" t="s">
        <v>4823</v>
      </c>
      <c r="E303" s="30" t="s">
        <v>845</v>
      </c>
      <c r="F303" s="36" t="s">
        <v>1718</v>
      </c>
      <c r="G303" s="30">
        <v>944435541</v>
      </c>
      <c r="H303" t="str">
        <f>VLOOKUP(D303,DATA_SISTEMA!$A$1:$Q$506,13,FALSE)</f>
        <v>AV. GRAU # 2337 - URBANIZACION PIURA</v>
      </c>
      <c r="I303" t="str">
        <f>VLOOKUP(D303,DATA_SISTEMA!$A$1:$Q$506,7,FALSE)</f>
        <v>1975-05-18</v>
      </c>
      <c r="J303" s="32" t="s">
        <v>1718</v>
      </c>
      <c r="K303" s="32" t="s">
        <v>1718</v>
      </c>
      <c r="L303" s="32" t="s">
        <v>1718</v>
      </c>
      <c r="M303">
        <v>330</v>
      </c>
      <c r="N303">
        <v>0</v>
      </c>
      <c r="O303" s="32" t="str">
        <f t="shared" si="4"/>
        <v>3020020261X</v>
      </c>
      <c r="P303" s="32" t="s">
        <v>1718</v>
      </c>
      <c r="Q303" s="32" t="s">
        <v>1718</v>
      </c>
      <c r="R303" s="32" t="s">
        <v>2110</v>
      </c>
      <c r="S303" s="32" t="s">
        <v>5034</v>
      </c>
      <c r="T303" t="str">
        <f>VLOOKUP(D303,DATA_SISTEMA!$A$1:$Q$506,9,FALSE)</f>
        <v>F</v>
      </c>
      <c r="U303" s="32" t="s">
        <v>2106</v>
      </c>
      <c r="V303" s="32" t="s">
        <v>1718</v>
      </c>
      <c r="W303" s="37" t="s">
        <v>5028</v>
      </c>
      <c r="X303" s="32" t="s">
        <v>4522</v>
      </c>
      <c r="Y303" s="32" t="s">
        <v>1718</v>
      </c>
      <c r="Z303" s="32" t="s">
        <v>1718</v>
      </c>
      <c r="AA303" s="32" t="s">
        <v>5028</v>
      </c>
      <c r="AB303" s="32" t="s">
        <v>1718</v>
      </c>
      <c r="AC303" s="32" t="s">
        <v>1718</v>
      </c>
      <c r="AD303" s="32" t="s">
        <v>1718</v>
      </c>
      <c r="AE303" s="32" t="s">
        <v>1718</v>
      </c>
      <c r="AF303" s="32" t="s">
        <v>1718</v>
      </c>
      <c r="AG303" s="32" t="s">
        <v>1718</v>
      </c>
      <c r="AH303" s="32" t="s">
        <v>2107</v>
      </c>
      <c r="AI303" s="30" t="s">
        <v>1590</v>
      </c>
      <c r="AJ303" s="30" t="s">
        <v>1063</v>
      </c>
      <c r="AK303" s="30" t="s">
        <v>1230</v>
      </c>
      <c r="AL303" s="30">
        <v>10267454</v>
      </c>
      <c r="AM303" t="s">
        <v>1718</v>
      </c>
      <c r="AN303" t="s">
        <v>1718</v>
      </c>
      <c r="AO303" t="s">
        <v>1718</v>
      </c>
      <c r="AP303" t="s">
        <v>1718</v>
      </c>
      <c r="AQ303" t="s">
        <v>1718</v>
      </c>
      <c r="AR303" t="s">
        <v>1718</v>
      </c>
      <c r="AS303" t="s">
        <v>1718</v>
      </c>
      <c r="AT303" t="s">
        <v>1718</v>
      </c>
      <c r="AU303" t="s">
        <v>1718</v>
      </c>
      <c r="AV303" t="str">
        <f>VLOOKUP(D303,DATA_SISTEMA!$A$1:$Q$506,12,FALSE)</f>
        <v>PIURA</v>
      </c>
      <c r="AW303" t="str">
        <f>VLOOKUP(D303,DATA_SISTEMA!$A$1:$Q$506,11,FALSE)</f>
        <v>PIURA</v>
      </c>
      <c r="AX303" t="str">
        <f>VLOOKUP(D303,DATA_SISTEMA!$A$1:$Q$506,10,FALSE)</f>
        <v>PIURA</v>
      </c>
      <c r="AY303" t="s">
        <v>1718</v>
      </c>
      <c r="AZ303" t="s">
        <v>5028</v>
      </c>
      <c r="BA303" t="s">
        <v>1718</v>
      </c>
      <c r="BB303" t="s">
        <v>5028</v>
      </c>
      <c r="BC303" t="s">
        <v>1718</v>
      </c>
      <c r="BD303" t="s">
        <v>5028</v>
      </c>
      <c r="BE303" t="s">
        <v>1718</v>
      </c>
      <c r="BF303" s="34" t="s">
        <v>2104</v>
      </c>
      <c r="BG303" s="30">
        <v>65.8</v>
      </c>
    </row>
    <row r="304" spans="1:59" x14ac:dyDescent="0.25">
      <c r="A304" s="4">
        <v>303</v>
      </c>
      <c r="B304" s="33" t="s">
        <v>1719</v>
      </c>
      <c r="C304" s="30" t="s">
        <v>2022</v>
      </c>
      <c r="D304" s="48" t="s">
        <v>4824</v>
      </c>
      <c r="E304" s="30" t="s">
        <v>847</v>
      </c>
      <c r="F304" s="36" t="s">
        <v>1718</v>
      </c>
      <c r="G304" s="30">
        <v>929296574</v>
      </c>
      <c r="H304" t="str">
        <f>VLOOKUP(D304,DATA_SISTEMA!$A$1:$Q$506,13,FALSE)</f>
        <v>NAUTA N° 1757 IQUITOS</v>
      </c>
      <c r="I304" t="str">
        <f>VLOOKUP(D304,DATA_SISTEMA!$A$1:$Q$506,7,FALSE)</f>
        <v>1978-09-09</v>
      </c>
      <c r="J304" s="32" t="s">
        <v>1718</v>
      </c>
      <c r="K304" s="32" t="s">
        <v>1718</v>
      </c>
      <c r="L304" s="32" t="s">
        <v>1718</v>
      </c>
      <c r="M304">
        <v>330</v>
      </c>
      <c r="N304">
        <v>0</v>
      </c>
      <c r="O304" s="32" t="str">
        <f t="shared" si="4"/>
        <v>3030020261X</v>
      </c>
      <c r="P304" s="32" t="s">
        <v>1718</v>
      </c>
      <c r="Q304" s="32" t="s">
        <v>1718</v>
      </c>
      <c r="R304" s="32" t="s">
        <v>2110</v>
      </c>
      <c r="S304" s="32" t="s">
        <v>5034</v>
      </c>
      <c r="T304" t="str">
        <f>VLOOKUP(D304,DATA_SISTEMA!$A$1:$Q$506,9,FALSE)</f>
        <v>F</v>
      </c>
      <c r="U304" s="32" t="s">
        <v>2106</v>
      </c>
      <c r="V304" s="32" t="s">
        <v>1718</v>
      </c>
      <c r="W304" s="37" t="s">
        <v>5028</v>
      </c>
      <c r="X304" s="32" t="s">
        <v>4522</v>
      </c>
      <c r="Y304" s="32" t="s">
        <v>1718</v>
      </c>
      <c r="Z304" s="32" t="s">
        <v>1718</v>
      </c>
      <c r="AA304" s="32" t="s">
        <v>5028</v>
      </c>
      <c r="AB304" s="32" t="s">
        <v>1718</v>
      </c>
      <c r="AC304" s="32" t="s">
        <v>1718</v>
      </c>
      <c r="AD304" s="32" t="s">
        <v>1718</v>
      </c>
      <c r="AE304" s="32" t="s">
        <v>1718</v>
      </c>
      <c r="AF304" s="32" t="s">
        <v>1718</v>
      </c>
      <c r="AG304" s="32" t="s">
        <v>1718</v>
      </c>
      <c r="AH304" s="32" t="s">
        <v>2107</v>
      </c>
      <c r="AI304" s="30" t="s">
        <v>1591</v>
      </c>
      <c r="AJ304" s="30" t="s">
        <v>1231</v>
      </c>
      <c r="AK304" s="30" t="s">
        <v>900</v>
      </c>
      <c r="AL304" s="30">
        <v>25869444</v>
      </c>
      <c r="AM304" t="s">
        <v>1718</v>
      </c>
      <c r="AN304" t="s">
        <v>1718</v>
      </c>
      <c r="AO304" t="s">
        <v>1718</v>
      </c>
      <c r="AP304" t="s">
        <v>1718</v>
      </c>
      <c r="AQ304" t="s">
        <v>1718</v>
      </c>
      <c r="AR304" t="s">
        <v>1718</v>
      </c>
      <c r="AS304" t="s">
        <v>1718</v>
      </c>
      <c r="AT304" t="s">
        <v>1718</v>
      </c>
      <c r="AU304" t="s">
        <v>1718</v>
      </c>
      <c r="AV304" t="str">
        <f>VLOOKUP(D304,DATA_SISTEMA!$A$1:$Q$506,12,FALSE)</f>
        <v>IQUITOS</v>
      </c>
      <c r="AW304" t="str">
        <f>VLOOKUP(D304,DATA_SISTEMA!$A$1:$Q$506,11,FALSE)</f>
        <v>MAYNAS</v>
      </c>
      <c r="AX304" t="str">
        <f>VLOOKUP(D304,DATA_SISTEMA!$A$1:$Q$506,10,FALSE)</f>
        <v>LORETO</v>
      </c>
      <c r="AY304" t="s">
        <v>1718</v>
      </c>
      <c r="AZ304" t="s">
        <v>5028</v>
      </c>
      <c r="BA304" t="s">
        <v>1718</v>
      </c>
      <c r="BB304" t="s">
        <v>5028</v>
      </c>
      <c r="BC304" t="s">
        <v>1718</v>
      </c>
      <c r="BD304" t="s">
        <v>5028</v>
      </c>
      <c r="BE304" t="s">
        <v>1718</v>
      </c>
      <c r="BF304" s="34" t="s">
        <v>2104</v>
      </c>
      <c r="BG304" s="30">
        <v>64.2</v>
      </c>
    </row>
    <row r="305" spans="1:59" x14ac:dyDescent="0.25">
      <c r="A305" s="4">
        <v>304</v>
      </c>
      <c r="B305" s="33" t="s">
        <v>1719</v>
      </c>
      <c r="C305" s="30" t="s">
        <v>2023</v>
      </c>
      <c r="D305" s="48" t="s">
        <v>4825</v>
      </c>
      <c r="E305" s="30" t="s">
        <v>850</v>
      </c>
      <c r="F305" s="36" t="s">
        <v>1718</v>
      </c>
      <c r="G305" s="30">
        <v>968054988</v>
      </c>
      <c r="H305" t="str">
        <f>VLOOKUP(D305,DATA_SISTEMA!$A$1:$Q$506,13,FALSE)</f>
        <v>JR. LIMA 611</v>
      </c>
      <c r="I305" t="str">
        <f>VLOOKUP(D305,DATA_SISTEMA!$A$1:$Q$506,7,FALSE)</f>
        <v>1970-01-28</v>
      </c>
      <c r="J305" s="32" t="s">
        <v>1718</v>
      </c>
      <c r="K305" s="32" t="s">
        <v>1718</v>
      </c>
      <c r="L305" s="32" t="s">
        <v>1718</v>
      </c>
      <c r="M305">
        <v>330</v>
      </c>
      <c r="N305">
        <v>0</v>
      </c>
      <c r="O305" s="32" t="str">
        <f t="shared" si="4"/>
        <v>3040020261X</v>
      </c>
      <c r="P305" s="32" t="s">
        <v>1718</v>
      </c>
      <c r="Q305" s="32" t="s">
        <v>1718</v>
      </c>
      <c r="R305" s="32" t="s">
        <v>2110</v>
      </c>
      <c r="S305" s="32" t="s">
        <v>5034</v>
      </c>
      <c r="T305" t="str">
        <f>VLOOKUP(D305,DATA_SISTEMA!$A$1:$Q$506,9,FALSE)</f>
        <v>M</v>
      </c>
      <c r="U305" s="32" t="s">
        <v>2106</v>
      </c>
      <c r="V305" s="32" t="s">
        <v>1718</v>
      </c>
      <c r="W305" s="37" t="s">
        <v>5028</v>
      </c>
      <c r="X305" s="32" t="s">
        <v>4522</v>
      </c>
      <c r="Y305" s="32" t="s">
        <v>1718</v>
      </c>
      <c r="Z305" s="32" t="s">
        <v>1718</v>
      </c>
      <c r="AA305" s="32" t="s">
        <v>5028</v>
      </c>
      <c r="AB305" s="32" t="s">
        <v>1718</v>
      </c>
      <c r="AC305" s="32" t="s">
        <v>1718</v>
      </c>
      <c r="AD305" s="32" t="s">
        <v>1718</v>
      </c>
      <c r="AE305" s="32" t="s">
        <v>1718</v>
      </c>
      <c r="AF305" s="32" t="s">
        <v>1718</v>
      </c>
      <c r="AG305" s="32" t="s">
        <v>1718</v>
      </c>
      <c r="AH305" s="32" t="s">
        <v>2107</v>
      </c>
      <c r="AI305" s="30" t="s">
        <v>1390</v>
      </c>
      <c r="AJ305" s="30" t="s">
        <v>1232</v>
      </c>
      <c r="AK305" s="30" t="s">
        <v>1233</v>
      </c>
      <c r="AL305" s="30" t="s">
        <v>848</v>
      </c>
      <c r="AM305" t="s">
        <v>1718</v>
      </c>
      <c r="AN305" t="s">
        <v>1718</v>
      </c>
      <c r="AO305" t="s">
        <v>1718</v>
      </c>
      <c r="AP305" t="s">
        <v>1718</v>
      </c>
      <c r="AQ305" t="s">
        <v>1718</v>
      </c>
      <c r="AR305" t="s">
        <v>1718</v>
      </c>
      <c r="AS305" t="s">
        <v>1718</v>
      </c>
      <c r="AT305" t="s">
        <v>1718</v>
      </c>
      <c r="AU305" t="s">
        <v>1718</v>
      </c>
      <c r="AV305" t="str">
        <f>VLOOKUP(D305,DATA_SISTEMA!$A$1:$Q$506,12,FALSE)</f>
        <v>CHULUCANAS</v>
      </c>
      <c r="AW305" t="str">
        <f>VLOOKUP(D305,DATA_SISTEMA!$A$1:$Q$506,11,FALSE)</f>
        <v>MORROPON</v>
      </c>
      <c r="AX305" t="str">
        <f>VLOOKUP(D305,DATA_SISTEMA!$A$1:$Q$506,10,FALSE)</f>
        <v>PIURA</v>
      </c>
      <c r="AY305" t="s">
        <v>1718</v>
      </c>
      <c r="AZ305" t="s">
        <v>5028</v>
      </c>
      <c r="BA305" t="s">
        <v>1718</v>
      </c>
      <c r="BB305" t="s">
        <v>5028</v>
      </c>
      <c r="BC305" t="s">
        <v>1718</v>
      </c>
      <c r="BD305" t="s">
        <v>5028</v>
      </c>
      <c r="BE305" t="s">
        <v>1718</v>
      </c>
      <c r="BF305" s="34" t="s">
        <v>2104</v>
      </c>
      <c r="BG305" s="30">
        <v>63</v>
      </c>
    </row>
    <row r="306" spans="1:59" x14ac:dyDescent="0.25">
      <c r="A306" s="4">
        <v>305</v>
      </c>
      <c r="B306" s="33" t="s">
        <v>1719</v>
      </c>
      <c r="C306" s="18" t="s">
        <v>2024</v>
      </c>
      <c r="D306" s="49" t="s">
        <v>4826</v>
      </c>
      <c r="E306" s="18" t="s">
        <v>492</v>
      </c>
      <c r="F306" s="36" t="s">
        <v>1718</v>
      </c>
      <c r="G306" s="18">
        <v>949694371</v>
      </c>
      <c r="H306" t="str">
        <f>VLOOKUP(D306,DATA_SISTEMA!$A$1:$Q$506,13,FALSE)</f>
        <v>URB. MONTERRICO II, MZ C, LOTE 4</v>
      </c>
      <c r="I306" t="str">
        <f>VLOOKUP(D306,DATA_SISTEMA!$A$1:$Q$506,7,FALSE)</f>
        <v>1972-06-05</v>
      </c>
      <c r="J306" s="32" t="s">
        <v>1718</v>
      </c>
      <c r="K306" s="32" t="s">
        <v>1718</v>
      </c>
      <c r="L306" s="32" t="s">
        <v>1718</v>
      </c>
      <c r="M306">
        <v>325</v>
      </c>
      <c r="N306">
        <v>0</v>
      </c>
      <c r="O306" s="32" t="str">
        <f t="shared" si="4"/>
        <v>3050020261X</v>
      </c>
      <c r="P306" s="32" t="s">
        <v>1718</v>
      </c>
      <c r="Q306" s="32" t="s">
        <v>1718</v>
      </c>
      <c r="R306" s="32" t="s">
        <v>2110</v>
      </c>
      <c r="S306" s="32" t="s">
        <v>5035</v>
      </c>
      <c r="T306" t="str">
        <f>VLOOKUP(D306,DATA_SISTEMA!$A$1:$Q$506,9,FALSE)</f>
        <v>M</v>
      </c>
      <c r="U306" s="32" t="s">
        <v>2106</v>
      </c>
      <c r="V306" s="32" t="s">
        <v>1718</v>
      </c>
      <c r="W306" s="37" t="s">
        <v>5028</v>
      </c>
      <c r="X306" s="32" t="s">
        <v>4522</v>
      </c>
      <c r="Y306" s="32" t="s">
        <v>1718</v>
      </c>
      <c r="Z306" s="32" t="s">
        <v>1718</v>
      </c>
      <c r="AA306" s="32" t="s">
        <v>5028</v>
      </c>
      <c r="AB306" s="32" t="s">
        <v>1718</v>
      </c>
      <c r="AC306" s="32" t="s">
        <v>1718</v>
      </c>
      <c r="AD306" s="32" t="s">
        <v>1718</v>
      </c>
      <c r="AE306" s="32" t="s">
        <v>1718</v>
      </c>
      <c r="AF306" s="32" t="s">
        <v>1718</v>
      </c>
      <c r="AG306" s="32" t="s">
        <v>1718</v>
      </c>
      <c r="AH306" s="32" t="s">
        <v>2107</v>
      </c>
      <c r="AI306" s="18" t="s">
        <v>1592</v>
      </c>
      <c r="AJ306" s="18" t="s">
        <v>1053</v>
      </c>
      <c r="AK306" s="18" t="s">
        <v>937</v>
      </c>
      <c r="AL306" s="18">
        <v>16707822</v>
      </c>
      <c r="AM306" t="s">
        <v>1718</v>
      </c>
      <c r="AN306" t="s">
        <v>1718</v>
      </c>
      <c r="AO306" t="s">
        <v>1718</v>
      </c>
      <c r="AP306" t="s">
        <v>1718</v>
      </c>
      <c r="AQ306" t="s">
        <v>1718</v>
      </c>
      <c r="AR306" t="s">
        <v>1718</v>
      </c>
      <c r="AS306" t="s">
        <v>1718</v>
      </c>
      <c r="AT306" t="s">
        <v>1718</v>
      </c>
      <c r="AU306" t="s">
        <v>1718</v>
      </c>
      <c r="AV306" t="str">
        <f>VLOOKUP(D306,DATA_SISTEMA!$A$1:$Q$506,12,FALSE)</f>
        <v>CHICLAYO</v>
      </c>
      <c r="AW306" t="str">
        <f>VLOOKUP(D306,DATA_SISTEMA!$A$1:$Q$506,11,FALSE)</f>
        <v>CHICLAYO</v>
      </c>
      <c r="AX306" t="str">
        <f>VLOOKUP(D306,DATA_SISTEMA!$A$1:$Q$506,10,FALSE)</f>
        <v>LAMBAYEQUE</v>
      </c>
      <c r="AY306" t="s">
        <v>1718</v>
      </c>
      <c r="AZ306" t="s">
        <v>5028</v>
      </c>
      <c r="BA306" t="s">
        <v>1718</v>
      </c>
      <c r="BB306" t="s">
        <v>5028</v>
      </c>
      <c r="BC306" t="s">
        <v>1718</v>
      </c>
      <c r="BD306" t="s">
        <v>5028</v>
      </c>
      <c r="BE306" t="s">
        <v>1718</v>
      </c>
      <c r="BF306" s="34" t="s">
        <v>2104</v>
      </c>
      <c r="BG306" s="18">
        <v>78</v>
      </c>
    </row>
    <row r="307" spans="1:59" x14ac:dyDescent="0.25">
      <c r="A307" s="4">
        <v>306</v>
      </c>
      <c r="B307" s="33" t="s">
        <v>1719</v>
      </c>
      <c r="C307" s="18" t="s">
        <v>2025</v>
      </c>
      <c r="D307" s="49" t="s">
        <v>4827</v>
      </c>
      <c r="E307" s="18" t="s">
        <v>495</v>
      </c>
      <c r="F307" s="36" t="s">
        <v>1718</v>
      </c>
      <c r="G307" s="18">
        <v>963522492</v>
      </c>
      <c r="H307" t="str">
        <f>VLOOKUP(D307,DATA_SISTEMA!$A$1:$Q$506,13,FALSE)</f>
        <v>SAN PEDRO 158 C.P.M. LUJAN</v>
      </c>
      <c r="I307" t="str">
        <f>VLOOKUP(D307,DATA_SISTEMA!$A$1:$Q$506,7,FALSE)</f>
        <v>1987-08-30</v>
      </c>
      <c r="J307" s="32" t="s">
        <v>1718</v>
      </c>
      <c r="K307" s="32" t="s">
        <v>1718</v>
      </c>
      <c r="L307" s="32" t="s">
        <v>1718</v>
      </c>
      <c r="M307">
        <v>325</v>
      </c>
      <c r="N307">
        <v>0</v>
      </c>
      <c r="O307" s="32" t="str">
        <f t="shared" si="4"/>
        <v>3060020261X</v>
      </c>
      <c r="P307" s="32" t="s">
        <v>1718</v>
      </c>
      <c r="Q307" s="32" t="s">
        <v>1718</v>
      </c>
      <c r="R307" s="32" t="s">
        <v>2110</v>
      </c>
      <c r="S307" s="32" t="s">
        <v>5035</v>
      </c>
      <c r="T307" t="str">
        <f>VLOOKUP(D307,DATA_SISTEMA!$A$1:$Q$506,9,FALSE)</f>
        <v>M</v>
      </c>
      <c r="U307" s="32" t="s">
        <v>2106</v>
      </c>
      <c r="V307" s="32" t="s">
        <v>1718</v>
      </c>
      <c r="W307" s="37" t="s">
        <v>5028</v>
      </c>
      <c r="X307" s="32" t="s">
        <v>4522</v>
      </c>
      <c r="Y307" s="32" t="s">
        <v>1718</v>
      </c>
      <c r="Z307" s="32" t="s">
        <v>1718</v>
      </c>
      <c r="AA307" s="32" t="s">
        <v>5028</v>
      </c>
      <c r="AB307" s="32" t="s">
        <v>1718</v>
      </c>
      <c r="AC307" s="32" t="s">
        <v>1718</v>
      </c>
      <c r="AD307" s="32" t="s">
        <v>1718</v>
      </c>
      <c r="AE307" s="32" t="s">
        <v>1718</v>
      </c>
      <c r="AF307" s="32" t="s">
        <v>1718</v>
      </c>
      <c r="AG307" s="32" t="s">
        <v>1718</v>
      </c>
      <c r="AH307" s="32" t="s">
        <v>2107</v>
      </c>
      <c r="AI307" s="18" t="s">
        <v>1593</v>
      </c>
      <c r="AJ307" s="18" t="s">
        <v>1066</v>
      </c>
      <c r="AK307" s="18" t="s">
        <v>1234</v>
      </c>
      <c r="AL307" s="18">
        <v>44453453</v>
      </c>
      <c r="AM307" t="s">
        <v>1718</v>
      </c>
      <c r="AN307" t="s">
        <v>1718</v>
      </c>
      <c r="AO307" t="s">
        <v>1718</v>
      </c>
      <c r="AP307" t="s">
        <v>1718</v>
      </c>
      <c r="AQ307" t="s">
        <v>1718</v>
      </c>
      <c r="AR307" t="s">
        <v>1718</v>
      </c>
      <c r="AS307" t="s">
        <v>1718</v>
      </c>
      <c r="AT307" t="s">
        <v>1718</v>
      </c>
      <c r="AU307" t="s">
        <v>1718</v>
      </c>
      <c r="AV307" t="str">
        <f>VLOOKUP(D307,DATA_SISTEMA!$A$1:$Q$506,12,FALSE)</f>
        <v>JOSE LEONARDO ORTIZ</v>
      </c>
      <c r="AW307" t="str">
        <f>VLOOKUP(D307,DATA_SISTEMA!$A$1:$Q$506,11,FALSE)</f>
        <v>CHICLAYO</v>
      </c>
      <c r="AX307" t="str">
        <f>VLOOKUP(D307,DATA_SISTEMA!$A$1:$Q$506,10,FALSE)</f>
        <v>LAMBAYEQUE</v>
      </c>
      <c r="AY307" t="s">
        <v>1718</v>
      </c>
      <c r="AZ307" t="s">
        <v>5028</v>
      </c>
      <c r="BA307" t="s">
        <v>1718</v>
      </c>
      <c r="BB307" t="s">
        <v>5028</v>
      </c>
      <c r="BC307" t="s">
        <v>1718</v>
      </c>
      <c r="BD307" t="s">
        <v>5028</v>
      </c>
      <c r="BE307" t="s">
        <v>1718</v>
      </c>
      <c r="BF307" s="34" t="s">
        <v>2104</v>
      </c>
      <c r="BG307" s="18">
        <v>74.5</v>
      </c>
    </row>
    <row r="308" spans="1:59" x14ac:dyDescent="0.25">
      <c r="A308" s="4">
        <v>307</v>
      </c>
      <c r="B308" s="33" t="s">
        <v>1719</v>
      </c>
      <c r="C308" s="18" t="s">
        <v>2026</v>
      </c>
      <c r="D308" s="49" t="s">
        <v>4828</v>
      </c>
      <c r="E308" s="18" t="s">
        <v>497</v>
      </c>
      <c r="F308" s="36" t="s">
        <v>1718</v>
      </c>
      <c r="G308" s="18">
        <v>960698218</v>
      </c>
      <c r="H308" t="str">
        <f>VLOOKUP(D308,DATA_SISTEMA!$A$1:$Q$506,13,FALSE)</f>
        <v>LLOQUE YUPANQUI 1053</v>
      </c>
      <c r="I308" t="str">
        <f>VLOOKUP(D308,DATA_SISTEMA!$A$1:$Q$506,7,FALSE)</f>
        <v>1991-11-27</v>
      </c>
      <c r="J308" s="32" t="s">
        <v>1718</v>
      </c>
      <c r="K308" s="32" t="s">
        <v>1718</v>
      </c>
      <c r="L308" s="32" t="s">
        <v>1718</v>
      </c>
      <c r="M308">
        <v>325</v>
      </c>
      <c r="N308">
        <v>0</v>
      </c>
      <c r="O308" s="32" t="str">
        <f t="shared" si="4"/>
        <v>3070020261X</v>
      </c>
      <c r="P308" s="32" t="s">
        <v>1718</v>
      </c>
      <c r="Q308" s="32" t="s">
        <v>1718</v>
      </c>
      <c r="R308" s="32" t="s">
        <v>2110</v>
      </c>
      <c r="S308" s="32" t="s">
        <v>5035</v>
      </c>
      <c r="T308" t="str">
        <f>VLOOKUP(D308,DATA_SISTEMA!$A$1:$Q$506,9,FALSE)</f>
        <v>M</v>
      </c>
      <c r="U308" s="32" t="s">
        <v>2106</v>
      </c>
      <c r="V308" s="32" t="s">
        <v>1718</v>
      </c>
      <c r="W308" s="37" t="s">
        <v>5028</v>
      </c>
      <c r="X308" s="32" t="s">
        <v>4522</v>
      </c>
      <c r="Y308" s="32" t="s">
        <v>1718</v>
      </c>
      <c r="Z308" s="32" t="s">
        <v>1718</v>
      </c>
      <c r="AA308" s="32" t="s">
        <v>5028</v>
      </c>
      <c r="AB308" s="32" t="s">
        <v>1718</v>
      </c>
      <c r="AC308" s="32" t="s">
        <v>1718</v>
      </c>
      <c r="AD308" s="32" t="s">
        <v>1718</v>
      </c>
      <c r="AE308" s="32" t="s">
        <v>1718</v>
      </c>
      <c r="AF308" s="32" t="s">
        <v>1718</v>
      </c>
      <c r="AG308" s="32" t="s">
        <v>1718</v>
      </c>
      <c r="AH308" s="32" t="s">
        <v>2107</v>
      </c>
      <c r="AI308" s="18" t="s">
        <v>1594</v>
      </c>
      <c r="AJ308" s="18" t="s">
        <v>1235</v>
      </c>
      <c r="AK308" s="18" t="s">
        <v>1036</v>
      </c>
      <c r="AL308" s="18">
        <v>46720707</v>
      </c>
      <c r="AM308" t="s">
        <v>1718</v>
      </c>
      <c r="AN308" t="s">
        <v>1718</v>
      </c>
      <c r="AO308" t="s">
        <v>1718</v>
      </c>
      <c r="AP308" t="s">
        <v>1718</v>
      </c>
      <c r="AQ308" t="s">
        <v>1718</v>
      </c>
      <c r="AR308" t="s">
        <v>1718</v>
      </c>
      <c r="AS308" t="s">
        <v>1718</v>
      </c>
      <c r="AT308" t="s">
        <v>1718</v>
      </c>
      <c r="AU308" t="s">
        <v>1718</v>
      </c>
      <c r="AV308" t="str">
        <f>VLOOKUP(D308,DATA_SISTEMA!$A$1:$Q$506,12,FALSE)</f>
        <v>LA VICTORIA</v>
      </c>
      <c r="AW308" t="str">
        <f>VLOOKUP(D308,DATA_SISTEMA!$A$1:$Q$506,11,FALSE)</f>
        <v>CHICLAYO</v>
      </c>
      <c r="AX308" t="str">
        <f>VLOOKUP(D308,DATA_SISTEMA!$A$1:$Q$506,10,FALSE)</f>
        <v>LAMBAYEQUE</v>
      </c>
      <c r="AY308" t="s">
        <v>1718</v>
      </c>
      <c r="AZ308" t="s">
        <v>5028</v>
      </c>
      <c r="BA308" t="s">
        <v>1718</v>
      </c>
      <c r="BB308" t="s">
        <v>5028</v>
      </c>
      <c r="BC308" t="s">
        <v>1718</v>
      </c>
      <c r="BD308" t="s">
        <v>5028</v>
      </c>
      <c r="BE308" t="s">
        <v>1718</v>
      </c>
      <c r="BF308" s="34" t="s">
        <v>2104</v>
      </c>
      <c r="BG308" s="18">
        <v>72</v>
      </c>
    </row>
    <row r="309" spans="1:59" x14ac:dyDescent="0.25">
      <c r="A309" s="4">
        <v>308</v>
      </c>
      <c r="B309" s="33" t="s">
        <v>1719</v>
      </c>
      <c r="C309" s="18" t="s">
        <v>2027</v>
      </c>
      <c r="D309" s="49" t="s">
        <v>4829</v>
      </c>
      <c r="E309" s="18" t="s">
        <v>499</v>
      </c>
      <c r="F309" s="36" t="s">
        <v>1718</v>
      </c>
      <c r="G309" s="18">
        <v>979499826</v>
      </c>
      <c r="H309" t="str">
        <f>VLOOKUP(D309,DATA_SISTEMA!$A$1:$Q$506,13,FALSE)</f>
        <v>AV. GRA CAMPODONICO 751</v>
      </c>
      <c r="I309" t="str">
        <f>VLOOKUP(D309,DATA_SISTEMA!$A$1:$Q$506,7,FALSE)</f>
        <v>1988-11-08</v>
      </c>
      <c r="J309" s="32" t="s">
        <v>1718</v>
      </c>
      <c r="K309" s="32" t="s">
        <v>1718</v>
      </c>
      <c r="L309" s="32" t="s">
        <v>1718</v>
      </c>
      <c r="M309">
        <v>325</v>
      </c>
      <c r="N309">
        <v>0</v>
      </c>
      <c r="O309" s="32" t="str">
        <f t="shared" si="4"/>
        <v>3080020261X</v>
      </c>
      <c r="P309" s="32" t="s">
        <v>1718</v>
      </c>
      <c r="Q309" s="32" t="s">
        <v>1718</v>
      </c>
      <c r="R309" s="32" t="s">
        <v>2110</v>
      </c>
      <c r="S309" s="32" t="s">
        <v>5035</v>
      </c>
      <c r="T309" t="str">
        <f>VLOOKUP(D309,DATA_SISTEMA!$A$1:$Q$506,9,FALSE)</f>
        <v>M</v>
      </c>
      <c r="U309" s="32" t="s">
        <v>2106</v>
      </c>
      <c r="V309" s="32" t="s">
        <v>1718</v>
      </c>
      <c r="W309" s="37" t="s">
        <v>5028</v>
      </c>
      <c r="X309" s="32" t="s">
        <v>4522</v>
      </c>
      <c r="Y309" s="32" t="s">
        <v>1718</v>
      </c>
      <c r="Z309" s="32" t="s">
        <v>1718</v>
      </c>
      <c r="AA309" s="32" t="s">
        <v>5028</v>
      </c>
      <c r="AB309" s="32" t="s">
        <v>1718</v>
      </c>
      <c r="AC309" s="32" t="s">
        <v>1718</v>
      </c>
      <c r="AD309" s="32" t="s">
        <v>1718</v>
      </c>
      <c r="AE309" s="32" t="s">
        <v>1718</v>
      </c>
      <c r="AF309" s="32" t="s">
        <v>1718</v>
      </c>
      <c r="AG309" s="32" t="s">
        <v>1718</v>
      </c>
      <c r="AH309" s="32" t="s">
        <v>2107</v>
      </c>
      <c r="AI309" s="18" t="s">
        <v>1595</v>
      </c>
      <c r="AJ309" s="18" t="s">
        <v>1236</v>
      </c>
      <c r="AK309" s="18" t="s">
        <v>1237</v>
      </c>
      <c r="AL309" s="18">
        <v>45437477</v>
      </c>
      <c r="AM309" t="s">
        <v>1718</v>
      </c>
      <c r="AN309" t="s">
        <v>1718</v>
      </c>
      <c r="AO309" t="s">
        <v>1718</v>
      </c>
      <c r="AP309" t="s">
        <v>1718</v>
      </c>
      <c r="AQ309" t="s">
        <v>1718</v>
      </c>
      <c r="AR309" t="s">
        <v>1718</v>
      </c>
      <c r="AS309" t="s">
        <v>1718</v>
      </c>
      <c r="AT309" t="s">
        <v>1718</v>
      </c>
      <c r="AU309" t="s">
        <v>1718</v>
      </c>
      <c r="AV309" t="str">
        <f>VLOOKUP(D309,DATA_SISTEMA!$A$1:$Q$506,12,FALSE)</f>
        <v>CHICLAYO</v>
      </c>
      <c r="AW309" t="str">
        <f>VLOOKUP(D309,DATA_SISTEMA!$A$1:$Q$506,11,FALSE)</f>
        <v>CHICLAYO</v>
      </c>
      <c r="AX309" t="str">
        <f>VLOOKUP(D309,DATA_SISTEMA!$A$1:$Q$506,10,FALSE)</f>
        <v>LAMBAYEQUE</v>
      </c>
      <c r="AY309" t="s">
        <v>1718</v>
      </c>
      <c r="AZ309" t="s">
        <v>5028</v>
      </c>
      <c r="BA309" t="s">
        <v>1718</v>
      </c>
      <c r="BB309" t="s">
        <v>5028</v>
      </c>
      <c r="BC309" t="s">
        <v>1718</v>
      </c>
      <c r="BD309" t="s">
        <v>5028</v>
      </c>
      <c r="BE309" t="s">
        <v>1718</v>
      </c>
      <c r="BF309" s="34" t="s">
        <v>2104</v>
      </c>
      <c r="BG309" s="18">
        <v>69.7</v>
      </c>
    </row>
    <row r="310" spans="1:59" x14ac:dyDescent="0.25">
      <c r="A310" s="4">
        <v>309</v>
      </c>
      <c r="B310" s="33" t="s">
        <v>1719</v>
      </c>
      <c r="C310" s="18" t="s">
        <v>2028</v>
      </c>
      <c r="D310" s="49" t="s">
        <v>4830</v>
      </c>
      <c r="E310" s="18" t="s">
        <v>501</v>
      </c>
      <c r="F310" s="36" t="s">
        <v>1718</v>
      </c>
      <c r="G310" s="18">
        <v>995488843</v>
      </c>
      <c r="H310" t="str">
        <f>VLOOKUP(D310,DATA_SISTEMA!$A$1:$Q$506,13,FALSE)</f>
        <v>CALLE ANTONIO MONSALVE BACA 868</v>
      </c>
      <c r="I310" t="str">
        <f>VLOOKUP(D310,DATA_SISTEMA!$A$1:$Q$506,7,FALSE)</f>
        <v>1986-12-03</v>
      </c>
      <c r="J310" s="32" t="s">
        <v>1718</v>
      </c>
      <c r="K310" s="32" t="s">
        <v>1718</v>
      </c>
      <c r="L310" s="32" t="s">
        <v>1718</v>
      </c>
      <c r="M310">
        <v>325</v>
      </c>
      <c r="N310">
        <v>0</v>
      </c>
      <c r="O310" s="32" t="str">
        <f t="shared" si="4"/>
        <v>3090020261X</v>
      </c>
      <c r="P310" s="32" t="s">
        <v>1718</v>
      </c>
      <c r="Q310" s="32" t="s">
        <v>1718</v>
      </c>
      <c r="R310" s="32" t="s">
        <v>2110</v>
      </c>
      <c r="S310" s="32" t="s">
        <v>5035</v>
      </c>
      <c r="T310" t="str">
        <f>VLOOKUP(D310,DATA_SISTEMA!$A$1:$Q$506,9,FALSE)</f>
        <v>M</v>
      </c>
      <c r="U310" s="32" t="s">
        <v>2106</v>
      </c>
      <c r="V310" s="32" t="s">
        <v>1718</v>
      </c>
      <c r="W310" s="37" t="s">
        <v>5028</v>
      </c>
      <c r="X310" s="32" t="s">
        <v>4522</v>
      </c>
      <c r="Y310" s="32" t="s">
        <v>1718</v>
      </c>
      <c r="Z310" s="32" t="s">
        <v>1718</v>
      </c>
      <c r="AA310" s="32" t="s">
        <v>5028</v>
      </c>
      <c r="AB310" s="32" t="s">
        <v>1718</v>
      </c>
      <c r="AC310" s="32" t="s">
        <v>1718</v>
      </c>
      <c r="AD310" s="32" t="s">
        <v>1718</v>
      </c>
      <c r="AE310" s="32" t="s">
        <v>1718</v>
      </c>
      <c r="AF310" s="32" t="s">
        <v>1718</v>
      </c>
      <c r="AG310" s="32" t="s">
        <v>1718</v>
      </c>
      <c r="AH310" s="32" t="s">
        <v>2107</v>
      </c>
      <c r="AI310" s="18" t="s">
        <v>1596</v>
      </c>
      <c r="AJ310" s="18" t="s">
        <v>1238</v>
      </c>
      <c r="AK310" s="18" t="s">
        <v>1049</v>
      </c>
      <c r="AL310" s="18">
        <v>44314825</v>
      </c>
      <c r="AM310" t="s">
        <v>1718</v>
      </c>
      <c r="AN310" t="s">
        <v>1718</v>
      </c>
      <c r="AO310" t="s">
        <v>1718</v>
      </c>
      <c r="AP310" t="s">
        <v>1718</v>
      </c>
      <c r="AQ310" t="s">
        <v>1718</v>
      </c>
      <c r="AR310" t="s">
        <v>1718</v>
      </c>
      <c r="AS310" t="s">
        <v>1718</v>
      </c>
      <c r="AT310" t="s">
        <v>1718</v>
      </c>
      <c r="AU310" t="s">
        <v>1718</v>
      </c>
      <c r="AV310" t="str">
        <f>VLOOKUP(D310,DATA_SISTEMA!$A$1:$Q$506,12,FALSE)</f>
        <v>LAMBAYEQUE</v>
      </c>
      <c r="AW310" t="str">
        <f>VLOOKUP(D310,DATA_SISTEMA!$A$1:$Q$506,11,FALSE)</f>
        <v>LAMBAYEQUE</v>
      </c>
      <c r="AX310" t="str">
        <f>VLOOKUP(D310,DATA_SISTEMA!$A$1:$Q$506,10,FALSE)</f>
        <v>LAMBAYEQUE</v>
      </c>
      <c r="AY310" t="s">
        <v>1718</v>
      </c>
      <c r="AZ310" t="s">
        <v>5028</v>
      </c>
      <c r="BA310" t="s">
        <v>1718</v>
      </c>
      <c r="BB310" t="s">
        <v>5028</v>
      </c>
      <c r="BC310" t="s">
        <v>1718</v>
      </c>
      <c r="BD310" t="s">
        <v>5028</v>
      </c>
      <c r="BE310" t="s">
        <v>1718</v>
      </c>
      <c r="BF310" s="34" t="s">
        <v>2104</v>
      </c>
      <c r="BG310" s="18">
        <v>65.7</v>
      </c>
    </row>
    <row r="311" spans="1:59" x14ac:dyDescent="0.25">
      <c r="A311" s="4">
        <v>310</v>
      </c>
      <c r="B311" s="33" t="s">
        <v>1719</v>
      </c>
      <c r="C311" s="18" t="s">
        <v>2029</v>
      </c>
      <c r="D311" s="49" t="s">
        <v>4831</v>
      </c>
      <c r="E311" s="18" t="s">
        <v>503</v>
      </c>
      <c r="F311" s="36" t="s">
        <v>1718</v>
      </c>
      <c r="G311" s="18">
        <v>990382651</v>
      </c>
      <c r="H311" t="str">
        <f>VLOOKUP(D311,DATA_SISTEMA!$A$1:$Q$506,13,FALSE)</f>
        <v>ANCASH 402</v>
      </c>
      <c r="I311" t="str">
        <f>VLOOKUP(D311,DATA_SISTEMA!$A$1:$Q$506,7,FALSE)</f>
        <v>1983-02-20</v>
      </c>
      <c r="J311" s="32" t="s">
        <v>1718</v>
      </c>
      <c r="K311" s="32" t="s">
        <v>1718</v>
      </c>
      <c r="L311" s="32" t="s">
        <v>1718</v>
      </c>
      <c r="M311">
        <v>325</v>
      </c>
      <c r="N311">
        <v>0</v>
      </c>
      <c r="O311" s="32" t="str">
        <f t="shared" si="4"/>
        <v>3100020261X</v>
      </c>
      <c r="P311" s="32" t="s">
        <v>1718</v>
      </c>
      <c r="Q311" s="32" t="s">
        <v>1718</v>
      </c>
      <c r="R311" s="32" t="s">
        <v>2110</v>
      </c>
      <c r="S311" s="32" t="s">
        <v>5035</v>
      </c>
      <c r="T311" t="str">
        <f>VLOOKUP(D311,DATA_SISTEMA!$A$1:$Q$506,9,FALSE)</f>
        <v>M</v>
      </c>
      <c r="U311" s="32" t="s">
        <v>2106</v>
      </c>
      <c r="V311" s="32" t="s">
        <v>1718</v>
      </c>
      <c r="W311" s="37" t="s">
        <v>5028</v>
      </c>
      <c r="X311" s="32" t="s">
        <v>4522</v>
      </c>
      <c r="Y311" s="32" t="s">
        <v>1718</v>
      </c>
      <c r="Z311" s="32" t="s">
        <v>1718</v>
      </c>
      <c r="AA311" s="32" t="s">
        <v>5028</v>
      </c>
      <c r="AB311" s="32" t="s">
        <v>1718</v>
      </c>
      <c r="AC311" s="32" t="s">
        <v>1718</v>
      </c>
      <c r="AD311" s="32" t="s">
        <v>1718</v>
      </c>
      <c r="AE311" s="32" t="s">
        <v>1718</v>
      </c>
      <c r="AF311" s="32" t="s">
        <v>1718</v>
      </c>
      <c r="AG311" s="32" t="s">
        <v>1718</v>
      </c>
      <c r="AH311" s="32" t="s">
        <v>2107</v>
      </c>
      <c r="AI311" s="18" t="s">
        <v>1597</v>
      </c>
      <c r="AJ311" s="18" t="s">
        <v>1239</v>
      </c>
      <c r="AK311" s="18" t="s">
        <v>1240</v>
      </c>
      <c r="AL311" s="18">
        <v>41923767</v>
      </c>
      <c r="AM311" t="s">
        <v>1718</v>
      </c>
      <c r="AN311" t="s">
        <v>1718</v>
      </c>
      <c r="AO311" t="s">
        <v>1718</v>
      </c>
      <c r="AP311" t="s">
        <v>1718</v>
      </c>
      <c r="AQ311" t="s">
        <v>1718</v>
      </c>
      <c r="AR311" t="s">
        <v>1718</v>
      </c>
      <c r="AS311" t="s">
        <v>1718</v>
      </c>
      <c r="AT311" t="s">
        <v>1718</v>
      </c>
      <c r="AU311" t="s">
        <v>1718</v>
      </c>
      <c r="AV311" t="str">
        <f>VLOOKUP(D311,DATA_SISTEMA!$A$1:$Q$506,12,FALSE)</f>
        <v>BELLAVISTA</v>
      </c>
      <c r="AW311" t="str">
        <f>VLOOKUP(D311,DATA_SISTEMA!$A$1:$Q$506,11,FALSE)</f>
        <v>SULLANA</v>
      </c>
      <c r="AX311" t="str">
        <f>VLOOKUP(D311,DATA_SISTEMA!$A$1:$Q$506,10,FALSE)</f>
        <v>PIURA</v>
      </c>
      <c r="AY311" t="s">
        <v>1718</v>
      </c>
      <c r="AZ311" t="s">
        <v>5028</v>
      </c>
      <c r="BA311" t="s">
        <v>1718</v>
      </c>
      <c r="BB311" t="s">
        <v>5028</v>
      </c>
      <c r="BC311" t="s">
        <v>1718</v>
      </c>
      <c r="BD311" t="s">
        <v>5028</v>
      </c>
      <c r="BE311" t="s">
        <v>1718</v>
      </c>
      <c r="BF311" s="34" t="s">
        <v>2104</v>
      </c>
      <c r="BG311" s="18">
        <v>64.900000000000006</v>
      </c>
    </row>
    <row r="312" spans="1:59" x14ac:dyDescent="0.25">
      <c r="A312" s="4">
        <v>311</v>
      </c>
      <c r="B312" s="33" t="s">
        <v>1719</v>
      </c>
      <c r="C312" s="18" t="s">
        <v>2030</v>
      </c>
      <c r="D312" s="49" t="s">
        <v>4832</v>
      </c>
      <c r="E312" s="18" t="s">
        <v>505</v>
      </c>
      <c r="F312" s="36" t="s">
        <v>1718</v>
      </c>
      <c r="G312" s="18">
        <v>968043708</v>
      </c>
      <c r="H312" t="str">
        <f>VLOOKUP(D312,DATA_SISTEMA!$A$1:$Q$506,13,FALSE)</f>
        <v>AV. SAENZ PEÑA 674 DEPTO #3</v>
      </c>
      <c r="I312" t="str">
        <f>VLOOKUP(D312,DATA_SISTEMA!$A$1:$Q$506,7,FALSE)</f>
        <v>1988-03-24</v>
      </c>
      <c r="J312" s="32" t="s">
        <v>1718</v>
      </c>
      <c r="K312" s="32" t="s">
        <v>1718</v>
      </c>
      <c r="L312" s="32" t="s">
        <v>1718</v>
      </c>
      <c r="M312">
        <v>325</v>
      </c>
      <c r="N312">
        <v>0</v>
      </c>
      <c r="O312" s="32" t="str">
        <f t="shared" si="4"/>
        <v>3110020261X</v>
      </c>
      <c r="P312" s="32" t="s">
        <v>1718</v>
      </c>
      <c r="Q312" s="32" t="s">
        <v>1718</v>
      </c>
      <c r="R312" s="32" t="s">
        <v>2110</v>
      </c>
      <c r="S312" s="32" t="s">
        <v>5035</v>
      </c>
      <c r="T312" t="str">
        <f>VLOOKUP(D312,DATA_SISTEMA!$A$1:$Q$506,9,FALSE)</f>
        <v>M</v>
      </c>
      <c r="U312" s="32" t="s">
        <v>2106</v>
      </c>
      <c r="V312" s="32" t="s">
        <v>1718</v>
      </c>
      <c r="W312" s="37" t="s">
        <v>5028</v>
      </c>
      <c r="X312" s="32" t="s">
        <v>4522</v>
      </c>
      <c r="Y312" s="32" t="s">
        <v>1718</v>
      </c>
      <c r="Z312" s="32" t="s">
        <v>1718</v>
      </c>
      <c r="AA312" s="32" t="s">
        <v>5028</v>
      </c>
      <c r="AB312" s="32" t="s">
        <v>1718</v>
      </c>
      <c r="AC312" s="32" t="s">
        <v>1718</v>
      </c>
      <c r="AD312" s="32" t="s">
        <v>1718</v>
      </c>
      <c r="AE312" s="32" t="s">
        <v>1718</v>
      </c>
      <c r="AF312" s="32" t="s">
        <v>1718</v>
      </c>
      <c r="AG312" s="32" t="s">
        <v>1718</v>
      </c>
      <c r="AH312" s="32" t="s">
        <v>2107</v>
      </c>
      <c r="AI312" s="18" t="s">
        <v>1598</v>
      </c>
      <c r="AJ312" s="18" t="s">
        <v>1241</v>
      </c>
      <c r="AK312" s="18" t="s">
        <v>1242</v>
      </c>
      <c r="AL312" s="18">
        <v>45016415</v>
      </c>
      <c r="AM312" t="s">
        <v>1718</v>
      </c>
      <c r="AN312" t="s">
        <v>1718</v>
      </c>
      <c r="AO312" t="s">
        <v>1718</v>
      </c>
      <c r="AP312" t="s">
        <v>1718</v>
      </c>
      <c r="AQ312" t="s">
        <v>1718</v>
      </c>
      <c r="AR312" t="s">
        <v>1718</v>
      </c>
      <c r="AS312" t="s">
        <v>1718</v>
      </c>
      <c r="AT312" t="s">
        <v>1718</v>
      </c>
      <c r="AU312" t="s">
        <v>1718</v>
      </c>
      <c r="AV312" t="str">
        <f>VLOOKUP(D312,DATA_SISTEMA!$A$1:$Q$506,12,FALSE)</f>
        <v>CHICLAYO</v>
      </c>
      <c r="AW312" t="str">
        <f>VLOOKUP(D312,DATA_SISTEMA!$A$1:$Q$506,11,FALSE)</f>
        <v>CHICLAYO</v>
      </c>
      <c r="AX312" t="str">
        <f>VLOOKUP(D312,DATA_SISTEMA!$A$1:$Q$506,10,FALSE)</f>
        <v>LAMBAYEQUE</v>
      </c>
      <c r="AY312" t="s">
        <v>1718</v>
      </c>
      <c r="AZ312" t="s">
        <v>5028</v>
      </c>
      <c r="BA312" t="s">
        <v>1718</v>
      </c>
      <c r="BB312" t="s">
        <v>5028</v>
      </c>
      <c r="BC312" t="s">
        <v>1718</v>
      </c>
      <c r="BD312" t="s">
        <v>5028</v>
      </c>
      <c r="BE312" t="s">
        <v>1718</v>
      </c>
      <c r="BF312" s="34" t="s">
        <v>2104</v>
      </c>
      <c r="BG312" s="18">
        <v>64.5</v>
      </c>
    </row>
    <row r="313" spans="1:59" x14ac:dyDescent="0.25">
      <c r="A313" s="4">
        <v>312</v>
      </c>
      <c r="B313" s="33" t="s">
        <v>1719</v>
      </c>
      <c r="C313" s="18" t="s">
        <v>2031</v>
      </c>
      <c r="D313" s="49" t="s">
        <v>4833</v>
      </c>
      <c r="E313" s="18" t="s">
        <v>507</v>
      </c>
      <c r="F313" s="36" t="s">
        <v>1718</v>
      </c>
      <c r="G313" s="18">
        <v>920190315</v>
      </c>
      <c r="H313" t="str">
        <f>VLOOKUP(D313,DATA_SISTEMA!$A$1:$Q$506,13,FALSE)</f>
        <v>AV. PEDRO CIEZA DE LEON 512. URB. LAS BRISAS</v>
      </c>
      <c r="I313" t="str">
        <f>VLOOKUP(D313,DATA_SISTEMA!$A$1:$Q$506,7,FALSE)</f>
        <v>1990-09-18</v>
      </c>
      <c r="J313" s="32" t="s">
        <v>1718</v>
      </c>
      <c r="K313" s="32" t="s">
        <v>1718</v>
      </c>
      <c r="L313" s="32" t="s">
        <v>1718</v>
      </c>
      <c r="M313">
        <v>325</v>
      </c>
      <c r="N313">
        <v>0</v>
      </c>
      <c r="O313" s="32" t="str">
        <f t="shared" si="4"/>
        <v>3120020261X</v>
      </c>
      <c r="P313" s="32" t="s">
        <v>1718</v>
      </c>
      <c r="Q313" s="32" t="s">
        <v>1718</v>
      </c>
      <c r="R313" s="32" t="s">
        <v>2110</v>
      </c>
      <c r="S313" s="32" t="s">
        <v>5035</v>
      </c>
      <c r="T313" t="str">
        <f>VLOOKUP(D313,DATA_SISTEMA!$A$1:$Q$506,9,FALSE)</f>
        <v>F</v>
      </c>
      <c r="U313" s="32" t="s">
        <v>2106</v>
      </c>
      <c r="V313" s="32" t="s">
        <v>1718</v>
      </c>
      <c r="W313" s="37" t="s">
        <v>5028</v>
      </c>
      <c r="X313" s="32" t="s">
        <v>4522</v>
      </c>
      <c r="Y313" s="32" t="s">
        <v>1718</v>
      </c>
      <c r="Z313" s="32" t="s">
        <v>1718</v>
      </c>
      <c r="AA313" s="32" t="s">
        <v>5028</v>
      </c>
      <c r="AB313" s="32" t="s">
        <v>1718</v>
      </c>
      <c r="AC313" s="32" t="s">
        <v>1718</v>
      </c>
      <c r="AD313" s="32" t="s">
        <v>1718</v>
      </c>
      <c r="AE313" s="32" t="s">
        <v>1718</v>
      </c>
      <c r="AF313" s="32" t="s">
        <v>1718</v>
      </c>
      <c r="AG313" s="32" t="s">
        <v>1718</v>
      </c>
      <c r="AH313" s="32" t="s">
        <v>2107</v>
      </c>
      <c r="AI313" s="18" t="s">
        <v>1599</v>
      </c>
      <c r="AJ313" s="18" t="s">
        <v>1243</v>
      </c>
      <c r="AK313" s="18" t="s">
        <v>1129</v>
      </c>
      <c r="AL313" s="18">
        <v>46528893</v>
      </c>
      <c r="AM313" t="s">
        <v>1718</v>
      </c>
      <c r="AN313" t="s">
        <v>1718</v>
      </c>
      <c r="AO313" t="s">
        <v>1718</v>
      </c>
      <c r="AP313" t="s">
        <v>1718</v>
      </c>
      <c r="AQ313" t="s">
        <v>1718</v>
      </c>
      <c r="AR313" t="s">
        <v>1718</v>
      </c>
      <c r="AS313" t="s">
        <v>1718</v>
      </c>
      <c r="AT313" t="s">
        <v>1718</v>
      </c>
      <c r="AU313" t="s">
        <v>1718</v>
      </c>
      <c r="AV313" t="str">
        <f>VLOOKUP(D313,DATA_SISTEMA!$A$1:$Q$506,12,FALSE)</f>
        <v>CHICLAYO</v>
      </c>
      <c r="AW313" t="str">
        <f>VLOOKUP(D313,DATA_SISTEMA!$A$1:$Q$506,11,FALSE)</f>
        <v>CHICLAYO</v>
      </c>
      <c r="AX313" t="str">
        <f>VLOOKUP(D313,DATA_SISTEMA!$A$1:$Q$506,10,FALSE)</f>
        <v>LAMBAYEQUE</v>
      </c>
      <c r="AY313" t="s">
        <v>1718</v>
      </c>
      <c r="AZ313" t="s">
        <v>5028</v>
      </c>
      <c r="BA313" t="s">
        <v>1718</v>
      </c>
      <c r="BB313" t="s">
        <v>5028</v>
      </c>
      <c r="BC313" t="s">
        <v>1718</v>
      </c>
      <c r="BD313" t="s">
        <v>5028</v>
      </c>
      <c r="BE313" t="s">
        <v>1718</v>
      </c>
      <c r="BF313" s="34" t="s">
        <v>2104</v>
      </c>
      <c r="BG313" s="18">
        <v>63.4</v>
      </c>
    </row>
    <row r="314" spans="1:59" x14ac:dyDescent="0.25">
      <c r="A314" s="4">
        <v>313</v>
      </c>
      <c r="B314" s="33" t="s">
        <v>1719</v>
      </c>
      <c r="C314" s="18" t="s">
        <v>2032</v>
      </c>
      <c r="D314" s="49" t="s">
        <v>4834</v>
      </c>
      <c r="E314" s="18" t="s">
        <v>509</v>
      </c>
      <c r="F314" s="36" t="s">
        <v>1718</v>
      </c>
      <c r="G314" s="18">
        <v>990935504</v>
      </c>
      <c r="H314" t="str">
        <f>VLOOKUP(D314,DATA_SISTEMA!$A$1:$Q$506,13,FALSE)</f>
        <v>AV. SALAVERRY 1945. URB. 3 DE OCTUBRE - CHICLAYO.</v>
      </c>
      <c r="I314" t="str">
        <f>VLOOKUP(D314,DATA_SISTEMA!$A$1:$Q$506,7,FALSE)</f>
        <v>1981-12-14</v>
      </c>
      <c r="J314" s="32" t="s">
        <v>1718</v>
      </c>
      <c r="K314" s="32" t="s">
        <v>1718</v>
      </c>
      <c r="L314" s="32" t="s">
        <v>1718</v>
      </c>
      <c r="M314">
        <v>325</v>
      </c>
      <c r="N314">
        <v>0</v>
      </c>
      <c r="O314" s="32" t="str">
        <f t="shared" si="4"/>
        <v>3130020261X</v>
      </c>
      <c r="P314" s="32" t="s">
        <v>1718</v>
      </c>
      <c r="Q314" s="32" t="s">
        <v>1718</v>
      </c>
      <c r="R314" s="32" t="s">
        <v>2110</v>
      </c>
      <c r="S314" s="32" t="s">
        <v>5035</v>
      </c>
      <c r="T314" t="str">
        <f>VLOOKUP(D314,DATA_SISTEMA!$A$1:$Q$506,9,FALSE)</f>
        <v>M</v>
      </c>
      <c r="U314" s="32" t="s">
        <v>2106</v>
      </c>
      <c r="V314" s="32" t="s">
        <v>1718</v>
      </c>
      <c r="W314" s="37" t="s">
        <v>5028</v>
      </c>
      <c r="X314" s="32" t="s">
        <v>4522</v>
      </c>
      <c r="Y314" s="32" t="s">
        <v>1718</v>
      </c>
      <c r="Z314" s="32" t="s">
        <v>1718</v>
      </c>
      <c r="AA314" s="32" t="s">
        <v>5028</v>
      </c>
      <c r="AB314" s="32" t="s">
        <v>1718</v>
      </c>
      <c r="AC314" s="32" t="s">
        <v>1718</v>
      </c>
      <c r="AD314" s="32" t="s">
        <v>1718</v>
      </c>
      <c r="AE314" s="32" t="s">
        <v>1718</v>
      </c>
      <c r="AF314" s="32" t="s">
        <v>1718</v>
      </c>
      <c r="AG314" s="32" t="s">
        <v>1718</v>
      </c>
      <c r="AH314" s="32" t="s">
        <v>2107</v>
      </c>
      <c r="AI314" s="18" t="s">
        <v>1600</v>
      </c>
      <c r="AJ314" s="18" t="s">
        <v>1244</v>
      </c>
      <c r="AK314" s="18" t="s">
        <v>1245</v>
      </c>
      <c r="AL314" s="18">
        <v>41379898</v>
      </c>
      <c r="AM314" t="s">
        <v>1718</v>
      </c>
      <c r="AN314" t="s">
        <v>1718</v>
      </c>
      <c r="AO314" t="s">
        <v>1718</v>
      </c>
      <c r="AP314" t="s">
        <v>1718</v>
      </c>
      <c r="AQ314" t="s">
        <v>1718</v>
      </c>
      <c r="AR314" t="s">
        <v>1718</v>
      </c>
      <c r="AS314" t="s">
        <v>1718</v>
      </c>
      <c r="AT314" t="s">
        <v>1718</v>
      </c>
      <c r="AU314" t="s">
        <v>1718</v>
      </c>
      <c r="AV314" t="str">
        <f>VLOOKUP(D314,DATA_SISTEMA!$A$1:$Q$506,12,FALSE)</f>
        <v>CHICLAYO</v>
      </c>
      <c r="AW314" t="str">
        <f>VLOOKUP(D314,DATA_SISTEMA!$A$1:$Q$506,11,FALSE)</f>
        <v>CHICLAYO</v>
      </c>
      <c r="AX314" t="str">
        <f>VLOOKUP(D314,DATA_SISTEMA!$A$1:$Q$506,10,FALSE)</f>
        <v>LAMBAYEQUE</v>
      </c>
      <c r="AY314" t="s">
        <v>1718</v>
      </c>
      <c r="AZ314" t="s">
        <v>5028</v>
      </c>
      <c r="BA314" t="s">
        <v>1718</v>
      </c>
      <c r="BB314" t="s">
        <v>5028</v>
      </c>
      <c r="BC314" t="s">
        <v>1718</v>
      </c>
      <c r="BD314" t="s">
        <v>5028</v>
      </c>
      <c r="BE314" t="s">
        <v>1718</v>
      </c>
      <c r="BF314" s="34" t="s">
        <v>2104</v>
      </c>
      <c r="BG314" s="18">
        <v>63</v>
      </c>
    </row>
    <row r="315" spans="1:59" x14ac:dyDescent="0.25">
      <c r="A315" s="4">
        <v>314</v>
      </c>
      <c r="B315" s="33" t="s">
        <v>1719</v>
      </c>
      <c r="C315" s="18" t="s">
        <v>2033</v>
      </c>
      <c r="D315" s="49" t="s">
        <v>4835</v>
      </c>
      <c r="E315" s="18" t="s">
        <v>511</v>
      </c>
      <c r="F315" s="36" t="s">
        <v>1718</v>
      </c>
      <c r="G315" s="18">
        <v>943732547</v>
      </c>
      <c r="H315" t="str">
        <f>VLOOKUP(D315,DATA_SISTEMA!$A$1:$Q$506,13,FALSE)</f>
        <v>AV. PIURA N°138</v>
      </c>
      <c r="I315" t="str">
        <f>VLOOKUP(D315,DATA_SISTEMA!$A$1:$Q$506,7,FALSE)</f>
        <v>1987-12-02</v>
      </c>
      <c r="J315" s="32" t="s">
        <v>1718</v>
      </c>
      <c r="K315" s="32" t="s">
        <v>1718</v>
      </c>
      <c r="L315" s="32" t="s">
        <v>1718</v>
      </c>
      <c r="M315">
        <v>325</v>
      </c>
      <c r="N315">
        <v>0</v>
      </c>
      <c r="O315" s="32" t="str">
        <f t="shared" si="4"/>
        <v>3140020261X</v>
      </c>
      <c r="P315" s="32" t="s">
        <v>1718</v>
      </c>
      <c r="Q315" s="32" t="s">
        <v>1718</v>
      </c>
      <c r="R315" s="32" t="s">
        <v>2110</v>
      </c>
      <c r="S315" s="32" t="s">
        <v>5035</v>
      </c>
      <c r="T315" t="str">
        <f>VLOOKUP(D315,DATA_SISTEMA!$A$1:$Q$506,9,FALSE)</f>
        <v>M</v>
      </c>
      <c r="U315" s="32" t="s">
        <v>2106</v>
      </c>
      <c r="V315" s="32" t="s">
        <v>1718</v>
      </c>
      <c r="W315" s="37" t="s">
        <v>5028</v>
      </c>
      <c r="X315" s="32" t="s">
        <v>4522</v>
      </c>
      <c r="Y315" s="32" t="s">
        <v>1718</v>
      </c>
      <c r="Z315" s="32" t="s">
        <v>1718</v>
      </c>
      <c r="AA315" s="32" t="s">
        <v>5028</v>
      </c>
      <c r="AB315" s="32" t="s">
        <v>1718</v>
      </c>
      <c r="AC315" s="32" t="s">
        <v>1718</v>
      </c>
      <c r="AD315" s="32" t="s">
        <v>1718</v>
      </c>
      <c r="AE315" s="32" t="s">
        <v>1718</v>
      </c>
      <c r="AF315" s="32" t="s">
        <v>1718</v>
      </c>
      <c r="AG315" s="32" t="s">
        <v>1718</v>
      </c>
      <c r="AH315" s="32" t="s">
        <v>2107</v>
      </c>
      <c r="AI315" s="18" t="s">
        <v>1601</v>
      </c>
      <c r="AJ315" s="18" t="s">
        <v>1246</v>
      </c>
      <c r="AK315" s="18" t="s">
        <v>1247</v>
      </c>
      <c r="AL315" s="18">
        <v>44685921</v>
      </c>
      <c r="AM315" t="s">
        <v>1718</v>
      </c>
      <c r="AN315" t="s">
        <v>1718</v>
      </c>
      <c r="AO315" t="s">
        <v>1718</v>
      </c>
      <c r="AP315" t="s">
        <v>1718</v>
      </c>
      <c r="AQ315" t="s">
        <v>1718</v>
      </c>
      <c r="AR315" t="s">
        <v>1718</v>
      </c>
      <c r="AS315" t="s">
        <v>1718</v>
      </c>
      <c r="AT315" t="s">
        <v>1718</v>
      </c>
      <c r="AU315" t="s">
        <v>1718</v>
      </c>
      <c r="AV315" t="str">
        <f>VLOOKUP(D315,DATA_SISTEMA!$A$1:$Q$506,12,FALSE)</f>
        <v>TUMBES</v>
      </c>
      <c r="AW315" t="str">
        <f>VLOOKUP(D315,DATA_SISTEMA!$A$1:$Q$506,11,FALSE)</f>
        <v>TUMBES</v>
      </c>
      <c r="AX315" t="str">
        <f>VLOOKUP(D315,DATA_SISTEMA!$A$1:$Q$506,10,FALSE)</f>
        <v>TUMBES</v>
      </c>
      <c r="AY315" t="s">
        <v>1718</v>
      </c>
      <c r="AZ315" t="s">
        <v>5028</v>
      </c>
      <c r="BA315" t="s">
        <v>1718</v>
      </c>
      <c r="BB315" t="s">
        <v>5028</v>
      </c>
      <c r="BC315" t="s">
        <v>1718</v>
      </c>
      <c r="BD315" t="s">
        <v>5028</v>
      </c>
      <c r="BE315" t="s">
        <v>1718</v>
      </c>
      <c r="BF315" s="34" t="s">
        <v>2104</v>
      </c>
      <c r="BG315" s="18">
        <v>63</v>
      </c>
    </row>
    <row r="316" spans="1:59" x14ac:dyDescent="0.25">
      <c r="A316" s="4">
        <v>315</v>
      </c>
      <c r="B316" s="33" t="s">
        <v>1719</v>
      </c>
      <c r="C316" s="18" t="s">
        <v>2034</v>
      </c>
      <c r="D316" s="49" t="s">
        <v>4836</v>
      </c>
      <c r="E316" s="18" t="s">
        <v>513</v>
      </c>
      <c r="F316" s="36" t="s">
        <v>1718</v>
      </c>
      <c r="G316" s="18">
        <v>968239466</v>
      </c>
      <c r="H316" t="str">
        <f>VLOOKUP(D316,DATA_SISTEMA!$A$1:$Q$506,13,FALSE)</f>
        <v>URBANIZACION SAN JOSE CALLE 3 # 1509</v>
      </c>
      <c r="I316" t="str">
        <f>VLOOKUP(D316,DATA_SISTEMA!$A$1:$Q$506,7,FALSE)</f>
        <v>1979-11-08</v>
      </c>
      <c r="J316" s="32" t="s">
        <v>1718</v>
      </c>
      <c r="K316" s="32" t="s">
        <v>1718</v>
      </c>
      <c r="L316" s="32" t="s">
        <v>1718</v>
      </c>
      <c r="M316">
        <v>325</v>
      </c>
      <c r="N316">
        <v>0</v>
      </c>
      <c r="O316" s="32" t="str">
        <f t="shared" si="4"/>
        <v>3150020261X</v>
      </c>
      <c r="P316" s="32" t="s">
        <v>1718</v>
      </c>
      <c r="Q316" s="32" t="s">
        <v>1718</v>
      </c>
      <c r="R316" s="32" t="s">
        <v>2110</v>
      </c>
      <c r="S316" s="32" t="s">
        <v>5035</v>
      </c>
      <c r="T316" t="str">
        <f>VLOOKUP(D316,DATA_SISTEMA!$A$1:$Q$506,9,FALSE)</f>
        <v>M</v>
      </c>
      <c r="U316" s="32" t="s">
        <v>2106</v>
      </c>
      <c r="V316" s="32" t="s">
        <v>1718</v>
      </c>
      <c r="W316" s="37" t="s">
        <v>5028</v>
      </c>
      <c r="X316" s="32" t="s">
        <v>4522</v>
      </c>
      <c r="Y316" s="32" t="s">
        <v>1718</v>
      </c>
      <c r="Z316" s="32" t="s">
        <v>1718</v>
      </c>
      <c r="AA316" s="32" t="s">
        <v>5028</v>
      </c>
      <c r="AB316" s="32" t="s">
        <v>1718</v>
      </c>
      <c r="AC316" s="32" t="s">
        <v>1718</v>
      </c>
      <c r="AD316" s="32" t="s">
        <v>1718</v>
      </c>
      <c r="AE316" s="32" t="s">
        <v>1718</v>
      </c>
      <c r="AF316" s="32" t="s">
        <v>1718</v>
      </c>
      <c r="AG316" s="32" t="s">
        <v>1718</v>
      </c>
      <c r="AH316" s="32" t="s">
        <v>2107</v>
      </c>
      <c r="AI316" s="18" t="s">
        <v>1602</v>
      </c>
      <c r="AJ316" s="18" t="s">
        <v>1026</v>
      </c>
      <c r="AK316" s="18" t="s">
        <v>858</v>
      </c>
      <c r="AL316" s="18">
        <v>41600624</v>
      </c>
      <c r="AM316" t="s">
        <v>1718</v>
      </c>
      <c r="AN316" t="s">
        <v>1718</v>
      </c>
      <c r="AO316" t="s">
        <v>1718</v>
      </c>
      <c r="AP316" t="s">
        <v>1718</v>
      </c>
      <c r="AQ316" t="s">
        <v>1718</v>
      </c>
      <c r="AR316" t="s">
        <v>1718</v>
      </c>
      <c r="AS316" t="s">
        <v>1718</v>
      </c>
      <c r="AT316" t="s">
        <v>1718</v>
      </c>
      <c r="AU316" t="s">
        <v>1718</v>
      </c>
      <c r="AV316" t="str">
        <f>VLOOKUP(D316,DATA_SISTEMA!$A$1:$Q$506,12,FALSE)</f>
        <v>PIURA</v>
      </c>
      <c r="AW316" t="str">
        <f>VLOOKUP(D316,DATA_SISTEMA!$A$1:$Q$506,11,FALSE)</f>
        <v>PIURA</v>
      </c>
      <c r="AX316" t="str">
        <f>VLOOKUP(D316,DATA_SISTEMA!$A$1:$Q$506,10,FALSE)</f>
        <v>PIURA</v>
      </c>
      <c r="AY316" t="s">
        <v>1718</v>
      </c>
      <c r="AZ316" t="s">
        <v>5028</v>
      </c>
      <c r="BA316" t="s">
        <v>1718</v>
      </c>
      <c r="BB316" t="s">
        <v>5028</v>
      </c>
      <c r="BC316" t="s">
        <v>1718</v>
      </c>
      <c r="BD316" t="s">
        <v>5028</v>
      </c>
      <c r="BE316" t="s">
        <v>1718</v>
      </c>
      <c r="BF316" s="34" t="s">
        <v>2104</v>
      </c>
      <c r="BG316" s="18">
        <v>62.7</v>
      </c>
    </row>
    <row r="317" spans="1:59" x14ac:dyDescent="0.25">
      <c r="A317" s="4">
        <v>316</v>
      </c>
      <c r="B317" s="33" t="s">
        <v>1719</v>
      </c>
      <c r="C317" s="18" t="s">
        <v>2035</v>
      </c>
      <c r="D317" s="49" t="s">
        <v>4837</v>
      </c>
      <c r="E317" s="18" t="s">
        <v>515</v>
      </c>
      <c r="F317" s="36" t="s">
        <v>1718</v>
      </c>
      <c r="G317" s="18">
        <v>978878772</v>
      </c>
      <c r="H317" t="str">
        <f>VLOOKUP(D317,DATA_SISTEMA!$A$1:$Q$506,13,FALSE)</f>
        <v>AVENIDA MEXICO 3564</v>
      </c>
      <c r="I317" t="str">
        <f>VLOOKUP(D317,DATA_SISTEMA!$A$1:$Q$506,7,FALSE)</f>
        <v>1994-05-10</v>
      </c>
      <c r="J317" s="32" t="s">
        <v>1718</v>
      </c>
      <c r="K317" s="32" t="s">
        <v>1718</v>
      </c>
      <c r="L317" s="32" t="s">
        <v>1718</v>
      </c>
      <c r="M317">
        <v>325</v>
      </c>
      <c r="N317">
        <v>0</v>
      </c>
      <c r="O317" s="32" t="str">
        <f t="shared" si="4"/>
        <v>3160020261X</v>
      </c>
      <c r="P317" s="32" t="s">
        <v>1718</v>
      </c>
      <c r="Q317" s="32" t="s">
        <v>1718</v>
      </c>
      <c r="R317" s="32" t="s">
        <v>2110</v>
      </c>
      <c r="S317" s="32" t="s">
        <v>5035</v>
      </c>
      <c r="T317" t="str">
        <f>VLOOKUP(D317,DATA_SISTEMA!$A$1:$Q$506,9,FALSE)</f>
        <v>F</v>
      </c>
      <c r="U317" s="32" t="s">
        <v>2106</v>
      </c>
      <c r="V317" s="32" t="s">
        <v>1718</v>
      </c>
      <c r="W317" s="37" t="s">
        <v>5028</v>
      </c>
      <c r="X317" s="32" t="s">
        <v>4522</v>
      </c>
      <c r="Y317" s="32" t="s">
        <v>1718</v>
      </c>
      <c r="Z317" s="32" t="s">
        <v>1718</v>
      </c>
      <c r="AA317" s="32" t="s">
        <v>5028</v>
      </c>
      <c r="AB317" s="32" t="s">
        <v>1718</v>
      </c>
      <c r="AC317" s="32" t="s">
        <v>1718</v>
      </c>
      <c r="AD317" s="32" t="s">
        <v>1718</v>
      </c>
      <c r="AE317" s="32" t="s">
        <v>1718</v>
      </c>
      <c r="AF317" s="32" t="s">
        <v>1718</v>
      </c>
      <c r="AG317" s="32" t="s">
        <v>1718</v>
      </c>
      <c r="AH317" s="32" t="s">
        <v>2107</v>
      </c>
      <c r="AI317" s="18" t="s">
        <v>1603</v>
      </c>
      <c r="AJ317" s="18" t="s">
        <v>976</v>
      </c>
      <c r="AK317" s="18" t="s">
        <v>1248</v>
      </c>
      <c r="AL317" s="18">
        <v>48318009</v>
      </c>
      <c r="AM317" t="s">
        <v>1718</v>
      </c>
      <c r="AN317" t="s">
        <v>1718</v>
      </c>
      <c r="AO317" t="s">
        <v>1718</v>
      </c>
      <c r="AP317" t="s">
        <v>1718</v>
      </c>
      <c r="AQ317" t="s">
        <v>1718</v>
      </c>
      <c r="AR317" t="s">
        <v>1718</v>
      </c>
      <c r="AS317" t="s">
        <v>1718</v>
      </c>
      <c r="AT317" t="s">
        <v>1718</v>
      </c>
      <c r="AU317" t="s">
        <v>1718</v>
      </c>
      <c r="AV317" t="str">
        <f>VLOOKUP(D317,DATA_SISTEMA!$A$1:$Q$506,12,FALSE)</f>
        <v>JOSE LEONARDO ORTIZ</v>
      </c>
      <c r="AW317" t="str">
        <f>VLOOKUP(D317,DATA_SISTEMA!$A$1:$Q$506,11,FALSE)</f>
        <v>CHICLAYO</v>
      </c>
      <c r="AX317" t="str">
        <f>VLOOKUP(D317,DATA_SISTEMA!$A$1:$Q$506,10,FALSE)</f>
        <v>LAMBAYEQUE</v>
      </c>
      <c r="AY317" t="s">
        <v>1718</v>
      </c>
      <c r="AZ317" t="s">
        <v>5028</v>
      </c>
      <c r="BA317" t="s">
        <v>1718</v>
      </c>
      <c r="BB317" t="s">
        <v>5028</v>
      </c>
      <c r="BC317" t="s">
        <v>1718</v>
      </c>
      <c r="BD317" t="s">
        <v>5028</v>
      </c>
      <c r="BE317" t="s">
        <v>1718</v>
      </c>
      <c r="BF317" s="34" t="s">
        <v>2104</v>
      </c>
      <c r="BG317" s="18">
        <v>61</v>
      </c>
    </row>
    <row r="318" spans="1:59" x14ac:dyDescent="0.25">
      <c r="A318" s="4">
        <v>317</v>
      </c>
      <c r="B318" s="33" t="s">
        <v>1719</v>
      </c>
      <c r="C318" s="18" t="s">
        <v>2036</v>
      </c>
      <c r="D318" s="49" t="s">
        <v>4838</v>
      </c>
      <c r="E318" s="18" t="s">
        <v>517</v>
      </c>
      <c r="F318" s="36" t="s">
        <v>1718</v>
      </c>
      <c r="G318" s="18">
        <v>957571871</v>
      </c>
      <c r="H318" t="str">
        <f>VLOOKUP(D318,DATA_SISTEMA!$A$1:$Q$506,13,FALSE)</f>
        <v>AV PERU - FRANCIA MZ A1 LT 1</v>
      </c>
      <c r="I318" t="str">
        <f>VLOOKUP(D318,DATA_SISTEMA!$A$1:$Q$506,7,FALSE)</f>
        <v>1997-03-18</v>
      </c>
      <c r="J318" s="32" t="s">
        <v>1718</v>
      </c>
      <c r="K318" s="32" t="s">
        <v>1718</v>
      </c>
      <c r="L318" s="32" t="s">
        <v>1718</v>
      </c>
      <c r="M318">
        <v>325</v>
      </c>
      <c r="N318">
        <v>0</v>
      </c>
      <c r="O318" s="32" t="str">
        <f t="shared" si="4"/>
        <v>3170020261X</v>
      </c>
      <c r="P318" s="32" t="s">
        <v>1718</v>
      </c>
      <c r="Q318" s="32" t="s">
        <v>1718</v>
      </c>
      <c r="R318" s="32" t="s">
        <v>2110</v>
      </c>
      <c r="S318" s="32" t="s">
        <v>5035</v>
      </c>
      <c r="T318" t="str">
        <f>VLOOKUP(D318,DATA_SISTEMA!$A$1:$Q$506,9,FALSE)</f>
        <v>M</v>
      </c>
      <c r="U318" s="32" t="s">
        <v>2106</v>
      </c>
      <c r="V318" s="32" t="s">
        <v>1718</v>
      </c>
      <c r="W318" s="37" t="s">
        <v>5028</v>
      </c>
      <c r="X318" s="32" t="s">
        <v>4522</v>
      </c>
      <c r="Y318" s="32" t="s">
        <v>1718</v>
      </c>
      <c r="Z318" s="32" t="s">
        <v>1718</v>
      </c>
      <c r="AA318" s="32" t="s">
        <v>5028</v>
      </c>
      <c r="AB318" s="32" t="s">
        <v>1718</v>
      </c>
      <c r="AC318" s="32" t="s">
        <v>1718</v>
      </c>
      <c r="AD318" s="32" t="s">
        <v>1718</v>
      </c>
      <c r="AE318" s="32" t="s">
        <v>1718</v>
      </c>
      <c r="AF318" s="32" t="s">
        <v>1718</v>
      </c>
      <c r="AG318" s="32" t="s">
        <v>1718</v>
      </c>
      <c r="AH318" s="32" t="s">
        <v>2107</v>
      </c>
      <c r="AI318" s="18" t="s">
        <v>1604</v>
      </c>
      <c r="AJ318" s="18" t="s">
        <v>1249</v>
      </c>
      <c r="AK318" s="18" t="s">
        <v>859</v>
      </c>
      <c r="AL318" s="18">
        <v>71075038</v>
      </c>
      <c r="AM318" t="s">
        <v>1718</v>
      </c>
      <c r="AN318" t="s">
        <v>1718</v>
      </c>
      <c r="AO318" t="s">
        <v>1718</v>
      </c>
      <c r="AP318" t="s">
        <v>1718</v>
      </c>
      <c r="AQ318" t="s">
        <v>1718</v>
      </c>
      <c r="AR318" t="s">
        <v>1718</v>
      </c>
      <c r="AS318" t="s">
        <v>1718</v>
      </c>
      <c r="AT318" t="s">
        <v>1718</v>
      </c>
      <c r="AU318" t="s">
        <v>1718</v>
      </c>
      <c r="AV318" t="str">
        <f>VLOOKUP(D318,DATA_SISTEMA!$A$1:$Q$506,12,FALSE)</f>
        <v>VEINTISEIS DE OCTUBLE</v>
      </c>
      <c r="AW318" t="str">
        <f>VLOOKUP(D318,DATA_SISTEMA!$A$1:$Q$506,11,FALSE)</f>
        <v>PIURA</v>
      </c>
      <c r="AX318" t="str">
        <f>VLOOKUP(D318,DATA_SISTEMA!$A$1:$Q$506,10,FALSE)</f>
        <v>PIURA</v>
      </c>
      <c r="AY318" t="s">
        <v>1718</v>
      </c>
      <c r="AZ318" t="s">
        <v>5028</v>
      </c>
      <c r="BA318" t="s">
        <v>1718</v>
      </c>
      <c r="BB318" t="s">
        <v>5028</v>
      </c>
      <c r="BC318" t="s">
        <v>1718</v>
      </c>
      <c r="BD318" t="s">
        <v>5028</v>
      </c>
      <c r="BE318" t="s">
        <v>1718</v>
      </c>
      <c r="BF318" s="34" t="s">
        <v>2104</v>
      </c>
      <c r="BG318" s="18">
        <v>60.8</v>
      </c>
    </row>
    <row r="319" spans="1:59" x14ac:dyDescent="0.25">
      <c r="A319" s="4">
        <v>318</v>
      </c>
      <c r="B319" s="33" t="s">
        <v>1719</v>
      </c>
      <c r="C319" s="18" t="s">
        <v>2037</v>
      </c>
      <c r="D319" s="49" t="s">
        <v>4839</v>
      </c>
      <c r="E319" s="18" t="s">
        <v>519</v>
      </c>
      <c r="F319" s="36" t="s">
        <v>1718</v>
      </c>
      <c r="G319" s="18">
        <v>967903668</v>
      </c>
      <c r="H319" t="str">
        <f>VLOOKUP(D319,DATA_SISTEMA!$A$1:$Q$506,13,FALSE)</f>
        <v>URBANIZACION SANTA ANA MZ  O LOTE 29</v>
      </c>
      <c r="I319" t="str">
        <f>VLOOKUP(D319,DATA_SISTEMA!$A$1:$Q$506,7,FALSE)</f>
        <v>1985-01-01</v>
      </c>
      <c r="J319" s="32" t="s">
        <v>1718</v>
      </c>
      <c r="K319" s="32" t="s">
        <v>1718</v>
      </c>
      <c r="L319" s="32" t="s">
        <v>1718</v>
      </c>
      <c r="M319">
        <v>325</v>
      </c>
      <c r="N319">
        <v>0</v>
      </c>
      <c r="O319" s="32" t="str">
        <f t="shared" si="4"/>
        <v>3180020261X</v>
      </c>
      <c r="P319" s="32" t="s">
        <v>1718</v>
      </c>
      <c r="Q319" s="32" t="s">
        <v>1718</v>
      </c>
      <c r="R319" s="32" t="s">
        <v>2110</v>
      </c>
      <c r="S319" s="32" t="s">
        <v>5035</v>
      </c>
      <c r="T319" t="str">
        <f>VLOOKUP(D319,DATA_SISTEMA!$A$1:$Q$506,9,FALSE)</f>
        <v>M</v>
      </c>
      <c r="U319" s="32" t="s">
        <v>2106</v>
      </c>
      <c r="V319" s="32" t="s">
        <v>1718</v>
      </c>
      <c r="W319" s="37" t="s">
        <v>5028</v>
      </c>
      <c r="X319" s="32" t="s">
        <v>4522</v>
      </c>
      <c r="Y319" s="32" t="s">
        <v>1718</v>
      </c>
      <c r="Z319" s="32" t="s">
        <v>1718</v>
      </c>
      <c r="AA319" s="32" t="s">
        <v>5028</v>
      </c>
      <c r="AB319" s="32" t="s">
        <v>1718</v>
      </c>
      <c r="AC319" s="32" t="s">
        <v>1718</v>
      </c>
      <c r="AD319" s="32" t="s">
        <v>1718</v>
      </c>
      <c r="AE319" s="32" t="s">
        <v>1718</v>
      </c>
      <c r="AF319" s="32" t="s">
        <v>1718</v>
      </c>
      <c r="AG319" s="32" t="s">
        <v>1718</v>
      </c>
      <c r="AH319" s="32" t="s">
        <v>2107</v>
      </c>
      <c r="AI319" s="18" t="s">
        <v>1390</v>
      </c>
      <c r="AJ319" s="18" t="s">
        <v>1250</v>
      </c>
      <c r="AK319" s="18" t="s">
        <v>1251</v>
      </c>
      <c r="AL319" s="18">
        <v>42883961</v>
      </c>
      <c r="AM319" t="s">
        <v>1718</v>
      </c>
      <c r="AN319" t="s">
        <v>1718</v>
      </c>
      <c r="AO319" t="s">
        <v>1718</v>
      </c>
      <c r="AP319" t="s">
        <v>1718</v>
      </c>
      <c r="AQ319" t="s">
        <v>1718</v>
      </c>
      <c r="AR319" t="s">
        <v>1718</v>
      </c>
      <c r="AS319" t="s">
        <v>1718</v>
      </c>
      <c r="AT319" t="s">
        <v>1718</v>
      </c>
      <c r="AU319" t="s">
        <v>1718</v>
      </c>
      <c r="AV319" t="str">
        <f>VLOOKUP(D319,DATA_SISTEMA!$A$1:$Q$506,12,FALSE)</f>
        <v>PIURA</v>
      </c>
      <c r="AW319" t="str">
        <f>VLOOKUP(D319,DATA_SISTEMA!$A$1:$Q$506,11,FALSE)</f>
        <v>PIURA</v>
      </c>
      <c r="AX319" t="str">
        <f>VLOOKUP(D319,DATA_SISTEMA!$A$1:$Q$506,10,FALSE)</f>
        <v>PIURA</v>
      </c>
      <c r="AY319" t="s">
        <v>1718</v>
      </c>
      <c r="AZ319" t="s">
        <v>5028</v>
      </c>
      <c r="BA319" t="s">
        <v>1718</v>
      </c>
      <c r="BB319" t="s">
        <v>5028</v>
      </c>
      <c r="BC319" t="s">
        <v>1718</v>
      </c>
      <c r="BD319" t="s">
        <v>5028</v>
      </c>
      <c r="BE319" t="s">
        <v>1718</v>
      </c>
      <c r="BF319" s="34" t="s">
        <v>2104</v>
      </c>
      <c r="BG319" s="18">
        <v>59.2</v>
      </c>
    </row>
    <row r="320" spans="1:59" x14ac:dyDescent="0.25">
      <c r="A320" s="4">
        <v>319</v>
      </c>
      <c r="B320" s="33" t="s">
        <v>1719</v>
      </c>
      <c r="C320" s="18" t="s">
        <v>2038</v>
      </c>
      <c r="D320" s="49" t="s">
        <v>4840</v>
      </c>
      <c r="E320" s="18" t="s">
        <v>521</v>
      </c>
      <c r="F320" s="36" t="s">
        <v>1718</v>
      </c>
      <c r="G320" s="18">
        <v>999235588</v>
      </c>
      <c r="H320" t="str">
        <f>VLOOKUP(D320,DATA_SISTEMA!$A$1:$Q$506,13,FALSE)</f>
        <v>AV.BETANCOURT MZC LT 36 LOS OLIVOS DE PRO</v>
      </c>
      <c r="I320" t="str">
        <f>VLOOKUP(D320,DATA_SISTEMA!$A$1:$Q$506,7,FALSE)</f>
        <v>1985-10-09</v>
      </c>
      <c r="J320" s="32" t="s">
        <v>1718</v>
      </c>
      <c r="K320" s="32" t="s">
        <v>1718</v>
      </c>
      <c r="L320" s="32" t="s">
        <v>1718</v>
      </c>
      <c r="M320">
        <v>325</v>
      </c>
      <c r="N320">
        <v>0</v>
      </c>
      <c r="O320" s="32" t="str">
        <f t="shared" si="4"/>
        <v>3190020261X</v>
      </c>
      <c r="P320" s="32" t="s">
        <v>1718</v>
      </c>
      <c r="Q320" s="32" t="s">
        <v>1718</v>
      </c>
      <c r="R320" s="32" t="s">
        <v>2110</v>
      </c>
      <c r="S320" s="32" t="s">
        <v>5035</v>
      </c>
      <c r="T320" t="str">
        <f>VLOOKUP(D320,DATA_SISTEMA!$A$1:$Q$506,9,FALSE)</f>
        <v>M</v>
      </c>
      <c r="U320" s="32" t="s">
        <v>2106</v>
      </c>
      <c r="V320" s="32" t="s">
        <v>1718</v>
      </c>
      <c r="W320" s="37" t="s">
        <v>5028</v>
      </c>
      <c r="X320" s="32" t="s">
        <v>4522</v>
      </c>
      <c r="Y320" s="32" t="s">
        <v>1718</v>
      </c>
      <c r="Z320" s="32" t="s">
        <v>1718</v>
      </c>
      <c r="AA320" s="32" t="s">
        <v>5028</v>
      </c>
      <c r="AB320" s="32" t="s">
        <v>1718</v>
      </c>
      <c r="AC320" s="32" t="s">
        <v>1718</v>
      </c>
      <c r="AD320" s="32" t="s">
        <v>1718</v>
      </c>
      <c r="AE320" s="32" t="s">
        <v>1718</v>
      </c>
      <c r="AF320" s="32" t="s">
        <v>1718</v>
      </c>
      <c r="AG320" s="32" t="s">
        <v>1718</v>
      </c>
      <c r="AH320" s="32" t="s">
        <v>2107</v>
      </c>
      <c r="AI320" s="18" t="s">
        <v>1605</v>
      </c>
      <c r="AJ320" s="18" t="s">
        <v>1008</v>
      </c>
      <c r="AK320" s="18" t="s">
        <v>1300</v>
      </c>
      <c r="AL320" s="18">
        <v>43300428</v>
      </c>
      <c r="AM320" t="s">
        <v>1718</v>
      </c>
      <c r="AN320" t="s">
        <v>1718</v>
      </c>
      <c r="AO320" t="s">
        <v>1718</v>
      </c>
      <c r="AP320" t="s">
        <v>1718</v>
      </c>
      <c r="AQ320" t="s">
        <v>1718</v>
      </c>
      <c r="AR320" t="s">
        <v>1718</v>
      </c>
      <c r="AS320" t="s">
        <v>1718</v>
      </c>
      <c r="AT320" t="s">
        <v>1718</v>
      </c>
      <c r="AU320" t="s">
        <v>1718</v>
      </c>
      <c r="AV320" t="str">
        <f>VLOOKUP(D320,DATA_SISTEMA!$A$1:$Q$506,12,FALSE)</f>
        <v>LOS OLIVOS</v>
      </c>
      <c r="AW320" t="str">
        <f>VLOOKUP(D320,DATA_SISTEMA!$A$1:$Q$506,11,FALSE)</f>
        <v>LIMA</v>
      </c>
      <c r="AX320" t="str">
        <f>VLOOKUP(D320,DATA_SISTEMA!$A$1:$Q$506,10,FALSE)</f>
        <v>LIMA</v>
      </c>
      <c r="AY320" t="s">
        <v>1718</v>
      </c>
      <c r="AZ320" t="s">
        <v>5028</v>
      </c>
      <c r="BA320" t="s">
        <v>1718</v>
      </c>
      <c r="BB320" t="s">
        <v>5028</v>
      </c>
      <c r="BC320" t="s">
        <v>1718</v>
      </c>
      <c r="BD320" t="s">
        <v>5028</v>
      </c>
      <c r="BE320" t="s">
        <v>1718</v>
      </c>
      <c r="BF320" s="34" t="s">
        <v>2104</v>
      </c>
      <c r="BG320" s="18">
        <v>58</v>
      </c>
    </row>
    <row r="321" spans="1:59" x14ac:dyDescent="0.25">
      <c r="A321" s="4">
        <v>320</v>
      </c>
      <c r="B321" s="33" t="s">
        <v>1719</v>
      </c>
      <c r="C321" s="18" t="s">
        <v>2039</v>
      </c>
      <c r="D321" s="49" t="s">
        <v>4841</v>
      </c>
      <c r="E321" s="18" t="s">
        <v>523</v>
      </c>
      <c r="F321" s="36" t="s">
        <v>1718</v>
      </c>
      <c r="G321" s="18">
        <v>927919376</v>
      </c>
      <c r="H321" t="str">
        <f>VLOOKUP(D321,DATA_SISTEMA!$A$1:$Q$506,13,FALSE)</f>
        <v>AVENIDA 9 DE OCTUBRE 1287 - PUEBLO JOVEN 9 DE OCTUBRE</v>
      </c>
      <c r="I321" t="str">
        <f>VLOOKUP(D321,DATA_SISTEMA!$A$1:$Q$506,7,FALSE)</f>
        <v>1993-05-09</v>
      </c>
      <c r="J321" s="32" t="s">
        <v>1718</v>
      </c>
      <c r="K321" s="32" t="s">
        <v>1718</v>
      </c>
      <c r="L321" s="32" t="s">
        <v>1718</v>
      </c>
      <c r="M321">
        <v>325</v>
      </c>
      <c r="N321">
        <v>0</v>
      </c>
      <c r="O321" s="32" t="str">
        <f t="shared" si="4"/>
        <v>3200020261X</v>
      </c>
      <c r="P321" s="32" t="s">
        <v>1718</v>
      </c>
      <c r="Q321" s="32" t="s">
        <v>1718</v>
      </c>
      <c r="R321" s="32" t="s">
        <v>2110</v>
      </c>
      <c r="S321" s="32" t="s">
        <v>5035</v>
      </c>
      <c r="T321" t="str">
        <f>VLOOKUP(D321,DATA_SISTEMA!$A$1:$Q$506,9,FALSE)</f>
        <v>F</v>
      </c>
      <c r="U321" s="32" t="s">
        <v>2106</v>
      </c>
      <c r="V321" s="32" t="s">
        <v>1718</v>
      </c>
      <c r="W321" s="37" t="s">
        <v>5028</v>
      </c>
      <c r="X321" s="32" t="s">
        <v>4522</v>
      </c>
      <c r="Y321" s="32" t="s">
        <v>1718</v>
      </c>
      <c r="Z321" s="32" t="s">
        <v>1718</v>
      </c>
      <c r="AA321" s="32" t="s">
        <v>5028</v>
      </c>
      <c r="AB321" s="32" t="s">
        <v>1718</v>
      </c>
      <c r="AC321" s="32" t="s">
        <v>1718</v>
      </c>
      <c r="AD321" s="32" t="s">
        <v>1718</v>
      </c>
      <c r="AE321" s="32" t="s">
        <v>1718</v>
      </c>
      <c r="AF321" s="32" t="s">
        <v>1718</v>
      </c>
      <c r="AG321" s="32" t="s">
        <v>1718</v>
      </c>
      <c r="AH321" s="32" t="s">
        <v>2107</v>
      </c>
      <c r="AI321" s="18" t="s">
        <v>1606</v>
      </c>
      <c r="AJ321" s="18" t="s">
        <v>1252</v>
      </c>
      <c r="AK321" s="18" t="s">
        <v>910</v>
      </c>
      <c r="AL321" s="18">
        <v>47960065</v>
      </c>
      <c r="AM321" t="s">
        <v>1718</v>
      </c>
      <c r="AN321" t="s">
        <v>1718</v>
      </c>
      <c r="AO321" t="s">
        <v>1718</v>
      </c>
      <c r="AP321" t="s">
        <v>1718</v>
      </c>
      <c r="AQ321" t="s">
        <v>1718</v>
      </c>
      <c r="AR321" t="s">
        <v>1718</v>
      </c>
      <c r="AS321" t="s">
        <v>1718</v>
      </c>
      <c r="AT321" t="s">
        <v>1718</v>
      </c>
      <c r="AU321" t="s">
        <v>1718</v>
      </c>
      <c r="AV321" t="str">
        <f>VLOOKUP(D321,DATA_SISTEMA!$A$1:$Q$506,12,FALSE)</f>
        <v>CHICLAYO</v>
      </c>
      <c r="AW321" t="str">
        <f>VLOOKUP(D321,DATA_SISTEMA!$A$1:$Q$506,11,FALSE)</f>
        <v>CHICLAYO</v>
      </c>
      <c r="AX321" t="str">
        <f>VLOOKUP(D321,DATA_SISTEMA!$A$1:$Q$506,10,FALSE)</f>
        <v>LAMBAYEQUE</v>
      </c>
      <c r="AY321" t="s">
        <v>1718</v>
      </c>
      <c r="AZ321" t="s">
        <v>5028</v>
      </c>
      <c r="BA321" t="s">
        <v>1718</v>
      </c>
      <c r="BB321" t="s">
        <v>5028</v>
      </c>
      <c r="BC321" t="s">
        <v>1718</v>
      </c>
      <c r="BD321" t="s">
        <v>5028</v>
      </c>
      <c r="BE321" t="s">
        <v>1718</v>
      </c>
      <c r="BF321" s="34" t="s">
        <v>2104</v>
      </c>
      <c r="BG321" s="18">
        <v>54.6</v>
      </c>
    </row>
    <row r="322" spans="1:59" x14ac:dyDescent="0.25">
      <c r="A322" s="4">
        <v>321</v>
      </c>
      <c r="B322" s="33" t="s">
        <v>1719</v>
      </c>
      <c r="C322" s="18" t="s">
        <v>2040</v>
      </c>
      <c r="D322" s="49" t="s">
        <v>4842</v>
      </c>
      <c r="E322" s="18" t="s">
        <v>525</v>
      </c>
      <c r="F322" s="36" t="s">
        <v>1718</v>
      </c>
      <c r="G322" s="18">
        <v>979695505</v>
      </c>
      <c r="H322" t="str">
        <f>VLOOKUP(D322,DATA_SISTEMA!$A$1:$Q$506,13,FALSE)</f>
        <v>PASAJE GARCILAZO DE LA VEGA 175 PJ MURO</v>
      </c>
      <c r="I322" t="str">
        <f>VLOOKUP(D322,DATA_SISTEMA!$A$1:$Q$506,7,FALSE)</f>
        <v>1980-12-08</v>
      </c>
      <c r="J322" s="32" t="s">
        <v>1718</v>
      </c>
      <c r="K322" s="32" t="s">
        <v>1718</v>
      </c>
      <c r="L322" s="32" t="s">
        <v>1718</v>
      </c>
      <c r="M322">
        <v>325</v>
      </c>
      <c r="N322">
        <v>0</v>
      </c>
      <c r="O322" s="32" t="str">
        <f t="shared" si="4"/>
        <v>3210020261X</v>
      </c>
      <c r="P322" s="32" t="s">
        <v>1718</v>
      </c>
      <c r="Q322" s="32" t="s">
        <v>1718</v>
      </c>
      <c r="R322" s="32" t="s">
        <v>2110</v>
      </c>
      <c r="S322" s="32" t="s">
        <v>5035</v>
      </c>
      <c r="T322" t="str">
        <f>VLOOKUP(D322,DATA_SISTEMA!$A$1:$Q$506,9,FALSE)</f>
        <v>F</v>
      </c>
      <c r="U322" s="32" t="s">
        <v>2106</v>
      </c>
      <c r="V322" s="32" t="s">
        <v>1718</v>
      </c>
      <c r="W322" s="37" t="s">
        <v>5028</v>
      </c>
      <c r="X322" s="32" t="s">
        <v>4522</v>
      </c>
      <c r="Y322" s="32" t="s">
        <v>1718</v>
      </c>
      <c r="Z322" s="32" t="s">
        <v>1718</v>
      </c>
      <c r="AA322" s="32" t="s">
        <v>5028</v>
      </c>
      <c r="AB322" s="32" t="s">
        <v>1718</v>
      </c>
      <c r="AC322" s="32" t="s">
        <v>1718</v>
      </c>
      <c r="AD322" s="32" t="s">
        <v>1718</v>
      </c>
      <c r="AE322" s="32" t="s">
        <v>1718</v>
      </c>
      <c r="AF322" s="32" t="s">
        <v>1718</v>
      </c>
      <c r="AG322" s="32" t="s">
        <v>1718</v>
      </c>
      <c r="AH322" s="32" t="s">
        <v>2107</v>
      </c>
      <c r="AI322" s="18" t="s">
        <v>1607</v>
      </c>
      <c r="AJ322" s="18" t="s">
        <v>1253</v>
      </c>
      <c r="AK322" s="18" t="s">
        <v>1254</v>
      </c>
      <c r="AL322" s="18">
        <v>40788603</v>
      </c>
      <c r="AM322" t="s">
        <v>1718</v>
      </c>
      <c r="AN322" t="s">
        <v>1718</v>
      </c>
      <c r="AO322" t="s">
        <v>1718</v>
      </c>
      <c r="AP322" t="s">
        <v>1718</v>
      </c>
      <c r="AQ322" t="s">
        <v>1718</v>
      </c>
      <c r="AR322" t="s">
        <v>1718</v>
      </c>
      <c r="AS322" t="s">
        <v>1718</v>
      </c>
      <c r="AT322" t="s">
        <v>1718</v>
      </c>
      <c r="AU322" t="s">
        <v>1718</v>
      </c>
      <c r="AV322" t="str">
        <f>VLOOKUP(D322,DATA_SISTEMA!$A$1:$Q$506,12,FALSE)</f>
        <v>CHICLAYO</v>
      </c>
      <c r="AW322" t="str">
        <f>VLOOKUP(D322,DATA_SISTEMA!$A$1:$Q$506,11,FALSE)</f>
        <v>CHICLAYO</v>
      </c>
      <c r="AX322" t="str">
        <f>VLOOKUP(D322,DATA_SISTEMA!$A$1:$Q$506,10,FALSE)</f>
        <v>LAMBAYEQUE</v>
      </c>
      <c r="AY322" t="s">
        <v>1718</v>
      </c>
      <c r="AZ322" t="s">
        <v>5028</v>
      </c>
      <c r="BA322" t="s">
        <v>1718</v>
      </c>
      <c r="BB322" t="s">
        <v>5028</v>
      </c>
      <c r="BC322" t="s">
        <v>1718</v>
      </c>
      <c r="BD322" t="s">
        <v>5028</v>
      </c>
      <c r="BE322" t="s">
        <v>1718</v>
      </c>
      <c r="BF322" s="34" t="s">
        <v>2104</v>
      </c>
      <c r="BG322" s="18">
        <v>54.2</v>
      </c>
    </row>
    <row r="323" spans="1:59" x14ac:dyDescent="0.25">
      <c r="A323" s="4">
        <v>322</v>
      </c>
      <c r="B323" s="33" t="s">
        <v>1719</v>
      </c>
      <c r="C323" s="18" t="s">
        <v>2041</v>
      </c>
      <c r="D323" s="49" t="s">
        <v>4843</v>
      </c>
      <c r="E323" s="18" t="s">
        <v>527</v>
      </c>
      <c r="F323" s="36" t="s">
        <v>1718</v>
      </c>
      <c r="G323" s="18">
        <v>932034684</v>
      </c>
      <c r="H323" t="str">
        <f>VLOOKUP(D323,DATA_SISTEMA!$A$1:$Q$506,13,FALSE)</f>
        <v>CALLE. DIEGO FERRE N° 175-JAYANCA</v>
      </c>
      <c r="I323" t="str">
        <f>VLOOKUP(D323,DATA_SISTEMA!$A$1:$Q$506,7,FALSE)</f>
        <v>1976-01-12</v>
      </c>
      <c r="J323" s="32" t="s">
        <v>1718</v>
      </c>
      <c r="K323" s="32" t="s">
        <v>1718</v>
      </c>
      <c r="L323" s="32" t="s">
        <v>1718</v>
      </c>
      <c r="M323">
        <v>325</v>
      </c>
      <c r="N323">
        <v>0</v>
      </c>
      <c r="O323" s="32" t="str">
        <f t="shared" ref="O323:O383" si="5">_xlfn.CONCAT(A323,"0020261X")</f>
        <v>3220020261X</v>
      </c>
      <c r="P323" s="32" t="s">
        <v>1718</v>
      </c>
      <c r="Q323" s="32" t="s">
        <v>1718</v>
      </c>
      <c r="R323" s="32" t="s">
        <v>2110</v>
      </c>
      <c r="S323" s="32" t="s">
        <v>5035</v>
      </c>
      <c r="T323" t="str">
        <f>VLOOKUP(D323,DATA_SISTEMA!$A$1:$Q$506,9,FALSE)</f>
        <v>M</v>
      </c>
      <c r="U323" s="32" t="s">
        <v>2106</v>
      </c>
      <c r="V323" s="32" t="s">
        <v>1718</v>
      </c>
      <c r="W323" s="37" t="s">
        <v>5028</v>
      </c>
      <c r="X323" s="32" t="s">
        <v>4522</v>
      </c>
      <c r="Y323" s="32" t="s">
        <v>1718</v>
      </c>
      <c r="Z323" s="32" t="s">
        <v>1718</v>
      </c>
      <c r="AA323" s="32" t="s">
        <v>5028</v>
      </c>
      <c r="AB323" s="32" t="s">
        <v>1718</v>
      </c>
      <c r="AC323" s="32" t="s">
        <v>1718</v>
      </c>
      <c r="AD323" s="32" t="s">
        <v>1718</v>
      </c>
      <c r="AE323" s="32" t="s">
        <v>1718</v>
      </c>
      <c r="AF323" s="32" t="s">
        <v>1718</v>
      </c>
      <c r="AG323" s="32" t="s">
        <v>1718</v>
      </c>
      <c r="AH323" s="32" t="s">
        <v>2107</v>
      </c>
      <c r="AI323" s="18" t="s">
        <v>1608</v>
      </c>
      <c r="AJ323" s="18" t="s">
        <v>901</v>
      </c>
      <c r="AK323" s="18" t="s">
        <v>956</v>
      </c>
      <c r="AL323" s="18">
        <v>33592009</v>
      </c>
      <c r="AM323" t="s">
        <v>1718</v>
      </c>
      <c r="AN323" t="s">
        <v>1718</v>
      </c>
      <c r="AO323" t="s">
        <v>1718</v>
      </c>
      <c r="AP323" t="s">
        <v>1718</v>
      </c>
      <c r="AQ323" t="s">
        <v>1718</v>
      </c>
      <c r="AR323" t="s">
        <v>1718</v>
      </c>
      <c r="AS323" t="s">
        <v>1718</v>
      </c>
      <c r="AT323" t="s">
        <v>1718</v>
      </c>
      <c r="AU323" t="s">
        <v>1718</v>
      </c>
      <c r="AV323" t="str">
        <f>VLOOKUP(D323,DATA_SISTEMA!$A$1:$Q$506,12,FALSE)</f>
        <v>BAGUA</v>
      </c>
      <c r="AW323" t="str">
        <f>VLOOKUP(D323,DATA_SISTEMA!$A$1:$Q$506,11,FALSE)</f>
        <v>BAGUA</v>
      </c>
      <c r="AX323" t="str">
        <f>VLOOKUP(D323,DATA_SISTEMA!$A$1:$Q$506,10,FALSE)</f>
        <v>AMAZONAS</v>
      </c>
      <c r="AY323" t="s">
        <v>1718</v>
      </c>
      <c r="AZ323" t="s">
        <v>5028</v>
      </c>
      <c r="BA323" t="s">
        <v>1718</v>
      </c>
      <c r="BB323" t="s">
        <v>5028</v>
      </c>
      <c r="BC323" t="s">
        <v>1718</v>
      </c>
      <c r="BD323" t="s">
        <v>5028</v>
      </c>
      <c r="BE323" t="s">
        <v>1718</v>
      </c>
      <c r="BF323" s="34" t="s">
        <v>2104</v>
      </c>
      <c r="BG323" s="18">
        <v>52</v>
      </c>
    </row>
    <row r="324" spans="1:59" x14ac:dyDescent="0.25">
      <c r="A324" s="4">
        <v>323</v>
      </c>
      <c r="B324" s="33" t="s">
        <v>1719</v>
      </c>
      <c r="C324" s="3" t="s">
        <v>2042</v>
      </c>
      <c r="D324" s="50" t="s">
        <v>4844</v>
      </c>
      <c r="E324" s="3" t="s">
        <v>89</v>
      </c>
      <c r="F324" s="36" t="s">
        <v>1718</v>
      </c>
      <c r="G324" s="3">
        <v>954689163</v>
      </c>
      <c r="H324" t="str">
        <f>VLOOKUP(D324,DATA_SISTEMA!$A$1:$Q$506,13,FALSE)</f>
        <v>CALLE TUPAC AMARU 108 POSOPE ALTO PATAPO</v>
      </c>
      <c r="I324" t="str">
        <f>VLOOKUP(D324,DATA_SISTEMA!$A$1:$Q$506,7,FALSE)</f>
        <v>1975-08-31</v>
      </c>
      <c r="J324" s="32" t="s">
        <v>1718</v>
      </c>
      <c r="K324" s="32" t="s">
        <v>1718</v>
      </c>
      <c r="L324" s="32" t="s">
        <v>1718</v>
      </c>
      <c r="M324">
        <v>328</v>
      </c>
      <c r="N324">
        <v>0</v>
      </c>
      <c r="O324" s="32" t="str">
        <f t="shared" si="5"/>
        <v>3230020261X</v>
      </c>
      <c r="P324" s="32" t="s">
        <v>1718</v>
      </c>
      <c r="Q324" s="32" t="s">
        <v>1718</v>
      </c>
      <c r="R324" s="32" t="s">
        <v>2110</v>
      </c>
      <c r="S324" s="32" t="s">
        <v>5034</v>
      </c>
      <c r="T324" t="str">
        <f>VLOOKUP(D324,DATA_SISTEMA!$A$1:$Q$506,9,FALSE)</f>
        <v>M</v>
      </c>
      <c r="U324" s="32" t="s">
        <v>2106</v>
      </c>
      <c r="V324" s="32" t="s">
        <v>1718</v>
      </c>
      <c r="W324" s="37" t="s">
        <v>5028</v>
      </c>
      <c r="X324" s="32" t="s">
        <v>4522</v>
      </c>
      <c r="Y324" s="32" t="s">
        <v>1718</v>
      </c>
      <c r="Z324" s="32" t="s">
        <v>1718</v>
      </c>
      <c r="AA324" s="32" t="s">
        <v>5028</v>
      </c>
      <c r="AB324" s="32" t="s">
        <v>1718</v>
      </c>
      <c r="AC324" s="32" t="s">
        <v>1718</v>
      </c>
      <c r="AD324" s="32" t="s">
        <v>1718</v>
      </c>
      <c r="AE324" s="32" t="s">
        <v>1718</v>
      </c>
      <c r="AF324" s="32" t="s">
        <v>1718</v>
      </c>
      <c r="AG324" s="32" t="s">
        <v>1718</v>
      </c>
      <c r="AH324" s="32" t="s">
        <v>2107</v>
      </c>
      <c r="AI324" s="3" t="s">
        <v>1609</v>
      </c>
      <c r="AJ324" s="3" t="s">
        <v>876</v>
      </c>
      <c r="AK324" s="3" t="s">
        <v>975</v>
      </c>
      <c r="AL324" s="3">
        <v>16734916</v>
      </c>
      <c r="AM324" t="s">
        <v>1718</v>
      </c>
      <c r="AN324" t="s">
        <v>1718</v>
      </c>
      <c r="AO324" t="s">
        <v>1718</v>
      </c>
      <c r="AP324" t="s">
        <v>1718</v>
      </c>
      <c r="AQ324" t="s">
        <v>1718</v>
      </c>
      <c r="AR324" t="s">
        <v>1718</v>
      </c>
      <c r="AS324" t="s">
        <v>1718</v>
      </c>
      <c r="AT324" t="s">
        <v>1718</v>
      </c>
      <c r="AU324" t="s">
        <v>1718</v>
      </c>
      <c r="AV324" t="str">
        <f>VLOOKUP(D324,DATA_SISTEMA!$A$1:$Q$506,12,FALSE)</f>
        <v>CHOTA</v>
      </c>
      <c r="AW324" t="str">
        <f>VLOOKUP(D324,DATA_SISTEMA!$A$1:$Q$506,11,FALSE)</f>
        <v xml:space="preserve">CHOTA </v>
      </c>
      <c r="AX324" t="str">
        <f>VLOOKUP(D324,DATA_SISTEMA!$A$1:$Q$506,10,FALSE)</f>
        <v>CAJAMARCA</v>
      </c>
      <c r="AY324" t="s">
        <v>1718</v>
      </c>
      <c r="AZ324" t="s">
        <v>5028</v>
      </c>
      <c r="BA324" t="s">
        <v>1718</v>
      </c>
      <c r="BB324" t="s">
        <v>5028</v>
      </c>
      <c r="BC324" t="s">
        <v>1718</v>
      </c>
      <c r="BD324" t="s">
        <v>5028</v>
      </c>
      <c r="BE324" t="s">
        <v>1718</v>
      </c>
      <c r="BF324" s="34" t="s">
        <v>2104</v>
      </c>
      <c r="BG324" s="3">
        <v>75.8</v>
      </c>
    </row>
    <row r="325" spans="1:59" x14ac:dyDescent="0.25">
      <c r="A325" s="4">
        <v>324</v>
      </c>
      <c r="B325" s="33" t="s">
        <v>1719</v>
      </c>
      <c r="C325" s="3" t="s">
        <v>2043</v>
      </c>
      <c r="D325" s="50" t="s">
        <v>4845</v>
      </c>
      <c r="E325" s="3" t="s">
        <v>93</v>
      </c>
      <c r="F325" s="36" t="s">
        <v>1718</v>
      </c>
      <c r="G325" s="3">
        <v>934709713</v>
      </c>
      <c r="H325" t="str">
        <f>VLOOKUP(D325,DATA_SISTEMA!$A$1:$Q$506,13,FALSE)</f>
        <v>INCANATO 1250 - J.L.O - URRUNAGA</v>
      </c>
      <c r="I325" t="str">
        <f>VLOOKUP(D325,DATA_SISTEMA!$A$1:$Q$506,7,FALSE)</f>
        <v>1998-08-29</v>
      </c>
      <c r="J325" s="32" t="s">
        <v>1718</v>
      </c>
      <c r="K325" s="32" t="s">
        <v>1718</v>
      </c>
      <c r="L325" s="32" t="s">
        <v>1718</v>
      </c>
      <c r="M325">
        <v>328</v>
      </c>
      <c r="N325">
        <v>0</v>
      </c>
      <c r="O325" s="32" t="str">
        <f t="shared" si="5"/>
        <v>3240020261X</v>
      </c>
      <c r="P325" s="32" t="s">
        <v>1718</v>
      </c>
      <c r="Q325" s="32" t="s">
        <v>1718</v>
      </c>
      <c r="R325" s="32" t="s">
        <v>2110</v>
      </c>
      <c r="S325" s="32" t="s">
        <v>5034</v>
      </c>
      <c r="T325" t="str">
        <f>VLOOKUP(D325,DATA_SISTEMA!$A$1:$Q$506,9,FALSE)</f>
        <v>M</v>
      </c>
      <c r="U325" s="32" t="s">
        <v>2106</v>
      </c>
      <c r="V325" s="32" t="s">
        <v>1718</v>
      </c>
      <c r="W325" s="37" t="s">
        <v>5028</v>
      </c>
      <c r="X325" s="32" t="s">
        <v>4522</v>
      </c>
      <c r="Y325" s="32" t="s">
        <v>1718</v>
      </c>
      <c r="Z325" s="32" t="s">
        <v>1718</v>
      </c>
      <c r="AA325" s="32" t="s">
        <v>5028</v>
      </c>
      <c r="AB325" s="32" t="s">
        <v>1718</v>
      </c>
      <c r="AC325" s="32" t="s">
        <v>1718</v>
      </c>
      <c r="AD325" s="32" t="s">
        <v>1718</v>
      </c>
      <c r="AE325" s="32" t="s">
        <v>1718</v>
      </c>
      <c r="AF325" s="32" t="s">
        <v>1718</v>
      </c>
      <c r="AG325" s="32" t="s">
        <v>1718</v>
      </c>
      <c r="AH325" s="32" t="s">
        <v>2107</v>
      </c>
      <c r="AI325" s="3" t="s">
        <v>1610</v>
      </c>
      <c r="AJ325" s="3" t="s">
        <v>860</v>
      </c>
      <c r="AK325" s="3" t="s">
        <v>1255</v>
      </c>
      <c r="AL325" s="3">
        <v>72086966</v>
      </c>
      <c r="AM325" t="s">
        <v>1718</v>
      </c>
      <c r="AN325" t="s">
        <v>1718</v>
      </c>
      <c r="AO325" t="s">
        <v>1718</v>
      </c>
      <c r="AP325" t="s">
        <v>1718</v>
      </c>
      <c r="AQ325" t="s">
        <v>1718</v>
      </c>
      <c r="AR325" t="s">
        <v>1718</v>
      </c>
      <c r="AS325" t="s">
        <v>1718</v>
      </c>
      <c r="AT325" t="s">
        <v>1718</v>
      </c>
      <c r="AU325" t="s">
        <v>1718</v>
      </c>
      <c r="AV325" t="str">
        <f>VLOOKUP(D325,DATA_SISTEMA!$A$1:$Q$506,12,FALSE)</f>
        <v>JOSE LEONARDO ORTIZ</v>
      </c>
      <c r="AW325" t="str">
        <f>VLOOKUP(D325,DATA_SISTEMA!$A$1:$Q$506,11,FALSE)</f>
        <v>CHICLAYO</v>
      </c>
      <c r="AX325" t="str">
        <f>VLOOKUP(D325,DATA_SISTEMA!$A$1:$Q$506,10,FALSE)</f>
        <v>LAMBAYEQUE</v>
      </c>
      <c r="AY325" t="s">
        <v>1718</v>
      </c>
      <c r="AZ325" t="s">
        <v>5028</v>
      </c>
      <c r="BA325" t="s">
        <v>1718</v>
      </c>
      <c r="BB325" t="s">
        <v>5028</v>
      </c>
      <c r="BC325" t="s">
        <v>1718</v>
      </c>
      <c r="BD325" t="s">
        <v>5028</v>
      </c>
      <c r="BE325" t="s">
        <v>1718</v>
      </c>
      <c r="BF325" s="34" t="s">
        <v>2104</v>
      </c>
      <c r="BG325" s="3">
        <v>74.5</v>
      </c>
    </row>
    <row r="326" spans="1:59" x14ac:dyDescent="0.25">
      <c r="A326" s="4">
        <v>325</v>
      </c>
      <c r="B326" s="33" t="s">
        <v>1719</v>
      </c>
      <c r="C326" s="3" t="s">
        <v>2044</v>
      </c>
      <c r="D326" s="50" t="s">
        <v>4846</v>
      </c>
      <c r="E326" s="3" t="s">
        <v>95</v>
      </c>
      <c r="F326" s="36" t="s">
        <v>1718</v>
      </c>
      <c r="G326" s="3">
        <v>921733886</v>
      </c>
      <c r="H326" t="str">
        <f>VLOOKUP(D326,DATA_SISTEMA!$A$1:$Q$506,13,FALSE)</f>
        <v>AV. UNION 456 BLOQUE Q DPTO 301</v>
      </c>
      <c r="I326" t="str">
        <f>VLOOKUP(D326,DATA_SISTEMA!$A$1:$Q$506,7,FALSE)</f>
        <v>1974-02-11</v>
      </c>
      <c r="J326" s="32" t="s">
        <v>1718</v>
      </c>
      <c r="K326" s="32" t="s">
        <v>1718</v>
      </c>
      <c r="L326" s="32" t="s">
        <v>1718</v>
      </c>
      <c r="M326">
        <v>328</v>
      </c>
      <c r="N326">
        <v>0</v>
      </c>
      <c r="O326" s="32" t="str">
        <f t="shared" si="5"/>
        <v>3250020261X</v>
      </c>
      <c r="P326" s="32" t="s">
        <v>1718</v>
      </c>
      <c r="Q326" s="32" t="s">
        <v>1718</v>
      </c>
      <c r="R326" s="32" t="s">
        <v>2110</v>
      </c>
      <c r="S326" s="32" t="s">
        <v>5034</v>
      </c>
      <c r="T326" t="str">
        <f>VLOOKUP(D326,DATA_SISTEMA!$A$1:$Q$506,9,FALSE)</f>
        <v>M</v>
      </c>
      <c r="U326" s="32" t="s">
        <v>2106</v>
      </c>
      <c r="V326" s="32" t="s">
        <v>1718</v>
      </c>
      <c r="W326" s="37" t="s">
        <v>5028</v>
      </c>
      <c r="X326" s="32" t="s">
        <v>4522</v>
      </c>
      <c r="Y326" s="32" t="s">
        <v>1718</v>
      </c>
      <c r="Z326" s="32" t="s">
        <v>1718</v>
      </c>
      <c r="AA326" s="32" t="s">
        <v>5028</v>
      </c>
      <c r="AB326" s="32" t="s">
        <v>1718</v>
      </c>
      <c r="AC326" s="32" t="s">
        <v>1718</v>
      </c>
      <c r="AD326" s="32" t="s">
        <v>1718</v>
      </c>
      <c r="AE326" s="32" t="s">
        <v>1718</v>
      </c>
      <c r="AF326" s="32" t="s">
        <v>1718</v>
      </c>
      <c r="AG326" s="32" t="s">
        <v>1718</v>
      </c>
      <c r="AH326" s="32" t="s">
        <v>2107</v>
      </c>
      <c r="AI326" s="3" t="s">
        <v>1611</v>
      </c>
      <c r="AJ326" s="3" t="s">
        <v>1012</v>
      </c>
      <c r="AK326" s="3" t="s">
        <v>1256</v>
      </c>
      <c r="AL326" s="3">
        <v>23008546</v>
      </c>
      <c r="AM326" t="s">
        <v>1718</v>
      </c>
      <c r="AN326" t="s">
        <v>1718</v>
      </c>
      <c r="AO326" t="s">
        <v>1718</v>
      </c>
      <c r="AP326" t="s">
        <v>1718</v>
      </c>
      <c r="AQ326" t="s">
        <v>1718</v>
      </c>
      <c r="AR326" t="s">
        <v>1718</v>
      </c>
      <c r="AS326" t="s">
        <v>1718</v>
      </c>
      <c r="AT326" t="s">
        <v>1718</v>
      </c>
      <c r="AU326" t="s">
        <v>1718</v>
      </c>
      <c r="AV326" t="str">
        <f>VLOOKUP(D326,DATA_SISTEMA!$A$1:$Q$506,12,FALSE)</f>
        <v>LA VICTORIA</v>
      </c>
      <c r="AW326" t="str">
        <f>VLOOKUP(D326,DATA_SISTEMA!$A$1:$Q$506,11,FALSE)</f>
        <v>CHICLAYO</v>
      </c>
      <c r="AX326" t="str">
        <f>VLOOKUP(D326,DATA_SISTEMA!$A$1:$Q$506,10,FALSE)</f>
        <v>LAMBAYEQUE</v>
      </c>
      <c r="AY326" t="s">
        <v>1718</v>
      </c>
      <c r="AZ326" t="s">
        <v>5028</v>
      </c>
      <c r="BA326" t="s">
        <v>1718</v>
      </c>
      <c r="BB326" t="s">
        <v>5028</v>
      </c>
      <c r="BC326" t="s">
        <v>1718</v>
      </c>
      <c r="BD326" t="s">
        <v>5028</v>
      </c>
      <c r="BE326" t="s">
        <v>1718</v>
      </c>
      <c r="BF326" s="34" t="s">
        <v>2104</v>
      </c>
      <c r="BG326" s="3">
        <v>74.2</v>
      </c>
    </row>
    <row r="327" spans="1:59" x14ac:dyDescent="0.25">
      <c r="A327" s="4">
        <v>326</v>
      </c>
      <c r="B327" s="33" t="s">
        <v>1719</v>
      </c>
      <c r="C327" s="3" t="s">
        <v>2045</v>
      </c>
      <c r="D327" s="50" t="s">
        <v>4847</v>
      </c>
      <c r="E327" s="3" t="s">
        <v>97</v>
      </c>
      <c r="F327" s="36" t="s">
        <v>1718</v>
      </c>
      <c r="G327" s="3">
        <v>914855171</v>
      </c>
      <c r="H327" t="str">
        <f>VLOOKUP(D327,DATA_SISTEMA!$A$1:$Q$506,13,FALSE)</f>
        <v>CALLE SANTA ROSA 131, PJ SANTA ROSA</v>
      </c>
      <c r="I327" t="str">
        <f>VLOOKUP(D327,DATA_SISTEMA!$A$1:$Q$506,7,FALSE)</f>
        <v>1988-03-24</v>
      </c>
      <c r="J327" s="32" t="s">
        <v>1718</v>
      </c>
      <c r="K327" s="32" t="s">
        <v>1718</v>
      </c>
      <c r="L327" s="32" t="s">
        <v>1718</v>
      </c>
      <c r="M327">
        <v>328</v>
      </c>
      <c r="N327">
        <v>0</v>
      </c>
      <c r="O327" s="32" t="str">
        <f t="shared" si="5"/>
        <v>3260020261X</v>
      </c>
      <c r="P327" s="32" t="s">
        <v>1718</v>
      </c>
      <c r="Q327" s="32" t="s">
        <v>1718</v>
      </c>
      <c r="R327" s="32" t="s">
        <v>2110</v>
      </c>
      <c r="S327" s="32" t="s">
        <v>5034</v>
      </c>
      <c r="T327" t="str">
        <f>VLOOKUP(D327,DATA_SISTEMA!$A$1:$Q$506,9,FALSE)</f>
        <v>F</v>
      </c>
      <c r="U327" s="32" t="s">
        <v>2106</v>
      </c>
      <c r="V327" s="32" t="s">
        <v>1718</v>
      </c>
      <c r="W327" s="37" t="s">
        <v>5028</v>
      </c>
      <c r="X327" s="32" t="s">
        <v>4522</v>
      </c>
      <c r="Y327" s="32" t="s">
        <v>1718</v>
      </c>
      <c r="Z327" s="32" t="s">
        <v>1718</v>
      </c>
      <c r="AA327" s="32" t="s">
        <v>5028</v>
      </c>
      <c r="AB327" s="32" t="s">
        <v>1718</v>
      </c>
      <c r="AC327" s="32" t="s">
        <v>1718</v>
      </c>
      <c r="AD327" s="32" t="s">
        <v>1718</v>
      </c>
      <c r="AE327" s="32" t="s">
        <v>1718</v>
      </c>
      <c r="AF327" s="32" t="s">
        <v>1718</v>
      </c>
      <c r="AG327" s="32" t="s">
        <v>1718</v>
      </c>
      <c r="AH327" s="32" t="s">
        <v>2107</v>
      </c>
      <c r="AI327" s="3" t="s">
        <v>1612</v>
      </c>
      <c r="AJ327" s="3" t="s">
        <v>1257</v>
      </c>
      <c r="AK327" s="3" t="s">
        <v>1258</v>
      </c>
      <c r="AL327" s="3">
        <v>46041762</v>
      </c>
      <c r="AM327" t="s">
        <v>1718</v>
      </c>
      <c r="AN327" t="s">
        <v>1718</v>
      </c>
      <c r="AO327" t="s">
        <v>1718</v>
      </c>
      <c r="AP327" t="s">
        <v>1718</v>
      </c>
      <c r="AQ327" t="s">
        <v>1718</v>
      </c>
      <c r="AR327" t="s">
        <v>1718</v>
      </c>
      <c r="AS327" t="s">
        <v>1718</v>
      </c>
      <c r="AT327" t="s">
        <v>1718</v>
      </c>
      <c r="AU327" t="s">
        <v>1718</v>
      </c>
      <c r="AV327" t="str">
        <f>VLOOKUP(D327,DATA_SISTEMA!$A$1:$Q$506,12,FALSE)</f>
        <v>CHICLAYO</v>
      </c>
      <c r="AW327" t="str">
        <f>VLOOKUP(D327,DATA_SISTEMA!$A$1:$Q$506,11,FALSE)</f>
        <v>CHICLAYO</v>
      </c>
      <c r="AX327" t="str">
        <f>VLOOKUP(D327,DATA_SISTEMA!$A$1:$Q$506,10,FALSE)</f>
        <v>LAMBAYEQUE</v>
      </c>
      <c r="AY327" t="s">
        <v>1718</v>
      </c>
      <c r="AZ327" t="s">
        <v>5028</v>
      </c>
      <c r="BA327" t="s">
        <v>1718</v>
      </c>
      <c r="BB327" t="s">
        <v>5028</v>
      </c>
      <c r="BC327" t="s">
        <v>1718</v>
      </c>
      <c r="BD327" t="s">
        <v>5028</v>
      </c>
      <c r="BE327" t="s">
        <v>1718</v>
      </c>
      <c r="BF327" s="34" t="s">
        <v>2104</v>
      </c>
      <c r="BG327" s="3">
        <v>74</v>
      </c>
    </row>
    <row r="328" spans="1:59" x14ac:dyDescent="0.25">
      <c r="A328" s="4">
        <v>327</v>
      </c>
      <c r="B328" s="33" t="s">
        <v>1719</v>
      </c>
      <c r="C328" s="3" t="s">
        <v>2046</v>
      </c>
      <c r="D328" s="50" t="s">
        <v>4848</v>
      </c>
      <c r="E328" s="3" t="s">
        <v>99</v>
      </c>
      <c r="F328" s="36" t="s">
        <v>1718</v>
      </c>
      <c r="G328" s="3">
        <v>945773098</v>
      </c>
      <c r="H328" t="str">
        <f>VLOOKUP(D328,DATA_SISTEMA!$A$1:$Q$506,13,FALSE)</f>
        <v>CALLE PEDRO RUIZ 1396</v>
      </c>
      <c r="I328" t="str">
        <f>VLOOKUP(D328,DATA_SISTEMA!$A$1:$Q$506,7,FALSE)</f>
        <v>1967-04-14</v>
      </c>
      <c r="J328" s="32" t="s">
        <v>1718</v>
      </c>
      <c r="K328" s="32" t="s">
        <v>1718</v>
      </c>
      <c r="L328" s="32" t="s">
        <v>1718</v>
      </c>
      <c r="M328">
        <v>328</v>
      </c>
      <c r="N328">
        <v>0</v>
      </c>
      <c r="O328" s="32" t="str">
        <f t="shared" si="5"/>
        <v>3270020261X</v>
      </c>
      <c r="P328" s="32" t="s">
        <v>1718</v>
      </c>
      <c r="Q328" s="32" t="s">
        <v>1718</v>
      </c>
      <c r="R328" s="32" t="s">
        <v>2110</v>
      </c>
      <c r="S328" s="32" t="s">
        <v>5034</v>
      </c>
      <c r="T328" t="str">
        <f>VLOOKUP(D328,DATA_SISTEMA!$A$1:$Q$506,9,FALSE)</f>
        <v>M</v>
      </c>
      <c r="U328" s="32" t="s">
        <v>2106</v>
      </c>
      <c r="V328" s="32" t="s">
        <v>1718</v>
      </c>
      <c r="W328" s="37" t="s">
        <v>5028</v>
      </c>
      <c r="X328" s="32" t="s">
        <v>4522</v>
      </c>
      <c r="Y328" s="32" t="s">
        <v>1718</v>
      </c>
      <c r="Z328" s="32" t="s">
        <v>1718</v>
      </c>
      <c r="AA328" s="32" t="s">
        <v>5028</v>
      </c>
      <c r="AB328" s="32" t="s">
        <v>1718</v>
      </c>
      <c r="AC328" s="32" t="s">
        <v>1718</v>
      </c>
      <c r="AD328" s="32" t="s">
        <v>1718</v>
      </c>
      <c r="AE328" s="32" t="s">
        <v>1718</v>
      </c>
      <c r="AF328" s="32" t="s">
        <v>1718</v>
      </c>
      <c r="AG328" s="32" t="s">
        <v>1718</v>
      </c>
      <c r="AH328" s="32" t="s">
        <v>2107</v>
      </c>
      <c r="AI328" s="3" t="s">
        <v>1613</v>
      </c>
      <c r="AJ328" s="3" t="s">
        <v>1259</v>
      </c>
      <c r="AK328" s="3" t="s">
        <v>888</v>
      </c>
      <c r="AL328" s="3">
        <v>17540369</v>
      </c>
      <c r="AM328" t="s">
        <v>1718</v>
      </c>
      <c r="AN328" t="s">
        <v>1718</v>
      </c>
      <c r="AO328" t="s">
        <v>1718</v>
      </c>
      <c r="AP328" t="s">
        <v>1718</v>
      </c>
      <c r="AQ328" t="s">
        <v>1718</v>
      </c>
      <c r="AR328" t="s">
        <v>1718</v>
      </c>
      <c r="AS328" t="s">
        <v>1718</v>
      </c>
      <c r="AT328" t="s">
        <v>1718</v>
      </c>
      <c r="AU328" t="s">
        <v>1718</v>
      </c>
      <c r="AV328" t="str">
        <f>VLOOKUP(D328,DATA_SISTEMA!$A$1:$Q$506,12,FALSE)</f>
        <v>LAMBAYEQUE</v>
      </c>
      <c r="AW328" t="str">
        <f>VLOOKUP(D328,DATA_SISTEMA!$A$1:$Q$506,11,FALSE)</f>
        <v>LAMBAYEQUE</v>
      </c>
      <c r="AX328" t="str">
        <f>VLOOKUP(D328,DATA_SISTEMA!$A$1:$Q$506,10,FALSE)</f>
        <v>LAMBAYEQUE</v>
      </c>
      <c r="AY328" t="s">
        <v>1718</v>
      </c>
      <c r="AZ328" t="s">
        <v>5028</v>
      </c>
      <c r="BA328" t="s">
        <v>1718</v>
      </c>
      <c r="BB328" t="s">
        <v>5028</v>
      </c>
      <c r="BC328" t="s">
        <v>1718</v>
      </c>
      <c r="BD328" t="s">
        <v>5028</v>
      </c>
      <c r="BE328" t="s">
        <v>1718</v>
      </c>
      <c r="BF328" s="34" t="s">
        <v>2104</v>
      </c>
      <c r="BG328" s="3">
        <v>71.7</v>
      </c>
    </row>
    <row r="329" spans="1:59" x14ac:dyDescent="0.25">
      <c r="A329" s="4">
        <v>328</v>
      </c>
      <c r="B329" s="33" t="s">
        <v>1719</v>
      </c>
      <c r="C329" s="3" t="s">
        <v>2047</v>
      </c>
      <c r="D329" s="50" t="s">
        <v>4849</v>
      </c>
      <c r="E329" s="3" t="s">
        <v>101</v>
      </c>
      <c r="F329" s="36" t="s">
        <v>1718</v>
      </c>
      <c r="G329" s="3">
        <v>949782004</v>
      </c>
      <c r="H329" t="str">
        <f>VLOOKUP(D329,DATA_SISTEMA!$A$1:$Q$506,13,FALSE)</f>
        <v>MANUEL SEOANE N°596 PUEBLO JOVEN SANTA ROSA - LAMBAYEQUE</v>
      </c>
      <c r="I329" t="str">
        <f>VLOOKUP(D329,DATA_SISTEMA!$A$1:$Q$506,7,FALSE)</f>
        <v>1955-11-14</v>
      </c>
      <c r="J329" s="32" t="s">
        <v>1718</v>
      </c>
      <c r="K329" s="32" t="s">
        <v>1718</v>
      </c>
      <c r="L329" s="32" t="s">
        <v>1718</v>
      </c>
      <c r="M329">
        <v>328</v>
      </c>
      <c r="N329">
        <v>0</v>
      </c>
      <c r="O329" s="32" t="str">
        <f t="shared" si="5"/>
        <v>3280020261X</v>
      </c>
      <c r="P329" s="32" t="s">
        <v>1718</v>
      </c>
      <c r="Q329" s="32" t="s">
        <v>1718</v>
      </c>
      <c r="R329" s="32" t="s">
        <v>2110</v>
      </c>
      <c r="S329" s="32" t="s">
        <v>5034</v>
      </c>
      <c r="T329" t="str">
        <f>VLOOKUP(D329,DATA_SISTEMA!$A$1:$Q$506,9,FALSE)</f>
        <v>M</v>
      </c>
      <c r="U329" s="32" t="s">
        <v>2106</v>
      </c>
      <c r="V329" s="32" t="s">
        <v>1718</v>
      </c>
      <c r="W329" s="37" t="s">
        <v>5028</v>
      </c>
      <c r="X329" s="32" t="s">
        <v>4522</v>
      </c>
      <c r="Y329" s="32" t="s">
        <v>1718</v>
      </c>
      <c r="Z329" s="32" t="s">
        <v>1718</v>
      </c>
      <c r="AA329" s="32" t="s">
        <v>5028</v>
      </c>
      <c r="AB329" s="32" t="s">
        <v>1718</v>
      </c>
      <c r="AC329" s="32" t="s">
        <v>1718</v>
      </c>
      <c r="AD329" s="32" t="s">
        <v>1718</v>
      </c>
      <c r="AE329" s="32" t="s">
        <v>1718</v>
      </c>
      <c r="AF329" s="32" t="s">
        <v>1718</v>
      </c>
      <c r="AG329" s="32" t="s">
        <v>1718</v>
      </c>
      <c r="AH329" s="32" t="s">
        <v>2107</v>
      </c>
      <c r="AI329" s="3" t="s">
        <v>1614</v>
      </c>
      <c r="AJ329" s="3" t="s">
        <v>933</v>
      </c>
      <c r="AK329" s="3" t="s">
        <v>896</v>
      </c>
      <c r="AL329" s="3">
        <v>19196040</v>
      </c>
      <c r="AM329" t="s">
        <v>1718</v>
      </c>
      <c r="AN329" t="s">
        <v>1718</v>
      </c>
      <c r="AO329" t="s">
        <v>1718</v>
      </c>
      <c r="AP329" t="s">
        <v>1718</v>
      </c>
      <c r="AQ329" t="s">
        <v>1718</v>
      </c>
      <c r="AR329" t="s">
        <v>1718</v>
      </c>
      <c r="AS329" t="s">
        <v>1718</v>
      </c>
      <c r="AT329" t="s">
        <v>1718</v>
      </c>
      <c r="AU329" t="s">
        <v>1718</v>
      </c>
      <c r="AV329" t="str">
        <f>VLOOKUP(D329,DATA_SISTEMA!$A$1:$Q$506,12,FALSE)</f>
        <v>CHEPEN</v>
      </c>
      <c r="AW329" t="str">
        <f>VLOOKUP(D329,DATA_SISTEMA!$A$1:$Q$506,11,FALSE)</f>
        <v>CHEPEN</v>
      </c>
      <c r="AX329" t="str">
        <f>VLOOKUP(D329,DATA_SISTEMA!$A$1:$Q$506,10,FALSE)</f>
        <v>LA LIBERTAD</v>
      </c>
      <c r="AY329" t="s">
        <v>1718</v>
      </c>
      <c r="AZ329" t="s">
        <v>5028</v>
      </c>
      <c r="BA329" t="s">
        <v>1718</v>
      </c>
      <c r="BB329" t="s">
        <v>5028</v>
      </c>
      <c r="BC329" t="s">
        <v>1718</v>
      </c>
      <c r="BD329" t="s">
        <v>5028</v>
      </c>
      <c r="BE329" t="s">
        <v>1718</v>
      </c>
      <c r="BF329" s="34" t="s">
        <v>2104</v>
      </c>
      <c r="BG329" s="3">
        <v>71.2</v>
      </c>
    </row>
    <row r="330" spans="1:59" x14ac:dyDescent="0.25">
      <c r="A330" s="4">
        <v>329</v>
      </c>
      <c r="B330" s="33" t="s">
        <v>1719</v>
      </c>
      <c r="C330" s="3" t="s">
        <v>2048</v>
      </c>
      <c r="D330" s="50" t="s">
        <v>4850</v>
      </c>
      <c r="E330" s="3" t="s">
        <v>103</v>
      </c>
      <c r="F330" s="36" t="s">
        <v>1718</v>
      </c>
      <c r="G330" s="3">
        <v>912893869</v>
      </c>
      <c r="H330" t="str">
        <f>VLOOKUP(D330,DATA_SISTEMA!$A$1:$Q$506,13,FALSE)</f>
        <v>CPM CHACUPE ALTO MZ. A LT. 01</v>
      </c>
      <c r="I330" t="str">
        <f>VLOOKUP(D330,DATA_SISTEMA!$A$1:$Q$506,7,FALSE)</f>
        <v>1998-08-07</v>
      </c>
      <c r="J330" s="32" t="s">
        <v>1718</v>
      </c>
      <c r="K330" s="32" t="s">
        <v>1718</v>
      </c>
      <c r="L330" s="32" t="s">
        <v>1718</v>
      </c>
      <c r="M330">
        <v>328</v>
      </c>
      <c r="N330">
        <v>0</v>
      </c>
      <c r="O330" s="32" t="str">
        <f t="shared" si="5"/>
        <v>3290020261X</v>
      </c>
      <c r="P330" s="32" t="s">
        <v>1718</v>
      </c>
      <c r="Q330" s="32" t="s">
        <v>1718</v>
      </c>
      <c r="R330" s="32" t="s">
        <v>2110</v>
      </c>
      <c r="S330" s="32" t="s">
        <v>5034</v>
      </c>
      <c r="T330" t="str">
        <f>VLOOKUP(D330,DATA_SISTEMA!$A$1:$Q$506,9,FALSE)</f>
        <v>M</v>
      </c>
      <c r="U330" s="32" t="s">
        <v>2106</v>
      </c>
      <c r="V330" s="32" t="s">
        <v>1718</v>
      </c>
      <c r="W330" s="37" t="s">
        <v>5028</v>
      </c>
      <c r="X330" s="32" t="s">
        <v>4522</v>
      </c>
      <c r="Y330" s="32" t="s">
        <v>1718</v>
      </c>
      <c r="Z330" s="32" t="s">
        <v>1718</v>
      </c>
      <c r="AA330" s="32" t="s">
        <v>5028</v>
      </c>
      <c r="AB330" s="32" t="s">
        <v>1718</v>
      </c>
      <c r="AC330" s="32" t="s">
        <v>1718</v>
      </c>
      <c r="AD330" s="32" t="s">
        <v>1718</v>
      </c>
      <c r="AE330" s="32" t="s">
        <v>1718</v>
      </c>
      <c r="AF330" s="32" t="s">
        <v>1718</v>
      </c>
      <c r="AG330" s="32" t="s">
        <v>1718</v>
      </c>
      <c r="AH330" s="32" t="s">
        <v>2107</v>
      </c>
      <c r="AI330" s="3" t="s">
        <v>1615</v>
      </c>
      <c r="AJ330" s="3" t="s">
        <v>913</v>
      </c>
      <c r="AK330" s="3" t="s">
        <v>1260</v>
      </c>
      <c r="AL330" s="3">
        <v>76069023</v>
      </c>
      <c r="AM330" t="s">
        <v>1718</v>
      </c>
      <c r="AN330" t="s">
        <v>1718</v>
      </c>
      <c r="AO330" t="s">
        <v>1718</v>
      </c>
      <c r="AP330" t="s">
        <v>1718</v>
      </c>
      <c r="AQ330" t="s">
        <v>1718</v>
      </c>
      <c r="AR330" t="s">
        <v>1718</v>
      </c>
      <c r="AS330" t="s">
        <v>1718</v>
      </c>
      <c r="AT330" t="s">
        <v>1718</v>
      </c>
      <c r="AU330" t="s">
        <v>1718</v>
      </c>
      <c r="AV330" t="str">
        <f>VLOOKUP(D330,DATA_SISTEMA!$A$1:$Q$506,12,FALSE)</f>
        <v>LA VICTORIA</v>
      </c>
      <c r="AW330" t="str">
        <f>VLOOKUP(D330,DATA_SISTEMA!$A$1:$Q$506,11,FALSE)</f>
        <v>CHICLAYO</v>
      </c>
      <c r="AX330" t="str">
        <f>VLOOKUP(D330,DATA_SISTEMA!$A$1:$Q$506,10,FALSE)</f>
        <v>LAMBAYEQUE</v>
      </c>
      <c r="AY330" t="s">
        <v>1718</v>
      </c>
      <c r="AZ330" t="s">
        <v>5028</v>
      </c>
      <c r="BA330" t="s">
        <v>1718</v>
      </c>
      <c r="BB330" t="s">
        <v>5028</v>
      </c>
      <c r="BC330" t="s">
        <v>1718</v>
      </c>
      <c r="BD330" t="s">
        <v>5028</v>
      </c>
      <c r="BE330" t="s">
        <v>1718</v>
      </c>
      <c r="BF330" s="34" t="s">
        <v>2104</v>
      </c>
      <c r="BG330" s="3">
        <v>70.599999999999994</v>
      </c>
    </row>
    <row r="331" spans="1:59" x14ac:dyDescent="0.25">
      <c r="A331" s="4">
        <v>330</v>
      </c>
      <c r="B331" s="33" t="s">
        <v>1719</v>
      </c>
      <c r="C331" s="3" t="s">
        <v>2049</v>
      </c>
      <c r="D331" s="50" t="s">
        <v>4851</v>
      </c>
      <c r="E331" s="3" t="s">
        <v>105</v>
      </c>
      <c r="F331" s="36" t="s">
        <v>1718</v>
      </c>
      <c r="G331" s="3">
        <v>939327384</v>
      </c>
      <c r="H331" t="str">
        <f>VLOOKUP(D331,DATA_SISTEMA!$A$1:$Q$506,13,FALSE)</f>
        <v>SAN ANTONIO N° 103 - PUEBLO JOVEN SAN MARTÍN</v>
      </c>
      <c r="I331" t="str">
        <f>VLOOKUP(D331,DATA_SISTEMA!$A$1:$Q$506,7,FALSE)</f>
        <v>1996-07-10</v>
      </c>
      <c r="J331" s="32" t="s">
        <v>1718</v>
      </c>
      <c r="K331" s="32" t="s">
        <v>1718</v>
      </c>
      <c r="L331" s="32" t="s">
        <v>1718</v>
      </c>
      <c r="M331">
        <v>328</v>
      </c>
      <c r="N331">
        <v>0</v>
      </c>
      <c r="O331" s="32" t="str">
        <f t="shared" si="5"/>
        <v>3300020261X</v>
      </c>
      <c r="P331" s="32" t="s">
        <v>1718</v>
      </c>
      <c r="Q331" s="32" t="s">
        <v>1718</v>
      </c>
      <c r="R331" s="32" t="s">
        <v>2110</v>
      </c>
      <c r="S331" s="32" t="s">
        <v>5034</v>
      </c>
      <c r="T331" t="str">
        <f>VLOOKUP(D331,DATA_SISTEMA!$A$1:$Q$506,9,FALSE)</f>
        <v>F</v>
      </c>
      <c r="U331" s="32" t="s">
        <v>2106</v>
      </c>
      <c r="V331" s="32" t="s">
        <v>1718</v>
      </c>
      <c r="W331" s="37" t="s">
        <v>5028</v>
      </c>
      <c r="X331" s="32" t="s">
        <v>4522</v>
      </c>
      <c r="Y331" s="32" t="s">
        <v>1718</v>
      </c>
      <c r="Z331" s="32" t="s">
        <v>1718</v>
      </c>
      <c r="AA331" s="32" t="s">
        <v>5028</v>
      </c>
      <c r="AB331" s="32" t="s">
        <v>1718</v>
      </c>
      <c r="AC331" s="32" t="s">
        <v>1718</v>
      </c>
      <c r="AD331" s="32" t="s">
        <v>1718</v>
      </c>
      <c r="AE331" s="32" t="s">
        <v>1718</v>
      </c>
      <c r="AF331" s="32" t="s">
        <v>1718</v>
      </c>
      <c r="AG331" s="32" t="s">
        <v>1718</v>
      </c>
      <c r="AH331" s="32" t="s">
        <v>2107</v>
      </c>
      <c r="AI331" s="3" t="s">
        <v>1616</v>
      </c>
      <c r="AJ331" s="3" t="s">
        <v>1261</v>
      </c>
      <c r="AK331" s="3" t="s">
        <v>1262</v>
      </c>
      <c r="AL331" s="3">
        <v>72515720</v>
      </c>
      <c r="AM331" t="s">
        <v>1718</v>
      </c>
      <c r="AN331" t="s">
        <v>1718</v>
      </c>
      <c r="AO331" t="s">
        <v>1718</v>
      </c>
      <c r="AP331" t="s">
        <v>1718</v>
      </c>
      <c r="AQ331" t="s">
        <v>1718</v>
      </c>
      <c r="AR331" t="s">
        <v>1718</v>
      </c>
      <c r="AS331" t="s">
        <v>1718</v>
      </c>
      <c r="AT331" t="s">
        <v>1718</v>
      </c>
      <c r="AU331" t="s">
        <v>1718</v>
      </c>
      <c r="AV331" t="str">
        <f>VLOOKUP(D331,DATA_SISTEMA!$A$1:$Q$506,12,FALSE)</f>
        <v>LAMBAYEQUE</v>
      </c>
      <c r="AW331" t="str">
        <f>VLOOKUP(D331,DATA_SISTEMA!$A$1:$Q$506,11,FALSE)</f>
        <v>LAMBAYEQUE</v>
      </c>
      <c r="AX331" t="str">
        <f>VLOOKUP(D331,DATA_SISTEMA!$A$1:$Q$506,10,FALSE)</f>
        <v>LAMBAYEQUE</v>
      </c>
      <c r="AY331" t="s">
        <v>1718</v>
      </c>
      <c r="AZ331" t="s">
        <v>5028</v>
      </c>
      <c r="BA331" t="s">
        <v>1718</v>
      </c>
      <c r="BB331" t="s">
        <v>5028</v>
      </c>
      <c r="BC331" t="s">
        <v>1718</v>
      </c>
      <c r="BD331" t="s">
        <v>5028</v>
      </c>
      <c r="BE331" t="s">
        <v>1718</v>
      </c>
      <c r="BF331" s="34" t="s">
        <v>2104</v>
      </c>
      <c r="BG331" s="3">
        <v>69.8</v>
      </c>
    </row>
    <row r="332" spans="1:59" x14ac:dyDescent="0.25">
      <c r="A332" s="4">
        <v>331</v>
      </c>
      <c r="B332" s="33" t="s">
        <v>1719</v>
      </c>
      <c r="C332" s="3" t="s">
        <v>2050</v>
      </c>
      <c r="D332" s="50" t="s">
        <v>4852</v>
      </c>
      <c r="E332" s="3" t="s">
        <v>107</v>
      </c>
      <c r="F332" s="36" t="s">
        <v>1718</v>
      </c>
      <c r="G332" s="3">
        <v>953113423</v>
      </c>
      <c r="H332" t="str">
        <f>VLOOKUP(D332,DATA_SISTEMA!$A$1:$Q$506,13,FALSE)</f>
        <v>CENTRO POBLADO LA RAMADA - DISTRITO DE SALAS - PROVINCIA DE LAMBAYEQUE</v>
      </c>
      <c r="I332" t="str">
        <f>VLOOKUP(D332,DATA_SISTEMA!$A$1:$Q$506,7,FALSE)</f>
        <v>1986-01-20</v>
      </c>
      <c r="J332" s="32" t="s">
        <v>1718</v>
      </c>
      <c r="K332" s="32" t="s">
        <v>1718</v>
      </c>
      <c r="L332" s="32" t="s">
        <v>1718</v>
      </c>
      <c r="M332">
        <v>328</v>
      </c>
      <c r="N332">
        <v>0</v>
      </c>
      <c r="O332" s="32" t="str">
        <f t="shared" si="5"/>
        <v>3310020261X</v>
      </c>
      <c r="P332" s="32" t="s">
        <v>1718</v>
      </c>
      <c r="Q332" s="32" t="s">
        <v>1718</v>
      </c>
      <c r="R332" s="32" t="s">
        <v>2110</v>
      </c>
      <c r="S332" s="32" t="s">
        <v>5034</v>
      </c>
      <c r="T332" t="str">
        <f>VLOOKUP(D332,DATA_SISTEMA!$A$1:$Q$506,9,FALSE)</f>
        <v>M</v>
      </c>
      <c r="U332" s="32" t="s">
        <v>2106</v>
      </c>
      <c r="V332" s="32" t="s">
        <v>1718</v>
      </c>
      <c r="W332" s="37" t="s">
        <v>5028</v>
      </c>
      <c r="X332" s="32" t="s">
        <v>4522</v>
      </c>
      <c r="Y332" s="32" t="s">
        <v>1718</v>
      </c>
      <c r="Z332" s="32" t="s">
        <v>1718</v>
      </c>
      <c r="AA332" s="32" t="s">
        <v>5028</v>
      </c>
      <c r="AB332" s="32" t="s">
        <v>1718</v>
      </c>
      <c r="AC332" s="32" t="s">
        <v>1718</v>
      </c>
      <c r="AD332" s="32" t="s">
        <v>1718</v>
      </c>
      <c r="AE332" s="32" t="s">
        <v>1718</v>
      </c>
      <c r="AF332" s="32" t="s">
        <v>1718</v>
      </c>
      <c r="AG332" s="32" t="s">
        <v>1718</v>
      </c>
      <c r="AH332" s="32" t="s">
        <v>2107</v>
      </c>
      <c r="AI332" s="3" t="s">
        <v>1617</v>
      </c>
      <c r="AJ332" s="3" t="s">
        <v>1263</v>
      </c>
      <c r="AK332" s="3" t="s">
        <v>905</v>
      </c>
      <c r="AL332" s="3">
        <v>43470708</v>
      </c>
      <c r="AM332" t="s">
        <v>1718</v>
      </c>
      <c r="AN332" t="s">
        <v>1718</v>
      </c>
      <c r="AO332" t="s">
        <v>1718</v>
      </c>
      <c r="AP332" t="s">
        <v>1718</v>
      </c>
      <c r="AQ332" t="s">
        <v>1718</v>
      </c>
      <c r="AR332" t="s">
        <v>1718</v>
      </c>
      <c r="AS332" t="s">
        <v>1718</v>
      </c>
      <c r="AT332" t="s">
        <v>1718</v>
      </c>
      <c r="AU332" t="s">
        <v>1718</v>
      </c>
      <c r="AV332" t="str">
        <f>VLOOKUP(D332,DATA_SISTEMA!$A$1:$Q$506,12,FALSE)</f>
        <v>SALAS</v>
      </c>
      <c r="AW332" t="str">
        <f>VLOOKUP(D332,DATA_SISTEMA!$A$1:$Q$506,11,FALSE)</f>
        <v>LAMBAYEQUE</v>
      </c>
      <c r="AX332" t="str">
        <f>VLOOKUP(D332,DATA_SISTEMA!$A$1:$Q$506,10,FALSE)</f>
        <v>LAMBAYEQUE</v>
      </c>
      <c r="AY332" t="s">
        <v>1718</v>
      </c>
      <c r="AZ332" t="s">
        <v>5028</v>
      </c>
      <c r="BA332" t="s">
        <v>1718</v>
      </c>
      <c r="BB332" t="s">
        <v>5028</v>
      </c>
      <c r="BC332" t="s">
        <v>1718</v>
      </c>
      <c r="BD332" t="s">
        <v>5028</v>
      </c>
      <c r="BE332" t="s">
        <v>1718</v>
      </c>
      <c r="BF332" s="34" t="s">
        <v>2104</v>
      </c>
      <c r="BG332" s="3">
        <v>69.599999999999994</v>
      </c>
    </row>
    <row r="333" spans="1:59" x14ac:dyDescent="0.25">
      <c r="A333" s="4">
        <v>332</v>
      </c>
      <c r="B333" s="33" t="s">
        <v>1719</v>
      </c>
      <c r="C333" s="3" t="s">
        <v>2051</v>
      </c>
      <c r="D333" s="50" t="s">
        <v>4853</v>
      </c>
      <c r="E333" s="3" t="s">
        <v>109</v>
      </c>
      <c r="F333" s="36" t="s">
        <v>1718</v>
      </c>
      <c r="G333" s="3">
        <v>979715336</v>
      </c>
      <c r="H333" t="str">
        <f>VLOOKUP(D333,DATA_SISTEMA!$A$1:$Q$506,13,FALSE)</f>
        <v>CALLE SUCRE S/N PUEBLO JOVEN SAN MATIN</v>
      </c>
      <c r="I333" t="str">
        <f>VLOOKUP(D333,DATA_SISTEMA!$A$1:$Q$506,7,FALSE)</f>
        <v>1989-09-28</v>
      </c>
      <c r="J333" s="32" t="s">
        <v>1718</v>
      </c>
      <c r="K333" s="32" t="s">
        <v>1718</v>
      </c>
      <c r="L333" s="32" t="s">
        <v>1718</v>
      </c>
      <c r="M333">
        <v>328</v>
      </c>
      <c r="N333">
        <v>0</v>
      </c>
      <c r="O333" s="32" t="str">
        <f t="shared" si="5"/>
        <v>3320020261X</v>
      </c>
      <c r="P333" s="32" t="s">
        <v>1718</v>
      </c>
      <c r="Q333" s="32" t="s">
        <v>1718</v>
      </c>
      <c r="R333" s="32" t="s">
        <v>2110</v>
      </c>
      <c r="S333" s="32" t="s">
        <v>5034</v>
      </c>
      <c r="T333" t="str">
        <f>VLOOKUP(D333,DATA_SISTEMA!$A$1:$Q$506,9,FALSE)</f>
        <v>M</v>
      </c>
      <c r="U333" s="32" t="s">
        <v>2106</v>
      </c>
      <c r="V333" s="32" t="s">
        <v>1718</v>
      </c>
      <c r="W333" s="37" t="s">
        <v>5028</v>
      </c>
      <c r="X333" s="32" t="s">
        <v>4522</v>
      </c>
      <c r="Y333" s="32" t="s">
        <v>1718</v>
      </c>
      <c r="Z333" s="32" t="s">
        <v>1718</v>
      </c>
      <c r="AA333" s="32" t="s">
        <v>5028</v>
      </c>
      <c r="AB333" s="32" t="s">
        <v>1718</v>
      </c>
      <c r="AC333" s="32" t="s">
        <v>1718</v>
      </c>
      <c r="AD333" s="32" t="s">
        <v>1718</v>
      </c>
      <c r="AE333" s="32" t="s">
        <v>1718</v>
      </c>
      <c r="AF333" s="32" t="s">
        <v>1718</v>
      </c>
      <c r="AG333" s="32" t="s">
        <v>1718</v>
      </c>
      <c r="AH333" s="32" t="s">
        <v>2107</v>
      </c>
      <c r="AI333" s="3" t="s">
        <v>1618</v>
      </c>
      <c r="AJ333" s="3" t="s">
        <v>900</v>
      </c>
      <c r="AK333" s="3" t="s">
        <v>888</v>
      </c>
      <c r="AL333" s="3">
        <v>47267644</v>
      </c>
      <c r="AM333" t="s">
        <v>1718</v>
      </c>
      <c r="AN333" t="s">
        <v>1718</v>
      </c>
      <c r="AO333" t="s">
        <v>1718</v>
      </c>
      <c r="AP333" t="s">
        <v>1718</v>
      </c>
      <c r="AQ333" t="s">
        <v>1718</v>
      </c>
      <c r="AR333" t="s">
        <v>1718</v>
      </c>
      <c r="AS333" t="s">
        <v>1718</v>
      </c>
      <c r="AT333" t="s">
        <v>1718</v>
      </c>
      <c r="AU333" t="s">
        <v>1718</v>
      </c>
      <c r="AV333" t="str">
        <f>VLOOKUP(D333,DATA_SISTEMA!$A$1:$Q$506,12,FALSE)</f>
        <v>LAMBAYEQUE</v>
      </c>
      <c r="AW333" t="str">
        <f>VLOOKUP(D333,DATA_SISTEMA!$A$1:$Q$506,11,FALSE)</f>
        <v>LAMBAYEQUE</v>
      </c>
      <c r="AX333" t="str">
        <f>VLOOKUP(D333,DATA_SISTEMA!$A$1:$Q$506,10,FALSE)</f>
        <v>LAMBAYEQUE</v>
      </c>
      <c r="AY333" t="s">
        <v>1718</v>
      </c>
      <c r="AZ333" t="s">
        <v>5028</v>
      </c>
      <c r="BA333" t="s">
        <v>1718</v>
      </c>
      <c r="BB333" t="s">
        <v>5028</v>
      </c>
      <c r="BC333" t="s">
        <v>1718</v>
      </c>
      <c r="BD333" t="s">
        <v>5028</v>
      </c>
      <c r="BE333" t="s">
        <v>1718</v>
      </c>
      <c r="BF333" s="34" t="s">
        <v>2104</v>
      </c>
      <c r="BG333" s="3">
        <v>69.400000000000006</v>
      </c>
    </row>
    <row r="334" spans="1:59" x14ac:dyDescent="0.25">
      <c r="A334" s="4">
        <v>333</v>
      </c>
      <c r="B334" s="33" t="s">
        <v>1719</v>
      </c>
      <c r="C334" s="3" t="s">
        <v>2052</v>
      </c>
      <c r="D334" s="50" t="s">
        <v>4854</v>
      </c>
      <c r="E334" s="3" t="s">
        <v>111</v>
      </c>
      <c r="F334" s="36" t="s">
        <v>1718</v>
      </c>
      <c r="G334" s="3">
        <v>945585013</v>
      </c>
      <c r="H334" t="str">
        <f>VLOOKUP(D334,DATA_SISTEMA!$A$1:$Q$506,13,FALSE)</f>
        <v>MZ F5 LT14 URBANIZACION SOL DE LAMBAYEQUE</v>
      </c>
      <c r="I334" t="str">
        <f>VLOOKUP(D334,DATA_SISTEMA!$A$1:$Q$506,7,FALSE)</f>
        <v>1987-05-16</v>
      </c>
      <c r="J334" s="32" t="s">
        <v>1718</v>
      </c>
      <c r="K334" s="32" t="s">
        <v>1718</v>
      </c>
      <c r="L334" s="32" t="s">
        <v>1718</v>
      </c>
      <c r="M334">
        <v>328</v>
      </c>
      <c r="N334">
        <v>0</v>
      </c>
      <c r="O334" s="32" t="str">
        <f t="shared" si="5"/>
        <v>3330020261X</v>
      </c>
      <c r="P334" s="32" t="s">
        <v>1718</v>
      </c>
      <c r="Q334" s="32" t="s">
        <v>1718</v>
      </c>
      <c r="R334" s="32" t="s">
        <v>2110</v>
      </c>
      <c r="S334" s="32" t="s">
        <v>5034</v>
      </c>
      <c r="T334" t="str">
        <f>VLOOKUP(D334,DATA_SISTEMA!$A$1:$Q$506,9,FALSE)</f>
        <v>F</v>
      </c>
      <c r="U334" s="32" t="s">
        <v>2106</v>
      </c>
      <c r="V334" s="32" t="s">
        <v>1718</v>
      </c>
      <c r="W334" s="37" t="s">
        <v>5028</v>
      </c>
      <c r="X334" s="32" t="s">
        <v>4522</v>
      </c>
      <c r="Y334" s="32" t="s">
        <v>1718</v>
      </c>
      <c r="Z334" s="32" t="s">
        <v>1718</v>
      </c>
      <c r="AA334" s="32" t="s">
        <v>5028</v>
      </c>
      <c r="AB334" s="32" t="s">
        <v>1718</v>
      </c>
      <c r="AC334" s="32" t="s">
        <v>1718</v>
      </c>
      <c r="AD334" s="32" t="s">
        <v>1718</v>
      </c>
      <c r="AE334" s="32" t="s">
        <v>1718</v>
      </c>
      <c r="AF334" s="32" t="s">
        <v>1718</v>
      </c>
      <c r="AG334" s="32" t="s">
        <v>1718</v>
      </c>
      <c r="AH334" s="32" t="s">
        <v>2107</v>
      </c>
      <c r="AI334" s="3" t="s">
        <v>1619</v>
      </c>
      <c r="AJ334" s="3" t="s">
        <v>990</v>
      </c>
      <c r="AK334" s="3" t="s">
        <v>1063</v>
      </c>
      <c r="AL334" s="3">
        <v>44390443</v>
      </c>
      <c r="AM334" t="s">
        <v>1718</v>
      </c>
      <c r="AN334" t="s">
        <v>1718</v>
      </c>
      <c r="AO334" t="s">
        <v>1718</v>
      </c>
      <c r="AP334" t="s">
        <v>1718</v>
      </c>
      <c r="AQ334" t="s">
        <v>1718</v>
      </c>
      <c r="AR334" t="s">
        <v>1718</v>
      </c>
      <c r="AS334" t="s">
        <v>1718</v>
      </c>
      <c r="AT334" t="s">
        <v>1718</v>
      </c>
      <c r="AU334" t="s">
        <v>1718</v>
      </c>
      <c r="AV334" t="str">
        <f>VLOOKUP(D334,DATA_SISTEMA!$A$1:$Q$506,12,FALSE)</f>
        <v>LAMBAYEQUE</v>
      </c>
      <c r="AW334" t="str">
        <f>VLOOKUP(D334,DATA_SISTEMA!$A$1:$Q$506,11,FALSE)</f>
        <v>LAMBAYEQUE</v>
      </c>
      <c r="AX334" t="str">
        <f>VLOOKUP(D334,DATA_SISTEMA!$A$1:$Q$506,10,FALSE)</f>
        <v>LAMBAYEQUE</v>
      </c>
      <c r="AY334" t="s">
        <v>1718</v>
      </c>
      <c r="AZ334" t="s">
        <v>5028</v>
      </c>
      <c r="BA334" t="s">
        <v>1718</v>
      </c>
      <c r="BB334" t="s">
        <v>5028</v>
      </c>
      <c r="BC334" t="s">
        <v>1718</v>
      </c>
      <c r="BD334" t="s">
        <v>5028</v>
      </c>
      <c r="BE334" t="s">
        <v>1718</v>
      </c>
      <c r="BF334" s="34" t="s">
        <v>2104</v>
      </c>
      <c r="BG334" s="3">
        <v>69</v>
      </c>
    </row>
    <row r="335" spans="1:59" x14ac:dyDescent="0.25">
      <c r="A335" s="4">
        <v>334</v>
      </c>
      <c r="B335" s="33" t="s">
        <v>1719</v>
      </c>
      <c r="C335" s="3" t="s">
        <v>2053</v>
      </c>
      <c r="D335" s="50" t="s">
        <v>4855</v>
      </c>
      <c r="E335" s="3" t="s">
        <v>113</v>
      </c>
      <c r="F335" s="36" t="s">
        <v>1718</v>
      </c>
      <c r="G335" s="3">
        <v>936903797</v>
      </c>
      <c r="H335" t="str">
        <f>VLOOKUP(D335,DATA_SISTEMA!$A$1:$Q$506,13,FALSE)</f>
        <v>URB. MIRAFLORES II ETAPA MZ. LT T 9</v>
      </c>
      <c r="I335" t="str">
        <f>VLOOKUP(D335,DATA_SISTEMA!$A$1:$Q$506,7,FALSE)</f>
        <v>1981-05-16</v>
      </c>
      <c r="J335" s="32" t="s">
        <v>1718</v>
      </c>
      <c r="K335" s="32" t="s">
        <v>1718</v>
      </c>
      <c r="L335" s="32" t="s">
        <v>1718</v>
      </c>
      <c r="M335">
        <v>328</v>
      </c>
      <c r="N335">
        <v>0</v>
      </c>
      <c r="O335" s="32" t="str">
        <f t="shared" si="5"/>
        <v>3340020261X</v>
      </c>
      <c r="P335" s="32" t="s">
        <v>1718</v>
      </c>
      <c r="Q335" s="32" t="s">
        <v>1718</v>
      </c>
      <c r="R335" s="32" t="s">
        <v>2110</v>
      </c>
      <c r="S335" s="32" t="s">
        <v>5034</v>
      </c>
      <c r="T335" t="str">
        <f>VLOOKUP(D335,DATA_SISTEMA!$A$1:$Q$506,9,FALSE)</f>
        <v>M</v>
      </c>
      <c r="U335" s="32" t="s">
        <v>2106</v>
      </c>
      <c r="V335" s="32" t="s">
        <v>1718</v>
      </c>
      <c r="W335" s="37" t="s">
        <v>5028</v>
      </c>
      <c r="X335" s="32" t="s">
        <v>4522</v>
      </c>
      <c r="Y335" s="32" t="s">
        <v>1718</v>
      </c>
      <c r="Z335" s="32" t="s">
        <v>1718</v>
      </c>
      <c r="AA335" s="32" t="s">
        <v>5028</v>
      </c>
      <c r="AB335" s="32" t="s">
        <v>1718</v>
      </c>
      <c r="AC335" s="32" t="s">
        <v>1718</v>
      </c>
      <c r="AD335" s="32" t="s">
        <v>1718</v>
      </c>
      <c r="AE335" s="32" t="s">
        <v>1718</v>
      </c>
      <c r="AF335" s="32" t="s">
        <v>1718</v>
      </c>
      <c r="AG335" s="32" t="s">
        <v>1718</v>
      </c>
      <c r="AH335" s="32" t="s">
        <v>2107</v>
      </c>
      <c r="AI335" s="3" t="s">
        <v>1620</v>
      </c>
      <c r="AJ335" s="3" t="s">
        <v>913</v>
      </c>
      <c r="AK335" s="3" t="s">
        <v>1065</v>
      </c>
      <c r="AL335" s="3">
        <v>41160658</v>
      </c>
      <c r="AM335" t="s">
        <v>1718</v>
      </c>
      <c r="AN335" t="s">
        <v>1718</v>
      </c>
      <c r="AO335" t="s">
        <v>1718</v>
      </c>
      <c r="AP335" t="s">
        <v>1718</v>
      </c>
      <c r="AQ335" t="s">
        <v>1718</v>
      </c>
      <c r="AR335" t="s">
        <v>1718</v>
      </c>
      <c r="AS335" t="s">
        <v>1718</v>
      </c>
      <c r="AT335" t="s">
        <v>1718</v>
      </c>
      <c r="AU335" t="s">
        <v>1718</v>
      </c>
      <c r="AV335" t="str">
        <f>VLOOKUP(D335,DATA_SISTEMA!$A$1:$Q$506,12,FALSE)</f>
        <v>CHICLAYO</v>
      </c>
      <c r="AW335" t="str">
        <f>VLOOKUP(D335,DATA_SISTEMA!$A$1:$Q$506,11,FALSE)</f>
        <v>CHICLAYO</v>
      </c>
      <c r="AX335" t="str">
        <f>VLOOKUP(D335,DATA_SISTEMA!$A$1:$Q$506,10,FALSE)</f>
        <v>LAMBAYEQUE</v>
      </c>
      <c r="AY335" t="s">
        <v>1718</v>
      </c>
      <c r="AZ335" t="s">
        <v>5028</v>
      </c>
      <c r="BA335" t="s">
        <v>1718</v>
      </c>
      <c r="BB335" t="s">
        <v>5028</v>
      </c>
      <c r="BC335" t="s">
        <v>1718</v>
      </c>
      <c r="BD335" t="s">
        <v>5028</v>
      </c>
      <c r="BE335" t="s">
        <v>1718</v>
      </c>
      <c r="BF335" s="34" t="s">
        <v>2104</v>
      </c>
      <c r="BG335" s="3">
        <v>68.5</v>
      </c>
    </row>
    <row r="336" spans="1:59" x14ac:dyDescent="0.25">
      <c r="A336" s="4">
        <v>335</v>
      </c>
      <c r="B336" s="33" t="s">
        <v>1719</v>
      </c>
      <c r="C336" s="3" t="s">
        <v>2054</v>
      </c>
      <c r="D336" s="50" t="s">
        <v>4856</v>
      </c>
      <c r="E336" s="3" t="s">
        <v>116</v>
      </c>
      <c r="F336" s="36" t="s">
        <v>1718</v>
      </c>
      <c r="G336" s="3">
        <v>905441358</v>
      </c>
      <c r="H336" t="str">
        <f>VLOOKUP(D336,DATA_SISTEMA!$A$1:$Q$506,13,FALSE)</f>
        <v>AV. FRANCISCO BOLOGNESI 472</v>
      </c>
      <c r="I336" t="str">
        <f>VLOOKUP(D336,DATA_SISTEMA!$A$1:$Q$506,7,FALSE)</f>
        <v>1971-09-12</v>
      </c>
      <c r="J336" s="32" t="s">
        <v>1718</v>
      </c>
      <c r="K336" s="32" t="s">
        <v>1718</v>
      </c>
      <c r="L336" s="32" t="s">
        <v>1718</v>
      </c>
      <c r="M336">
        <v>328</v>
      </c>
      <c r="N336">
        <v>0</v>
      </c>
      <c r="O336" s="32" t="str">
        <f t="shared" si="5"/>
        <v>3350020261X</v>
      </c>
      <c r="P336" s="32" t="s">
        <v>1718</v>
      </c>
      <c r="Q336" s="32" t="s">
        <v>1718</v>
      </c>
      <c r="R336" s="32" t="s">
        <v>2110</v>
      </c>
      <c r="S336" s="32" t="s">
        <v>5034</v>
      </c>
      <c r="T336" t="str">
        <f>VLOOKUP(D336,DATA_SISTEMA!$A$1:$Q$506,9,FALSE)</f>
        <v>M</v>
      </c>
      <c r="U336" s="32" t="s">
        <v>2106</v>
      </c>
      <c r="V336" s="32" t="s">
        <v>1718</v>
      </c>
      <c r="W336" s="37" t="s">
        <v>5028</v>
      </c>
      <c r="X336" s="32" t="s">
        <v>4522</v>
      </c>
      <c r="Y336" s="32" t="s">
        <v>1718</v>
      </c>
      <c r="Z336" s="32" t="s">
        <v>1718</v>
      </c>
      <c r="AA336" s="32" t="s">
        <v>5028</v>
      </c>
      <c r="AB336" s="32" t="s">
        <v>1718</v>
      </c>
      <c r="AC336" s="32" t="s">
        <v>1718</v>
      </c>
      <c r="AD336" s="32" t="s">
        <v>1718</v>
      </c>
      <c r="AE336" s="32" t="s">
        <v>1718</v>
      </c>
      <c r="AF336" s="32" t="s">
        <v>1718</v>
      </c>
      <c r="AG336" s="32" t="s">
        <v>1718</v>
      </c>
      <c r="AH336" s="32" t="s">
        <v>2107</v>
      </c>
      <c r="AI336" s="3" t="s">
        <v>1621</v>
      </c>
      <c r="AJ336" s="3" t="s">
        <v>1264</v>
      </c>
      <c r="AK336" s="3" t="s">
        <v>1103</v>
      </c>
      <c r="AL336" s="3" t="s">
        <v>114</v>
      </c>
      <c r="AM336" t="s">
        <v>1718</v>
      </c>
      <c r="AN336" t="s">
        <v>1718</v>
      </c>
      <c r="AO336" t="s">
        <v>1718</v>
      </c>
      <c r="AP336" t="s">
        <v>1718</v>
      </c>
      <c r="AQ336" t="s">
        <v>1718</v>
      </c>
      <c r="AR336" t="s">
        <v>1718</v>
      </c>
      <c r="AS336" t="s">
        <v>1718</v>
      </c>
      <c r="AT336" t="s">
        <v>1718</v>
      </c>
      <c r="AU336" t="s">
        <v>1718</v>
      </c>
      <c r="AV336" t="str">
        <f>VLOOKUP(D336,DATA_SISTEMA!$A$1:$Q$506,12,FALSE)</f>
        <v>CHICLAYO</v>
      </c>
      <c r="AW336" t="str">
        <f>VLOOKUP(D336,DATA_SISTEMA!$A$1:$Q$506,11,FALSE)</f>
        <v>CHICLAYO</v>
      </c>
      <c r="AX336" t="str">
        <f>VLOOKUP(D336,DATA_SISTEMA!$A$1:$Q$506,10,FALSE)</f>
        <v>LAMBAYEQUE</v>
      </c>
      <c r="AY336" t="s">
        <v>1718</v>
      </c>
      <c r="AZ336" t="s">
        <v>5028</v>
      </c>
      <c r="BA336" t="s">
        <v>1718</v>
      </c>
      <c r="BB336" t="s">
        <v>5028</v>
      </c>
      <c r="BC336" t="s">
        <v>1718</v>
      </c>
      <c r="BD336" t="s">
        <v>5028</v>
      </c>
      <c r="BE336" t="s">
        <v>1718</v>
      </c>
      <c r="BF336" s="34" t="s">
        <v>2104</v>
      </c>
      <c r="BG336" s="3">
        <v>68.5</v>
      </c>
    </row>
    <row r="337" spans="1:59" x14ac:dyDescent="0.25">
      <c r="A337" s="4">
        <v>336</v>
      </c>
      <c r="B337" s="33" t="s">
        <v>1719</v>
      </c>
      <c r="C337" s="3" t="s">
        <v>2055</v>
      </c>
      <c r="D337" s="50" t="s">
        <v>4857</v>
      </c>
      <c r="E337" s="3" t="s">
        <v>118</v>
      </c>
      <c r="F337" s="36" t="s">
        <v>1718</v>
      </c>
      <c r="G337" s="3">
        <v>926294937</v>
      </c>
      <c r="H337" t="str">
        <f>VLOOKUP(D337,DATA_SISTEMA!$A$1:$Q$506,13,FALSE)</f>
        <v>PASAAJE RIO MARAÑON N°190 MARIA PARADO DE BELLIDO - JLO - CHICLAYO</v>
      </c>
      <c r="I337" t="str">
        <f>VLOOKUP(D337,DATA_SISTEMA!$A$1:$Q$506,7,FALSE)</f>
        <v>1978-05-03</v>
      </c>
      <c r="J337" s="32" t="s">
        <v>1718</v>
      </c>
      <c r="K337" s="32" t="s">
        <v>1718</v>
      </c>
      <c r="L337" s="32" t="s">
        <v>1718</v>
      </c>
      <c r="M337">
        <v>328</v>
      </c>
      <c r="N337">
        <v>0</v>
      </c>
      <c r="O337" s="32" t="str">
        <f t="shared" si="5"/>
        <v>3360020261X</v>
      </c>
      <c r="P337" s="32" t="s">
        <v>1718</v>
      </c>
      <c r="Q337" s="32" t="s">
        <v>1718</v>
      </c>
      <c r="R337" s="32" t="s">
        <v>2110</v>
      </c>
      <c r="S337" s="32" t="s">
        <v>5034</v>
      </c>
      <c r="T337" t="str">
        <f>VLOOKUP(D337,DATA_SISTEMA!$A$1:$Q$506,9,FALSE)</f>
        <v>M</v>
      </c>
      <c r="U337" s="32" t="s">
        <v>2106</v>
      </c>
      <c r="V337" s="32" t="s">
        <v>1718</v>
      </c>
      <c r="W337" s="37" t="s">
        <v>5028</v>
      </c>
      <c r="X337" s="32" t="s">
        <v>4522</v>
      </c>
      <c r="Y337" s="32" t="s">
        <v>1718</v>
      </c>
      <c r="Z337" s="32" t="s">
        <v>1718</v>
      </c>
      <c r="AA337" s="32" t="s">
        <v>5028</v>
      </c>
      <c r="AB337" s="32" t="s">
        <v>1718</v>
      </c>
      <c r="AC337" s="32" t="s">
        <v>1718</v>
      </c>
      <c r="AD337" s="32" t="s">
        <v>1718</v>
      </c>
      <c r="AE337" s="32" t="s">
        <v>1718</v>
      </c>
      <c r="AF337" s="32" t="s">
        <v>1718</v>
      </c>
      <c r="AG337" s="32" t="s">
        <v>1718</v>
      </c>
      <c r="AH337" s="32" t="s">
        <v>2107</v>
      </c>
      <c r="AI337" s="3" t="s">
        <v>1622</v>
      </c>
      <c r="AJ337" s="3" t="s">
        <v>1265</v>
      </c>
      <c r="AK337" s="3" t="s">
        <v>1134</v>
      </c>
      <c r="AL337" s="3">
        <v>40366179</v>
      </c>
      <c r="AM337" t="s">
        <v>1718</v>
      </c>
      <c r="AN337" t="s">
        <v>1718</v>
      </c>
      <c r="AO337" t="s">
        <v>1718</v>
      </c>
      <c r="AP337" t="s">
        <v>1718</v>
      </c>
      <c r="AQ337" t="s">
        <v>1718</v>
      </c>
      <c r="AR337" t="s">
        <v>1718</v>
      </c>
      <c r="AS337" t="s">
        <v>1718</v>
      </c>
      <c r="AT337" t="s">
        <v>1718</v>
      </c>
      <c r="AU337" t="s">
        <v>1718</v>
      </c>
      <c r="AV337" t="str">
        <f>VLOOKUP(D337,DATA_SISTEMA!$A$1:$Q$506,12,FALSE)</f>
        <v>LA FLORIDA</v>
      </c>
      <c r="AW337" t="str">
        <f>VLOOKUP(D337,DATA_SISTEMA!$A$1:$Q$506,11,FALSE)</f>
        <v>SAN MIGUEL</v>
      </c>
      <c r="AX337" t="str">
        <f>VLOOKUP(D337,DATA_SISTEMA!$A$1:$Q$506,10,FALSE)</f>
        <v>CAJAMARCA</v>
      </c>
      <c r="AY337" t="s">
        <v>1718</v>
      </c>
      <c r="AZ337" t="s">
        <v>5028</v>
      </c>
      <c r="BA337" t="s">
        <v>1718</v>
      </c>
      <c r="BB337" t="s">
        <v>5028</v>
      </c>
      <c r="BC337" t="s">
        <v>1718</v>
      </c>
      <c r="BD337" t="s">
        <v>5028</v>
      </c>
      <c r="BE337" t="s">
        <v>1718</v>
      </c>
      <c r="BF337" s="34" t="s">
        <v>2104</v>
      </c>
      <c r="BG337" s="3">
        <v>68.2</v>
      </c>
    </row>
    <row r="338" spans="1:59" x14ac:dyDescent="0.25">
      <c r="A338" s="4">
        <v>337</v>
      </c>
      <c r="B338" s="33" t="s">
        <v>1719</v>
      </c>
      <c r="C338" s="3" t="s">
        <v>2056</v>
      </c>
      <c r="D338" s="50" t="s">
        <v>4858</v>
      </c>
      <c r="E338" s="3" t="s">
        <v>120</v>
      </c>
      <c r="F338" s="36" t="s">
        <v>1718</v>
      </c>
      <c r="G338" s="3">
        <v>976003092</v>
      </c>
      <c r="H338" t="str">
        <f>VLOOKUP(D338,DATA_SISTEMA!$A$1:$Q$506,13,FALSE)</f>
        <v>JOSE GALVES 117</v>
      </c>
      <c r="I338" t="str">
        <f>VLOOKUP(D338,DATA_SISTEMA!$A$1:$Q$506,7,FALSE)</f>
        <v>1993-01-09</v>
      </c>
      <c r="J338" s="32" t="s">
        <v>1718</v>
      </c>
      <c r="K338" s="32" t="s">
        <v>1718</v>
      </c>
      <c r="L338" s="32" t="s">
        <v>1718</v>
      </c>
      <c r="M338">
        <v>328</v>
      </c>
      <c r="N338">
        <v>0</v>
      </c>
      <c r="O338" s="32" t="str">
        <f t="shared" si="5"/>
        <v>3370020261X</v>
      </c>
      <c r="P338" s="32" t="s">
        <v>1718</v>
      </c>
      <c r="Q338" s="32" t="s">
        <v>1718</v>
      </c>
      <c r="R338" s="32" t="s">
        <v>2110</v>
      </c>
      <c r="S338" s="32" t="s">
        <v>5034</v>
      </c>
      <c r="T338" t="str">
        <f>VLOOKUP(D338,DATA_SISTEMA!$A$1:$Q$506,9,FALSE)</f>
        <v>M</v>
      </c>
      <c r="U338" s="32" t="s">
        <v>2106</v>
      </c>
      <c r="V338" s="32" t="s">
        <v>1718</v>
      </c>
      <c r="W338" s="37" t="s">
        <v>5028</v>
      </c>
      <c r="X338" s="32" t="s">
        <v>4522</v>
      </c>
      <c r="Y338" s="32" t="s">
        <v>1718</v>
      </c>
      <c r="Z338" s="32" t="s">
        <v>1718</v>
      </c>
      <c r="AA338" s="32" t="s">
        <v>5028</v>
      </c>
      <c r="AB338" s="32" t="s">
        <v>1718</v>
      </c>
      <c r="AC338" s="32" t="s">
        <v>1718</v>
      </c>
      <c r="AD338" s="32" t="s">
        <v>1718</v>
      </c>
      <c r="AE338" s="32" t="s">
        <v>1718</v>
      </c>
      <c r="AF338" s="32" t="s">
        <v>1718</v>
      </c>
      <c r="AG338" s="32" t="s">
        <v>1718</v>
      </c>
      <c r="AH338" s="32" t="s">
        <v>2107</v>
      </c>
      <c r="AI338" s="3" t="s">
        <v>1623</v>
      </c>
      <c r="AJ338" s="3" t="s">
        <v>1043</v>
      </c>
      <c r="AK338" s="3" t="s">
        <v>1016</v>
      </c>
      <c r="AL338" s="3">
        <v>47515394</v>
      </c>
      <c r="AM338" t="s">
        <v>1718</v>
      </c>
      <c r="AN338" t="s">
        <v>1718</v>
      </c>
      <c r="AO338" t="s">
        <v>1718</v>
      </c>
      <c r="AP338" t="s">
        <v>1718</v>
      </c>
      <c r="AQ338" t="s">
        <v>1718</v>
      </c>
      <c r="AR338" t="s">
        <v>1718</v>
      </c>
      <c r="AS338" t="s">
        <v>1718</v>
      </c>
      <c r="AT338" t="s">
        <v>1718</v>
      </c>
      <c r="AU338" t="s">
        <v>1718</v>
      </c>
      <c r="AV338" t="str">
        <f>VLOOKUP(D338,DATA_SISTEMA!$A$1:$Q$506,12,FALSE)</f>
        <v>LAJAS</v>
      </c>
      <c r="AW338" t="str">
        <f>VLOOKUP(D338,DATA_SISTEMA!$A$1:$Q$506,11,FALSE)</f>
        <v xml:space="preserve">CHOTA </v>
      </c>
      <c r="AX338" t="str">
        <f>VLOOKUP(D338,DATA_SISTEMA!$A$1:$Q$506,10,FALSE)</f>
        <v>CAJAMARCA</v>
      </c>
      <c r="AY338" t="s">
        <v>1718</v>
      </c>
      <c r="AZ338" t="s">
        <v>5028</v>
      </c>
      <c r="BA338" t="s">
        <v>1718</v>
      </c>
      <c r="BB338" t="s">
        <v>5028</v>
      </c>
      <c r="BC338" t="s">
        <v>1718</v>
      </c>
      <c r="BD338" t="s">
        <v>5028</v>
      </c>
      <c r="BE338" t="s">
        <v>1718</v>
      </c>
      <c r="BF338" s="34" t="s">
        <v>2104</v>
      </c>
      <c r="BG338" s="3">
        <v>67</v>
      </c>
    </row>
    <row r="339" spans="1:59" x14ac:dyDescent="0.25">
      <c r="A339" s="4">
        <v>338</v>
      </c>
      <c r="B339" s="33" t="s">
        <v>1719</v>
      </c>
      <c r="C339" s="3" t="s">
        <v>2057</v>
      </c>
      <c r="D339" s="50" t="s">
        <v>4859</v>
      </c>
      <c r="E339" s="3" t="s">
        <v>122</v>
      </c>
      <c r="F339" s="36" t="s">
        <v>1718</v>
      </c>
      <c r="G339" s="3">
        <v>968408629</v>
      </c>
      <c r="H339" t="str">
        <f>VLOOKUP(D339,DATA_SISTEMA!$A$1:$Q$506,13,FALSE)</f>
        <v>CARRETERA PANAMERICANA NORTE KM 847</v>
      </c>
      <c r="I339" t="str">
        <f>VLOOKUP(D339,DATA_SISTEMA!$A$1:$Q$506,7,FALSE)</f>
        <v>1993-10-19</v>
      </c>
      <c r="J339" s="32" t="s">
        <v>1718</v>
      </c>
      <c r="K339" s="32" t="s">
        <v>1718</v>
      </c>
      <c r="L339" s="32" t="s">
        <v>1718</v>
      </c>
      <c r="M339">
        <v>328</v>
      </c>
      <c r="N339">
        <v>0</v>
      </c>
      <c r="O339" s="32" t="str">
        <f t="shared" si="5"/>
        <v>3380020261X</v>
      </c>
      <c r="P339" s="32" t="s">
        <v>1718</v>
      </c>
      <c r="Q339" s="32" t="s">
        <v>1718</v>
      </c>
      <c r="R339" s="32" t="s">
        <v>2110</v>
      </c>
      <c r="S339" s="32" t="s">
        <v>5034</v>
      </c>
      <c r="T339" t="str">
        <f>VLOOKUP(D339,DATA_SISTEMA!$A$1:$Q$506,9,FALSE)</f>
        <v>M</v>
      </c>
      <c r="U339" s="32" t="s">
        <v>2106</v>
      </c>
      <c r="V339" s="32" t="s">
        <v>1718</v>
      </c>
      <c r="W339" s="37" t="s">
        <v>5028</v>
      </c>
      <c r="X339" s="32" t="s">
        <v>4522</v>
      </c>
      <c r="Y339" s="32" t="s">
        <v>1718</v>
      </c>
      <c r="Z339" s="32" t="s">
        <v>1718</v>
      </c>
      <c r="AA339" s="32" t="s">
        <v>5028</v>
      </c>
      <c r="AB339" s="32" t="s">
        <v>1718</v>
      </c>
      <c r="AC339" s="32" t="s">
        <v>1718</v>
      </c>
      <c r="AD339" s="32" t="s">
        <v>1718</v>
      </c>
      <c r="AE339" s="32" t="s">
        <v>1718</v>
      </c>
      <c r="AF339" s="32" t="s">
        <v>1718</v>
      </c>
      <c r="AG339" s="32" t="s">
        <v>1718</v>
      </c>
      <c r="AH339" s="32" t="s">
        <v>2107</v>
      </c>
      <c r="AI339" s="3" t="s">
        <v>1624</v>
      </c>
      <c r="AJ339" s="3" t="s">
        <v>944</v>
      </c>
      <c r="AK339" s="3" t="s">
        <v>908</v>
      </c>
      <c r="AL339" s="3">
        <v>48042572</v>
      </c>
      <c r="AM339" t="s">
        <v>1718</v>
      </c>
      <c r="AN339" t="s">
        <v>1718</v>
      </c>
      <c r="AO339" t="s">
        <v>1718</v>
      </c>
      <c r="AP339" t="s">
        <v>1718</v>
      </c>
      <c r="AQ339" t="s">
        <v>1718</v>
      </c>
      <c r="AR339" t="s">
        <v>1718</v>
      </c>
      <c r="AS339" t="s">
        <v>1718</v>
      </c>
      <c r="AT339" t="s">
        <v>1718</v>
      </c>
      <c r="AU339" t="s">
        <v>1718</v>
      </c>
      <c r="AV339" t="str">
        <f>VLOOKUP(D339,DATA_SISTEMA!$A$1:$Q$506,12,FALSE)</f>
        <v>MORROPE</v>
      </c>
      <c r="AW339" t="str">
        <f>VLOOKUP(D339,DATA_SISTEMA!$A$1:$Q$506,11,FALSE)</f>
        <v>LAMBAYEQUE</v>
      </c>
      <c r="AX339" t="str">
        <f>VLOOKUP(D339,DATA_SISTEMA!$A$1:$Q$506,10,FALSE)</f>
        <v>LAMBAYEQUE</v>
      </c>
      <c r="AY339" t="s">
        <v>1718</v>
      </c>
      <c r="AZ339" t="s">
        <v>5028</v>
      </c>
      <c r="BA339" t="s">
        <v>1718</v>
      </c>
      <c r="BB339" t="s">
        <v>5028</v>
      </c>
      <c r="BC339" t="s">
        <v>1718</v>
      </c>
      <c r="BD339" t="s">
        <v>5028</v>
      </c>
      <c r="BE339" t="s">
        <v>1718</v>
      </c>
      <c r="BF339" s="34" t="s">
        <v>2104</v>
      </c>
      <c r="BG339" s="3">
        <v>67</v>
      </c>
    </row>
    <row r="340" spans="1:59" x14ac:dyDescent="0.25">
      <c r="A340" s="4">
        <v>339</v>
      </c>
      <c r="B340" s="33" t="s">
        <v>1719</v>
      </c>
      <c r="C340" s="3" t="s">
        <v>2058</v>
      </c>
      <c r="D340" s="50" t="s">
        <v>4860</v>
      </c>
      <c r="E340" s="3" t="s">
        <v>124</v>
      </c>
      <c r="F340" s="36" t="s">
        <v>1718</v>
      </c>
      <c r="G340" s="3">
        <v>996187265</v>
      </c>
      <c r="H340" t="str">
        <f>VLOOKUP(D340,DATA_SISTEMA!$A$1:$Q$506,13,FALSE)</f>
        <v>CALLE FRANCISCO CABRERA N°1151</v>
      </c>
      <c r="I340" t="str">
        <f>VLOOKUP(D340,DATA_SISTEMA!$A$1:$Q$506,7,FALSE)</f>
        <v>1979-05-31</v>
      </c>
      <c r="J340" s="32" t="s">
        <v>1718</v>
      </c>
      <c r="K340" s="32" t="s">
        <v>1718</v>
      </c>
      <c r="L340" s="32" t="s">
        <v>1718</v>
      </c>
      <c r="M340">
        <v>328</v>
      </c>
      <c r="N340">
        <v>0</v>
      </c>
      <c r="O340" s="32" t="str">
        <f t="shared" si="5"/>
        <v>3390020261X</v>
      </c>
      <c r="P340" s="32" t="s">
        <v>1718</v>
      </c>
      <c r="Q340" s="32" t="s">
        <v>1718</v>
      </c>
      <c r="R340" s="32" t="s">
        <v>2110</v>
      </c>
      <c r="S340" s="32" t="s">
        <v>5034</v>
      </c>
      <c r="T340" t="str">
        <f>VLOOKUP(D340,DATA_SISTEMA!$A$1:$Q$506,9,FALSE)</f>
        <v>F</v>
      </c>
      <c r="U340" s="32" t="s">
        <v>2106</v>
      </c>
      <c r="V340" s="32" t="s">
        <v>1718</v>
      </c>
      <c r="W340" s="37" t="s">
        <v>5028</v>
      </c>
      <c r="X340" s="32" t="s">
        <v>4522</v>
      </c>
      <c r="Y340" s="32" t="s">
        <v>1718</v>
      </c>
      <c r="Z340" s="32" t="s">
        <v>1718</v>
      </c>
      <c r="AA340" s="32" t="s">
        <v>5028</v>
      </c>
      <c r="AB340" s="32" t="s">
        <v>1718</v>
      </c>
      <c r="AC340" s="32" t="s">
        <v>1718</v>
      </c>
      <c r="AD340" s="32" t="s">
        <v>1718</v>
      </c>
      <c r="AE340" s="32" t="s">
        <v>1718</v>
      </c>
      <c r="AF340" s="32" t="s">
        <v>1718</v>
      </c>
      <c r="AG340" s="32" t="s">
        <v>1718</v>
      </c>
      <c r="AH340" s="32" t="s">
        <v>2107</v>
      </c>
      <c r="AI340" s="3" t="s">
        <v>1625</v>
      </c>
      <c r="AJ340" s="3" t="s">
        <v>1049</v>
      </c>
      <c r="AK340" s="3" t="s">
        <v>915</v>
      </c>
      <c r="AL340" s="3">
        <v>80612579</v>
      </c>
      <c r="AM340" t="s">
        <v>1718</v>
      </c>
      <c r="AN340" t="s">
        <v>1718</v>
      </c>
      <c r="AO340" t="s">
        <v>1718</v>
      </c>
      <c r="AP340" t="s">
        <v>1718</v>
      </c>
      <c r="AQ340" t="s">
        <v>1718</v>
      </c>
      <c r="AR340" t="s">
        <v>1718</v>
      </c>
      <c r="AS340" t="s">
        <v>1718</v>
      </c>
      <c r="AT340" t="s">
        <v>1718</v>
      </c>
      <c r="AU340" t="s">
        <v>1718</v>
      </c>
      <c r="AV340" t="str">
        <f>VLOOKUP(D340,DATA_SISTEMA!$A$1:$Q$506,12,FALSE)</f>
        <v>CHICLAYO</v>
      </c>
      <c r="AW340" t="str">
        <f>VLOOKUP(D340,DATA_SISTEMA!$A$1:$Q$506,11,FALSE)</f>
        <v>CHICLAYO</v>
      </c>
      <c r="AX340" t="str">
        <f>VLOOKUP(D340,DATA_SISTEMA!$A$1:$Q$506,10,FALSE)</f>
        <v>LAMBAYEQUE</v>
      </c>
      <c r="AY340" t="s">
        <v>1718</v>
      </c>
      <c r="AZ340" t="s">
        <v>5028</v>
      </c>
      <c r="BA340" t="s">
        <v>1718</v>
      </c>
      <c r="BB340" t="s">
        <v>5028</v>
      </c>
      <c r="BC340" t="s">
        <v>1718</v>
      </c>
      <c r="BD340" t="s">
        <v>5028</v>
      </c>
      <c r="BE340" t="s">
        <v>1718</v>
      </c>
      <c r="BF340" s="34" t="s">
        <v>2104</v>
      </c>
      <c r="BG340" s="3">
        <v>66.599999999999994</v>
      </c>
    </row>
    <row r="341" spans="1:59" x14ac:dyDescent="0.25">
      <c r="A341" s="4">
        <v>340</v>
      </c>
      <c r="B341" s="33" t="s">
        <v>1719</v>
      </c>
      <c r="C341" s="3" t="s">
        <v>2059</v>
      </c>
      <c r="D341" s="50" t="s">
        <v>4861</v>
      </c>
      <c r="E341" s="3" t="s">
        <v>126</v>
      </c>
      <c r="F341" s="36" t="s">
        <v>1718</v>
      </c>
      <c r="G341" s="3">
        <v>935563100</v>
      </c>
      <c r="H341" t="str">
        <f>VLOOKUP(D341,DATA_SISTEMA!$A$1:$Q$506,13,FALSE)</f>
        <v>CASERIO TRANCA FANUPE</v>
      </c>
      <c r="I341" t="str">
        <f>VLOOKUP(D341,DATA_SISTEMA!$A$1:$Q$506,7,FALSE)</f>
        <v>1996-10-12</v>
      </c>
      <c r="J341" s="32" t="s">
        <v>1718</v>
      </c>
      <c r="K341" s="32" t="s">
        <v>1718</v>
      </c>
      <c r="L341" s="32" t="s">
        <v>1718</v>
      </c>
      <c r="M341">
        <v>328</v>
      </c>
      <c r="N341">
        <v>0</v>
      </c>
      <c r="O341" s="32" t="str">
        <f t="shared" si="5"/>
        <v>3400020261X</v>
      </c>
      <c r="P341" s="32" t="s">
        <v>1718</v>
      </c>
      <c r="Q341" s="32" t="s">
        <v>1718</v>
      </c>
      <c r="R341" s="32" t="s">
        <v>2110</v>
      </c>
      <c r="S341" s="32" t="s">
        <v>5034</v>
      </c>
      <c r="T341" t="str">
        <f>VLOOKUP(D341,DATA_SISTEMA!$A$1:$Q$506,9,FALSE)</f>
        <v>F</v>
      </c>
      <c r="U341" s="32" t="s">
        <v>2106</v>
      </c>
      <c r="V341" s="32" t="s">
        <v>1718</v>
      </c>
      <c r="W341" s="37" t="s">
        <v>5028</v>
      </c>
      <c r="X341" s="32" t="s">
        <v>4522</v>
      </c>
      <c r="Y341" s="32" t="s">
        <v>1718</v>
      </c>
      <c r="Z341" s="32" t="s">
        <v>1718</v>
      </c>
      <c r="AA341" s="32" t="s">
        <v>5028</v>
      </c>
      <c r="AB341" s="32" t="s">
        <v>1718</v>
      </c>
      <c r="AC341" s="32" t="s">
        <v>1718</v>
      </c>
      <c r="AD341" s="32" t="s">
        <v>1718</v>
      </c>
      <c r="AE341" s="32" t="s">
        <v>1718</v>
      </c>
      <c r="AF341" s="32" t="s">
        <v>1718</v>
      </c>
      <c r="AG341" s="32" t="s">
        <v>1718</v>
      </c>
      <c r="AH341" s="32" t="s">
        <v>2107</v>
      </c>
      <c r="AI341" s="3" t="s">
        <v>1626</v>
      </c>
      <c r="AJ341" s="3" t="s">
        <v>1266</v>
      </c>
      <c r="AK341" s="3" t="s">
        <v>917</v>
      </c>
      <c r="AL341" s="3">
        <v>75879465</v>
      </c>
      <c r="AM341" t="s">
        <v>1718</v>
      </c>
      <c r="AN341" t="s">
        <v>1718</v>
      </c>
      <c r="AO341" t="s">
        <v>1718</v>
      </c>
      <c r="AP341" t="s">
        <v>1718</v>
      </c>
      <c r="AQ341" t="s">
        <v>1718</v>
      </c>
      <c r="AR341" t="s">
        <v>1718</v>
      </c>
      <c r="AS341" t="s">
        <v>1718</v>
      </c>
      <c r="AT341" t="s">
        <v>1718</v>
      </c>
      <c r="AU341" t="s">
        <v>1718</v>
      </c>
      <c r="AV341" t="str">
        <f>VLOOKUP(D341,DATA_SISTEMA!$A$1:$Q$506,12,FALSE)</f>
        <v>MORROPE</v>
      </c>
      <c r="AW341" t="str">
        <f>VLOOKUP(D341,DATA_SISTEMA!$A$1:$Q$506,11,FALSE)</f>
        <v>LAMBAYEQUE</v>
      </c>
      <c r="AX341" t="str">
        <f>VLOOKUP(D341,DATA_SISTEMA!$A$1:$Q$506,10,FALSE)</f>
        <v>LAMBAYEQUE</v>
      </c>
      <c r="AY341" t="s">
        <v>1718</v>
      </c>
      <c r="AZ341" t="s">
        <v>5028</v>
      </c>
      <c r="BA341" t="s">
        <v>1718</v>
      </c>
      <c r="BB341" t="s">
        <v>5028</v>
      </c>
      <c r="BC341" t="s">
        <v>1718</v>
      </c>
      <c r="BD341" t="s">
        <v>5028</v>
      </c>
      <c r="BE341" t="s">
        <v>1718</v>
      </c>
      <c r="BF341" s="34" t="s">
        <v>2104</v>
      </c>
      <c r="BG341" s="3">
        <v>65.599999999999994</v>
      </c>
    </row>
    <row r="342" spans="1:59" x14ac:dyDescent="0.25">
      <c r="A342" s="4">
        <v>341</v>
      </c>
      <c r="B342" s="33" t="s">
        <v>1719</v>
      </c>
      <c r="C342" s="3" t="s">
        <v>2060</v>
      </c>
      <c r="D342" s="50" t="s">
        <v>4862</v>
      </c>
      <c r="E342" s="3" t="s">
        <v>128</v>
      </c>
      <c r="F342" s="36" t="s">
        <v>1718</v>
      </c>
      <c r="G342" s="3">
        <v>914244340</v>
      </c>
      <c r="H342" t="str">
        <f>VLOOKUP(D342,DATA_SISTEMA!$A$1:$Q$506,13,FALSE)</f>
        <v>SOTO MARTINEZ N° 158- GC FEDERICO VILLARREAL</v>
      </c>
      <c r="I342" t="str">
        <f>VLOOKUP(D342,DATA_SISTEMA!$A$1:$Q$506,7,FALSE)</f>
        <v>1973-09-06</v>
      </c>
      <c r="J342" s="32" t="s">
        <v>1718</v>
      </c>
      <c r="K342" s="32" t="s">
        <v>1718</v>
      </c>
      <c r="L342" s="32" t="s">
        <v>1718</v>
      </c>
      <c r="M342">
        <v>328</v>
      </c>
      <c r="N342">
        <v>0</v>
      </c>
      <c r="O342" s="32" t="str">
        <f t="shared" si="5"/>
        <v>3410020261X</v>
      </c>
      <c r="P342" s="32" t="s">
        <v>1718</v>
      </c>
      <c r="Q342" s="32" t="s">
        <v>1718</v>
      </c>
      <c r="R342" s="32" t="s">
        <v>2110</v>
      </c>
      <c r="S342" s="32" t="s">
        <v>5034</v>
      </c>
      <c r="T342" t="str">
        <f>VLOOKUP(D342,DATA_SISTEMA!$A$1:$Q$506,9,FALSE)</f>
        <v>F</v>
      </c>
      <c r="U342" s="32" t="s">
        <v>2106</v>
      </c>
      <c r="V342" s="32" t="s">
        <v>1718</v>
      </c>
      <c r="W342" s="37" t="s">
        <v>5028</v>
      </c>
      <c r="X342" s="32" t="s">
        <v>4522</v>
      </c>
      <c r="Y342" s="32" t="s">
        <v>1718</v>
      </c>
      <c r="Z342" s="32" t="s">
        <v>1718</v>
      </c>
      <c r="AA342" s="32" t="s">
        <v>5028</v>
      </c>
      <c r="AB342" s="32" t="s">
        <v>1718</v>
      </c>
      <c r="AC342" s="32" t="s">
        <v>1718</v>
      </c>
      <c r="AD342" s="32" t="s">
        <v>1718</v>
      </c>
      <c r="AE342" s="32" t="s">
        <v>1718</v>
      </c>
      <c r="AF342" s="32" t="s">
        <v>1718</v>
      </c>
      <c r="AG342" s="32" t="s">
        <v>1718</v>
      </c>
      <c r="AH342" s="32" t="s">
        <v>2107</v>
      </c>
      <c r="AI342" s="3" t="s">
        <v>1627</v>
      </c>
      <c r="AJ342" s="3" t="s">
        <v>1061</v>
      </c>
      <c r="AK342" s="3" t="s">
        <v>887</v>
      </c>
      <c r="AL342" s="3">
        <v>16718184</v>
      </c>
      <c r="AM342" t="s">
        <v>1718</v>
      </c>
      <c r="AN342" t="s">
        <v>1718</v>
      </c>
      <c r="AO342" t="s">
        <v>1718</v>
      </c>
      <c r="AP342" t="s">
        <v>1718</v>
      </c>
      <c r="AQ342" t="s">
        <v>1718</v>
      </c>
      <c r="AR342" t="s">
        <v>1718</v>
      </c>
      <c r="AS342" t="s">
        <v>1718</v>
      </c>
      <c r="AT342" t="s">
        <v>1718</v>
      </c>
      <c r="AU342" t="s">
        <v>1718</v>
      </c>
      <c r="AV342" t="str">
        <f>VLOOKUP(D342,DATA_SISTEMA!$A$1:$Q$506,12,FALSE)</f>
        <v>FERREÑAFE</v>
      </c>
      <c r="AW342" t="str">
        <f>VLOOKUP(D342,DATA_SISTEMA!$A$1:$Q$506,11,FALSE)</f>
        <v>FERREÑAFE</v>
      </c>
      <c r="AX342" t="str">
        <f>VLOOKUP(D342,DATA_SISTEMA!$A$1:$Q$506,10,FALSE)</f>
        <v>LAMBAYEQUE</v>
      </c>
      <c r="AY342" t="s">
        <v>1718</v>
      </c>
      <c r="AZ342" t="s">
        <v>5028</v>
      </c>
      <c r="BA342" t="s">
        <v>1718</v>
      </c>
      <c r="BB342" t="s">
        <v>5028</v>
      </c>
      <c r="BC342" t="s">
        <v>1718</v>
      </c>
      <c r="BD342" t="s">
        <v>5028</v>
      </c>
      <c r="BE342" t="s">
        <v>1718</v>
      </c>
      <c r="BF342" s="34" t="s">
        <v>2104</v>
      </c>
      <c r="BG342" s="3">
        <v>62.4</v>
      </c>
    </row>
    <row r="343" spans="1:59" x14ac:dyDescent="0.25">
      <c r="A343" s="4">
        <v>342</v>
      </c>
      <c r="B343" s="33" t="s">
        <v>1719</v>
      </c>
      <c r="C343" s="3" t="s">
        <v>2061</v>
      </c>
      <c r="D343" s="50" t="s">
        <v>4863</v>
      </c>
      <c r="E343" s="3" t="s">
        <v>130</v>
      </c>
      <c r="F343" s="36" t="s">
        <v>1718</v>
      </c>
      <c r="G343" s="3">
        <v>977177076</v>
      </c>
      <c r="H343" t="str">
        <f>VLOOKUP(D343,DATA_SISTEMA!$A$1:$Q$506,13,FALSE)</f>
        <v>AV. TUPAC AMARU 205</v>
      </c>
      <c r="I343" t="str">
        <f>VLOOKUP(D343,DATA_SISTEMA!$A$1:$Q$506,7,FALSE)</f>
        <v>1984-12-11</v>
      </c>
      <c r="J343" s="32" t="s">
        <v>1718</v>
      </c>
      <c r="K343" s="32" t="s">
        <v>1718</v>
      </c>
      <c r="L343" s="32" t="s">
        <v>1718</v>
      </c>
      <c r="M343">
        <v>328</v>
      </c>
      <c r="N343">
        <v>0</v>
      </c>
      <c r="O343" s="32" t="str">
        <f t="shared" si="5"/>
        <v>3420020261X</v>
      </c>
      <c r="P343" s="32" t="s">
        <v>1718</v>
      </c>
      <c r="Q343" s="32" t="s">
        <v>1718</v>
      </c>
      <c r="R343" s="32" t="s">
        <v>2110</v>
      </c>
      <c r="S343" s="32" t="s">
        <v>5034</v>
      </c>
      <c r="T343" t="str">
        <f>VLOOKUP(D343,DATA_SISTEMA!$A$1:$Q$506,9,FALSE)</f>
        <v>M</v>
      </c>
      <c r="U343" s="32" t="s">
        <v>2106</v>
      </c>
      <c r="V343" s="32" t="s">
        <v>1718</v>
      </c>
      <c r="W343" s="37" t="s">
        <v>5028</v>
      </c>
      <c r="X343" s="32" t="s">
        <v>4522</v>
      </c>
      <c r="Y343" s="32" t="s">
        <v>1718</v>
      </c>
      <c r="Z343" s="32" t="s">
        <v>1718</v>
      </c>
      <c r="AA343" s="32" t="s">
        <v>5028</v>
      </c>
      <c r="AB343" s="32" t="s">
        <v>1718</v>
      </c>
      <c r="AC343" s="32" t="s">
        <v>1718</v>
      </c>
      <c r="AD343" s="32" t="s">
        <v>1718</v>
      </c>
      <c r="AE343" s="32" t="s">
        <v>1718</v>
      </c>
      <c r="AF343" s="32" t="s">
        <v>1718</v>
      </c>
      <c r="AG343" s="32" t="s">
        <v>1718</v>
      </c>
      <c r="AH343" s="32" t="s">
        <v>2107</v>
      </c>
      <c r="AI343" s="3" t="s">
        <v>1628</v>
      </c>
      <c r="AJ343" s="3" t="s">
        <v>1267</v>
      </c>
      <c r="AK343" s="3" t="s">
        <v>1154</v>
      </c>
      <c r="AL343" s="3">
        <v>42707881</v>
      </c>
      <c r="AM343" t="s">
        <v>1718</v>
      </c>
      <c r="AN343" t="s">
        <v>1718</v>
      </c>
      <c r="AO343" t="s">
        <v>1718</v>
      </c>
      <c r="AP343" t="s">
        <v>1718</v>
      </c>
      <c r="AQ343" t="s">
        <v>1718</v>
      </c>
      <c r="AR343" t="s">
        <v>1718</v>
      </c>
      <c r="AS343" t="s">
        <v>1718</v>
      </c>
      <c r="AT343" t="s">
        <v>1718</v>
      </c>
      <c r="AU343" t="s">
        <v>1718</v>
      </c>
      <c r="AV343" t="str">
        <f>VLOOKUP(D343,DATA_SISTEMA!$A$1:$Q$506,12,FALSE)</f>
        <v>MORROPE</v>
      </c>
      <c r="AW343" t="str">
        <f>VLOOKUP(D343,DATA_SISTEMA!$A$1:$Q$506,11,FALSE)</f>
        <v>LAMBAYEQUE</v>
      </c>
      <c r="AX343" t="str">
        <f>VLOOKUP(D343,DATA_SISTEMA!$A$1:$Q$506,10,FALSE)</f>
        <v>LAMBAYEQUE</v>
      </c>
      <c r="AY343" t="s">
        <v>1718</v>
      </c>
      <c r="AZ343" t="s">
        <v>5028</v>
      </c>
      <c r="BA343" t="s">
        <v>1718</v>
      </c>
      <c r="BB343" t="s">
        <v>5028</v>
      </c>
      <c r="BC343" t="s">
        <v>1718</v>
      </c>
      <c r="BD343" t="s">
        <v>5028</v>
      </c>
      <c r="BE343" t="s">
        <v>1718</v>
      </c>
      <c r="BF343" s="34" t="s">
        <v>2104</v>
      </c>
      <c r="BG343" s="3">
        <v>61</v>
      </c>
    </row>
    <row r="344" spans="1:59" x14ac:dyDescent="0.25">
      <c r="A344" s="4">
        <v>343</v>
      </c>
      <c r="B344" s="33" t="s">
        <v>1719</v>
      </c>
      <c r="C344" s="3" t="s">
        <v>2062</v>
      </c>
      <c r="D344" s="50" t="s">
        <v>4864</v>
      </c>
      <c r="E344" s="3" t="s">
        <v>132</v>
      </c>
      <c r="F344" s="36" t="s">
        <v>1718</v>
      </c>
      <c r="G344" s="3">
        <v>934195823</v>
      </c>
      <c r="H344" t="str">
        <f>VLOOKUP(D344,DATA_SISTEMA!$A$1:$Q$506,13,FALSE)</f>
        <v>P.J AMPLIACION VICTOR RAUL HAYA DE LA TORRE MZ. C LT. 05 REF. P.J. PARQUE ZONAL</v>
      </c>
      <c r="I344" t="str">
        <f>VLOOKUP(D344,DATA_SISTEMA!$A$1:$Q$506,7,FALSE)</f>
        <v>1997-01-26</v>
      </c>
      <c r="J344" s="32" t="s">
        <v>1718</v>
      </c>
      <c r="K344" s="32" t="s">
        <v>1718</v>
      </c>
      <c r="L344" s="32" t="s">
        <v>1718</v>
      </c>
      <c r="M344">
        <v>328</v>
      </c>
      <c r="N344">
        <v>0</v>
      </c>
      <c r="O344" s="32" t="str">
        <f t="shared" si="5"/>
        <v>3430020261X</v>
      </c>
      <c r="P344" s="32" t="s">
        <v>1718</v>
      </c>
      <c r="Q344" s="32" t="s">
        <v>1718</v>
      </c>
      <c r="R344" s="32" t="s">
        <v>2110</v>
      </c>
      <c r="S344" s="32" t="s">
        <v>5034</v>
      </c>
      <c r="T344" t="str">
        <f>VLOOKUP(D344,DATA_SISTEMA!$A$1:$Q$506,9,FALSE)</f>
        <v>F</v>
      </c>
      <c r="U344" s="32" t="s">
        <v>2106</v>
      </c>
      <c r="V344" s="32" t="s">
        <v>1718</v>
      </c>
      <c r="W344" s="37" t="s">
        <v>5028</v>
      </c>
      <c r="X344" s="32" t="s">
        <v>4522</v>
      </c>
      <c r="Y344" s="32" t="s">
        <v>1718</v>
      </c>
      <c r="Z344" s="32" t="s">
        <v>1718</v>
      </c>
      <c r="AA344" s="32" t="s">
        <v>5028</v>
      </c>
      <c r="AB344" s="32" t="s">
        <v>1718</v>
      </c>
      <c r="AC344" s="32" t="s">
        <v>1718</v>
      </c>
      <c r="AD344" s="32" t="s">
        <v>1718</v>
      </c>
      <c r="AE344" s="32" t="s">
        <v>1718</v>
      </c>
      <c r="AF344" s="32" t="s">
        <v>1718</v>
      </c>
      <c r="AG344" s="32" t="s">
        <v>1718</v>
      </c>
      <c r="AH344" s="32" t="s">
        <v>2107</v>
      </c>
      <c r="AI344" s="3" t="s">
        <v>1629</v>
      </c>
      <c r="AJ344" s="3" t="s">
        <v>1204</v>
      </c>
      <c r="AK344" s="3" t="s">
        <v>1191</v>
      </c>
      <c r="AL344" s="3">
        <v>75475198</v>
      </c>
      <c r="AM344" t="s">
        <v>1718</v>
      </c>
      <c r="AN344" t="s">
        <v>1718</v>
      </c>
      <c r="AO344" t="s">
        <v>1718</v>
      </c>
      <c r="AP344" t="s">
        <v>1718</v>
      </c>
      <c r="AQ344" t="s">
        <v>1718</v>
      </c>
      <c r="AR344" t="s">
        <v>1718</v>
      </c>
      <c r="AS344" t="s">
        <v>1718</v>
      </c>
      <c r="AT344" t="s">
        <v>1718</v>
      </c>
      <c r="AU344" t="s">
        <v>1718</v>
      </c>
      <c r="AV344" t="str">
        <f>VLOOKUP(D344,DATA_SISTEMA!$A$1:$Q$506,12,FALSE)</f>
        <v>LA VICTORIA</v>
      </c>
      <c r="AW344" t="str">
        <f>VLOOKUP(D344,DATA_SISTEMA!$A$1:$Q$506,11,FALSE)</f>
        <v>CHICLAYO</v>
      </c>
      <c r="AX344" t="str">
        <f>VLOOKUP(D344,DATA_SISTEMA!$A$1:$Q$506,10,FALSE)</f>
        <v>LAMBAYEQUE</v>
      </c>
      <c r="AY344" t="s">
        <v>1718</v>
      </c>
      <c r="AZ344" t="s">
        <v>5028</v>
      </c>
      <c r="BA344" t="s">
        <v>1718</v>
      </c>
      <c r="BB344" t="s">
        <v>5028</v>
      </c>
      <c r="BC344" t="s">
        <v>1718</v>
      </c>
      <c r="BD344" t="s">
        <v>5028</v>
      </c>
      <c r="BE344" t="s">
        <v>1718</v>
      </c>
      <c r="BF344" s="34" t="s">
        <v>2104</v>
      </c>
      <c r="BG344" s="3">
        <v>57.8</v>
      </c>
    </row>
    <row r="345" spans="1:59" x14ac:dyDescent="0.25">
      <c r="A345" s="4">
        <v>344</v>
      </c>
      <c r="B345" s="33" t="s">
        <v>1719</v>
      </c>
      <c r="C345" s="28" t="s">
        <v>2063</v>
      </c>
      <c r="D345" s="51" t="s">
        <v>4865</v>
      </c>
      <c r="E345" s="28" t="s">
        <v>768</v>
      </c>
      <c r="F345" s="36" t="s">
        <v>1718</v>
      </c>
      <c r="G345" s="28">
        <v>979109191</v>
      </c>
      <c r="H345" t="str">
        <f>VLOOKUP(D345,DATA_SISTEMA!$A$1:$Q$506,13,FALSE)</f>
        <v>RICARDO PALMA 239, JOSE LEONARDO ORTIZ-CHICLAYO</v>
      </c>
      <c r="I345" t="str">
        <f>VLOOKUP(D345,DATA_SISTEMA!$A$1:$Q$506,7,FALSE)</f>
        <v>1992-10-16</v>
      </c>
      <c r="J345" s="32" t="s">
        <v>1718</v>
      </c>
      <c r="K345" s="32" t="s">
        <v>1718</v>
      </c>
      <c r="L345" s="32" t="s">
        <v>1718</v>
      </c>
      <c r="M345">
        <v>327</v>
      </c>
      <c r="N345">
        <v>0</v>
      </c>
      <c r="O345" s="32" t="str">
        <f t="shared" si="5"/>
        <v>3440020261X</v>
      </c>
      <c r="P345" s="32" t="s">
        <v>1718</v>
      </c>
      <c r="Q345" s="32" t="s">
        <v>1718</v>
      </c>
      <c r="R345" s="32" t="s">
        <v>2110</v>
      </c>
      <c r="S345" s="32" t="s">
        <v>5034</v>
      </c>
      <c r="T345" t="str">
        <f>VLOOKUP(D345,DATA_SISTEMA!$A$1:$Q$506,9,FALSE)</f>
        <v>F</v>
      </c>
      <c r="U345" s="32" t="s">
        <v>2106</v>
      </c>
      <c r="V345" s="32" t="s">
        <v>1718</v>
      </c>
      <c r="W345" s="37" t="s">
        <v>5028</v>
      </c>
      <c r="X345" s="32" t="s">
        <v>4522</v>
      </c>
      <c r="Y345" s="32" t="s">
        <v>1718</v>
      </c>
      <c r="Z345" s="32" t="s">
        <v>1718</v>
      </c>
      <c r="AA345" s="32" t="s">
        <v>5028</v>
      </c>
      <c r="AB345" s="32" t="s">
        <v>1718</v>
      </c>
      <c r="AC345" s="32" t="s">
        <v>1718</v>
      </c>
      <c r="AD345" s="32" t="s">
        <v>1718</v>
      </c>
      <c r="AE345" s="32" t="s">
        <v>1718</v>
      </c>
      <c r="AF345" s="32" t="s">
        <v>1718</v>
      </c>
      <c r="AG345" s="32" t="s">
        <v>1718</v>
      </c>
      <c r="AH345" s="32" t="s">
        <v>2107</v>
      </c>
      <c r="AI345" s="28" t="s">
        <v>1630</v>
      </c>
      <c r="AJ345" s="28" t="s">
        <v>869</v>
      </c>
      <c r="AK345" s="28" t="s">
        <v>870</v>
      </c>
      <c r="AL345" s="28">
        <v>45810268</v>
      </c>
      <c r="AM345" t="s">
        <v>1718</v>
      </c>
      <c r="AN345" t="s">
        <v>1718</v>
      </c>
      <c r="AO345" t="s">
        <v>1718</v>
      </c>
      <c r="AP345" t="s">
        <v>1718</v>
      </c>
      <c r="AQ345" t="s">
        <v>1718</v>
      </c>
      <c r="AR345" t="s">
        <v>1718</v>
      </c>
      <c r="AS345" t="s">
        <v>1718</v>
      </c>
      <c r="AT345" t="s">
        <v>1718</v>
      </c>
      <c r="AU345" t="s">
        <v>1718</v>
      </c>
      <c r="AV345" t="str">
        <f>VLOOKUP(D345,DATA_SISTEMA!$A$1:$Q$506,12,FALSE)</f>
        <v>JOSE LEONARDO ORTIZ</v>
      </c>
      <c r="AW345" t="str">
        <f>VLOOKUP(D345,DATA_SISTEMA!$A$1:$Q$506,11,FALSE)</f>
        <v>CHICLAYO</v>
      </c>
      <c r="AX345" t="str">
        <f>VLOOKUP(D345,DATA_SISTEMA!$A$1:$Q$506,10,FALSE)</f>
        <v>LAMBAYEQUE</v>
      </c>
      <c r="AY345" t="s">
        <v>1718</v>
      </c>
      <c r="AZ345" t="s">
        <v>5028</v>
      </c>
      <c r="BA345" t="s">
        <v>1718</v>
      </c>
      <c r="BB345" t="s">
        <v>5028</v>
      </c>
      <c r="BC345" t="s">
        <v>1718</v>
      </c>
      <c r="BD345" t="s">
        <v>5028</v>
      </c>
      <c r="BE345" t="s">
        <v>1718</v>
      </c>
      <c r="BF345" s="34" t="s">
        <v>2104</v>
      </c>
      <c r="BG345" s="28">
        <v>83</v>
      </c>
    </row>
    <row r="346" spans="1:59" x14ac:dyDescent="0.25">
      <c r="A346" s="4">
        <v>345</v>
      </c>
      <c r="B346" s="33" t="s">
        <v>1719</v>
      </c>
      <c r="C346" s="28" t="s">
        <v>2064</v>
      </c>
      <c r="D346" s="51" t="s">
        <v>4866</v>
      </c>
      <c r="E346" s="28" t="s">
        <v>771</v>
      </c>
      <c r="F346" s="36" t="s">
        <v>1718</v>
      </c>
      <c r="G346" s="28">
        <v>954693044</v>
      </c>
      <c r="H346" t="str">
        <f>VLOOKUP(D346,DATA_SISTEMA!$A$1:$Q$506,13,FALSE)</f>
        <v>CASERIO PAJURILLO</v>
      </c>
      <c r="I346" t="str">
        <f>VLOOKUP(D346,DATA_SISTEMA!$A$1:$Q$506,7,FALSE)</f>
        <v>1992-09-22</v>
      </c>
      <c r="J346" s="32" t="s">
        <v>1718</v>
      </c>
      <c r="K346" s="32" t="s">
        <v>1718</v>
      </c>
      <c r="L346" s="32" t="s">
        <v>1718</v>
      </c>
      <c r="M346">
        <v>327</v>
      </c>
      <c r="N346">
        <v>0</v>
      </c>
      <c r="O346" s="32" t="str">
        <f t="shared" si="5"/>
        <v>3450020261X</v>
      </c>
      <c r="P346" s="32" t="s">
        <v>1718</v>
      </c>
      <c r="Q346" s="32" t="s">
        <v>1718</v>
      </c>
      <c r="R346" s="32" t="s">
        <v>2110</v>
      </c>
      <c r="S346" s="32" t="s">
        <v>5034</v>
      </c>
      <c r="T346" t="str">
        <f>VLOOKUP(D346,DATA_SISTEMA!$A$1:$Q$506,9,FALSE)</f>
        <v>M</v>
      </c>
      <c r="U346" s="32" t="s">
        <v>2106</v>
      </c>
      <c r="V346" s="32" t="s">
        <v>1718</v>
      </c>
      <c r="W346" s="37" t="s">
        <v>5028</v>
      </c>
      <c r="X346" s="32" t="s">
        <v>4522</v>
      </c>
      <c r="Y346" s="32" t="s">
        <v>1718</v>
      </c>
      <c r="Z346" s="32" t="s">
        <v>1718</v>
      </c>
      <c r="AA346" s="32" t="s">
        <v>5028</v>
      </c>
      <c r="AB346" s="32" t="s">
        <v>1718</v>
      </c>
      <c r="AC346" s="32" t="s">
        <v>1718</v>
      </c>
      <c r="AD346" s="32" t="s">
        <v>1718</v>
      </c>
      <c r="AE346" s="32" t="s">
        <v>1718</v>
      </c>
      <c r="AF346" s="32" t="s">
        <v>1718</v>
      </c>
      <c r="AG346" s="32" t="s">
        <v>1718</v>
      </c>
      <c r="AH346" s="32" t="s">
        <v>2107</v>
      </c>
      <c r="AI346" s="28" t="s">
        <v>1631</v>
      </c>
      <c r="AJ346" s="28" t="s">
        <v>901</v>
      </c>
      <c r="AK346" s="28" t="s">
        <v>859</v>
      </c>
      <c r="AL346" s="28">
        <v>47373478</v>
      </c>
      <c r="AM346" t="s">
        <v>1718</v>
      </c>
      <c r="AN346" t="s">
        <v>1718</v>
      </c>
      <c r="AO346" t="s">
        <v>1718</v>
      </c>
      <c r="AP346" t="s">
        <v>1718</v>
      </c>
      <c r="AQ346" t="s">
        <v>1718</v>
      </c>
      <c r="AR346" t="s">
        <v>1718</v>
      </c>
      <c r="AS346" t="s">
        <v>1718</v>
      </c>
      <c r="AT346" t="s">
        <v>1718</v>
      </c>
      <c r="AU346" t="s">
        <v>1718</v>
      </c>
      <c r="AV346" t="str">
        <f>VLOOKUP(D346,DATA_SISTEMA!$A$1:$Q$506,12,FALSE)</f>
        <v>QUEROCOTILLO</v>
      </c>
      <c r="AW346" t="str">
        <f>VLOOKUP(D346,DATA_SISTEMA!$A$1:$Q$506,11,FALSE)</f>
        <v>CUTERVO</v>
      </c>
      <c r="AX346" t="str">
        <f>VLOOKUP(D346,DATA_SISTEMA!$A$1:$Q$506,10,FALSE)</f>
        <v>CAJAMARCA</v>
      </c>
      <c r="AY346" t="s">
        <v>1718</v>
      </c>
      <c r="AZ346" t="s">
        <v>5028</v>
      </c>
      <c r="BA346" t="s">
        <v>1718</v>
      </c>
      <c r="BB346" t="s">
        <v>5028</v>
      </c>
      <c r="BC346" t="s">
        <v>1718</v>
      </c>
      <c r="BD346" t="s">
        <v>5028</v>
      </c>
      <c r="BE346" t="s">
        <v>1718</v>
      </c>
      <c r="BF346" s="34" t="s">
        <v>2104</v>
      </c>
      <c r="BG346" s="28">
        <v>80.3</v>
      </c>
    </row>
    <row r="347" spans="1:59" x14ac:dyDescent="0.25">
      <c r="A347" s="4">
        <v>346</v>
      </c>
      <c r="B347" s="33" t="s">
        <v>1719</v>
      </c>
      <c r="C347" s="28" t="s">
        <v>2065</v>
      </c>
      <c r="D347" s="51" t="s">
        <v>4867</v>
      </c>
      <c r="E347" s="28" t="s">
        <v>773</v>
      </c>
      <c r="F347" s="36" t="s">
        <v>1718</v>
      </c>
      <c r="G347" s="28">
        <v>923026775</v>
      </c>
      <c r="H347" t="str">
        <f>VLOOKUP(D347,DATA_SISTEMA!$A$1:$Q$506,13,FALSE)</f>
        <v>SOL DE PIMENTEL MZ C LT. 18 / GALILEA-PIMENTEL</v>
      </c>
      <c r="I347" t="str">
        <f>VLOOKUP(D347,DATA_SISTEMA!$A$1:$Q$506,7,FALSE)</f>
        <v>1988-01-19</v>
      </c>
      <c r="J347" s="32" t="s">
        <v>1718</v>
      </c>
      <c r="K347" s="32" t="s">
        <v>1718</v>
      </c>
      <c r="L347" s="32" t="s">
        <v>1718</v>
      </c>
      <c r="M347">
        <v>327</v>
      </c>
      <c r="N347">
        <v>0</v>
      </c>
      <c r="O347" s="32" t="str">
        <f t="shared" si="5"/>
        <v>3460020261X</v>
      </c>
      <c r="P347" s="32" t="s">
        <v>1718</v>
      </c>
      <c r="Q347" s="32" t="s">
        <v>1718</v>
      </c>
      <c r="R347" s="32" t="s">
        <v>2110</v>
      </c>
      <c r="S347" s="32" t="s">
        <v>5034</v>
      </c>
      <c r="T347" t="str">
        <f>VLOOKUP(D347,DATA_SISTEMA!$A$1:$Q$506,9,FALSE)</f>
        <v>M</v>
      </c>
      <c r="U347" s="32" t="s">
        <v>2106</v>
      </c>
      <c r="V347" s="32" t="s">
        <v>1718</v>
      </c>
      <c r="W347" s="37" t="s">
        <v>5028</v>
      </c>
      <c r="X347" s="32" t="s">
        <v>4522</v>
      </c>
      <c r="Y347" s="32" t="s">
        <v>1718</v>
      </c>
      <c r="Z347" s="32" t="s">
        <v>1718</v>
      </c>
      <c r="AA347" s="32" t="s">
        <v>5028</v>
      </c>
      <c r="AB347" s="32" t="s">
        <v>1718</v>
      </c>
      <c r="AC347" s="32" t="s">
        <v>1718</v>
      </c>
      <c r="AD347" s="32" t="s">
        <v>1718</v>
      </c>
      <c r="AE347" s="32" t="s">
        <v>1718</v>
      </c>
      <c r="AF347" s="32" t="s">
        <v>1718</v>
      </c>
      <c r="AG347" s="32" t="s">
        <v>1718</v>
      </c>
      <c r="AH347" s="32" t="s">
        <v>2107</v>
      </c>
      <c r="AI347" s="28" t="s">
        <v>1374</v>
      </c>
      <c r="AJ347" s="28" t="s">
        <v>1268</v>
      </c>
      <c r="AK347" s="28" t="s">
        <v>1269</v>
      </c>
      <c r="AL347" s="28">
        <v>44842913</v>
      </c>
      <c r="AM347" t="s">
        <v>1718</v>
      </c>
      <c r="AN347" t="s">
        <v>1718</v>
      </c>
      <c r="AO347" t="s">
        <v>1718</v>
      </c>
      <c r="AP347" t="s">
        <v>1718</v>
      </c>
      <c r="AQ347" t="s">
        <v>1718</v>
      </c>
      <c r="AR347" t="s">
        <v>1718</v>
      </c>
      <c r="AS347" t="s">
        <v>1718</v>
      </c>
      <c r="AT347" t="s">
        <v>1718</v>
      </c>
      <c r="AU347" t="s">
        <v>1718</v>
      </c>
      <c r="AV347" t="str">
        <f>VLOOKUP(D347,DATA_SISTEMA!$A$1:$Q$506,12,FALSE)</f>
        <v>PIMENTEL</v>
      </c>
      <c r="AW347" t="str">
        <f>VLOOKUP(D347,DATA_SISTEMA!$A$1:$Q$506,11,FALSE)</f>
        <v>CHICLAYO</v>
      </c>
      <c r="AX347" t="str">
        <f>VLOOKUP(D347,DATA_SISTEMA!$A$1:$Q$506,10,FALSE)</f>
        <v>LAMBAYEQUE</v>
      </c>
      <c r="AY347" t="s">
        <v>1718</v>
      </c>
      <c r="AZ347" t="s">
        <v>5028</v>
      </c>
      <c r="BA347" t="s">
        <v>1718</v>
      </c>
      <c r="BB347" t="s">
        <v>5028</v>
      </c>
      <c r="BC347" t="s">
        <v>1718</v>
      </c>
      <c r="BD347" t="s">
        <v>5028</v>
      </c>
      <c r="BE347" t="s">
        <v>1718</v>
      </c>
      <c r="BF347" s="34" t="s">
        <v>2104</v>
      </c>
      <c r="BG347" s="28">
        <v>79.599999999999994</v>
      </c>
    </row>
    <row r="348" spans="1:59" x14ac:dyDescent="0.25">
      <c r="A348" s="4">
        <v>347</v>
      </c>
      <c r="B348" s="33" t="s">
        <v>1719</v>
      </c>
      <c r="C348" s="28" t="s">
        <v>2066</v>
      </c>
      <c r="D348" s="51" t="s">
        <v>4868</v>
      </c>
      <c r="E348" s="28" t="s">
        <v>775</v>
      </c>
      <c r="F348" s="36" t="s">
        <v>1718</v>
      </c>
      <c r="G348" s="28">
        <v>925812685</v>
      </c>
      <c r="H348" t="str">
        <f>VLOOKUP(D348,DATA_SISTEMA!$A$1:$Q$506,13,FALSE)</f>
        <v>CALLE TUPAC AMARU 18</v>
      </c>
      <c r="I348" t="str">
        <f>VLOOKUP(D348,DATA_SISTEMA!$A$1:$Q$506,7,FALSE)</f>
        <v>1978-01-09</v>
      </c>
      <c r="J348" s="32" t="s">
        <v>1718</v>
      </c>
      <c r="K348" s="32" t="s">
        <v>1718</v>
      </c>
      <c r="L348" s="32" t="s">
        <v>1718</v>
      </c>
      <c r="M348">
        <v>327</v>
      </c>
      <c r="N348">
        <v>0</v>
      </c>
      <c r="O348" s="32" t="str">
        <f t="shared" si="5"/>
        <v>3470020261X</v>
      </c>
      <c r="P348" s="32" t="s">
        <v>1718</v>
      </c>
      <c r="Q348" s="32" t="s">
        <v>1718</v>
      </c>
      <c r="R348" s="32" t="s">
        <v>2110</v>
      </c>
      <c r="S348" s="32" t="s">
        <v>5034</v>
      </c>
      <c r="T348" t="str">
        <f>VLOOKUP(D348,DATA_SISTEMA!$A$1:$Q$506,9,FALSE)</f>
        <v>M</v>
      </c>
      <c r="U348" s="32" t="s">
        <v>2106</v>
      </c>
      <c r="V348" s="32" t="s">
        <v>1718</v>
      </c>
      <c r="W348" s="37" t="s">
        <v>5028</v>
      </c>
      <c r="X348" s="32" t="s">
        <v>4522</v>
      </c>
      <c r="Y348" s="32" t="s">
        <v>1718</v>
      </c>
      <c r="Z348" s="32" t="s">
        <v>1718</v>
      </c>
      <c r="AA348" s="32" t="s">
        <v>5028</v>
      </c>
      <c r="AB348" s="32" t="s">
        <v>1718</v>
      </c>
      <c r="AC348" s="32" t="s">
        <v>1718</v>
      </c>
      <c r="AD348" s="32" t="s">
        <v>1718</v>
      </c>
      <c r="AE348" s="32" t="s">
        <v>1718</v>
      </c>
      <c r="AF348" s="32" t="s">
        <v>1718</v>
      </c>
      <c r="AG348" s="32" t="s">
        <v>1718</v>
      </c>
      <c r="AH348" s="32" t="s">
        <v>2107</v>
      </c>
      <c r="AI348" s="28" t="s">
        <v>1632</v>
      </c>
      <c r="AJ348" s="28" t="s">
        <v>1270</v>
      </c>
      <c r="AK348" s="28" t="s">
        <v>980</v>
      </c>
      <c r="AL348" s="28">
        <v>40021177</v>
      </c>
      <c r="AM348" t="s">
        <v>1718</v>
      </c>
      <c r="AN348" t="s">
        <v>1718</v>
      </c>
      <c r="AO348" t="s">
        <v>1718</v>
      </c>
      <c r="AP348" t="s">
        <v>1718</v>
      </c>
      <c r="AQ348" t="s">
        <v>1718</v>
      </c>
      <c r="AR348" t="s">
        <v>1718</v>
      </c>
      <c r="AS348" t="s">
        <v>1718</v>
      </c>
      <c r="AT348" t="s">
        <v>1718</v>
      </c>
      <c r="AU348" t="s">
        <v>1718</v>
      </c>
      <c r="AV348" t="str">
        <f>VLOOKUP(D348,DATA_SISTEMA!$A$1:$Q$506,12,FALSE)</f>
        <v>PATAPO</v>
      </c>
      <c r="AW348" t="str">
        <f>VLOOKUP(D348,DATA_SISTEMA!$A$1:$Q$506,11,FALSE)</f>
        <v>CHICLAYO</v>
      </c>
      <c r="AX348" t="str">
        <f>VLOOKUP(D348,DATA_SISTEMA!$A$1:$Q$506,10,FALSE)</f>
        <v>LAMBAYEQUE</v>
      </c>
      <c r="AY348" t="s">
        <v>1718</v>
      </c>
      <c r="AZ348" t="s">
        <v>5028</v>
      </c>
      <c r="BA348" t="s">
        <v>1718</v>
      </c>
      <c r="BB348" t="s">
        <v>5028</v>
      </c>
      <c r="BC348" t="s">
        <v>1718</v>
      </c>
      <c r="BD348" t="s">
        <v>5028</v>
      </c>
      <c r="BE348" t="s">
        <v>1718</v>
      </c>
      <c r="BF348" s="34" t="s">
        <v>2104</v>
      </c>
      <c r="BG348" s="28">
        <v>78.5</v>
      </c>
    </row>
    <row r="349" spans="1:59" x14ac:dyDescent="0.25">
      <c r="A349" s="4">
        <v>348</v>
      </c>
      <c r="B349" s="33" t="s">
        <v>1719</v>
      </c>
      <c r="C349" s="28" t="s">
        <v>2067</v>
      </c>
      <c r="D349" s="51" t="s">
        <v>4869</v>
      </c>
      <c r="E349" s="28" t="s">
        <v>778</v>
      </c>
      <c r="F349" s="36" t="s">
        <v>1718</v>
      </c>
      <c r="G349" s="28">
        <v>969268674</v>
      </c>
      <c r="H349" t="str">
        <f>VLOOKUP(D349,DATA_SISTEMA!$A$1:$Q$506,13,FALSE)</f>
        <v>URB. AVIFAP- MAZ. C LOTE 6 II- ETAPA PIURA</v>
      </c>
      <c r="I349" t="str">
        <f>VLOOKUP(D349,DATA_SISTEMA!$A$1:$Q$506,7,FALSE)</f>
        <v>1965-01-02</v>
      </c>
      <c r="J349" s="32" t="s">
        <v>1718</v>
      </c>
      <c r="K349" s="32" t="s">
        <v>1718</v>
      </c>
      <c r="L349" s="32" t="s">
        <v>1718</v>
      </c>
      <c r="M349">
        <v>327</v>
      </c>
      <c r="N349">
        <v>0</v>
      </c>
      <c r="O349" s="32" t="str">
        <f t="shared" si="5"/>
        <v>3480020261X</v>
      </c>
      <c r="P349" s="32" t="s">
        <v>1718</v>
      </c>
      <c r="Q349" s="32" t="s">
        <v>1718</v>
      </c>
      <c r="R349" s="32" t="s">
        <v>2110</v>
      </c>
      <c r="S349" s="32" t="s">
        <v>5034</v>
      </c>
      <c r="T349" t="str">
        <f>VLOOKUP(D349,DATA_SISTEMA!$A$1:$Q$506,9,FALSE)</f>
        <v>M</v>
      </c>
      <c r="U349" s="32" t="s">
        <v>2106</v>
      </c>
      <c r="V349" s="32" t="s">
        <v>1718</v>
      </c>
      <c r="W349" s="37" t="s">
        <v>5028</v>
      </c>
      <c r="X349" s="32" t="s">
        <v>4522</v>
      </c>
      <c r="Y349" s="32" t="s">
        <v>1718</v>
      </c>
      <c r="Z349" s="32" t="s">
        <v>1718</v>
      </c>
      <c r="AA349" s="32" t="s">
        <v>5028</v>
      </c>
      <c r="AB349" s="32" t="s">
        <v>1718</v>
      </c>
      <c r="AC349" s="32" t="s">
        <v>1718</v>
      </c>
      <c r="AD349" s="32" t="s">
        <v>1718</v>
      </c>
      <c r="AE349" s="32" t="s">
        <v>1718</v>
      </c>
      <c r="AF349" s="32" t="s">
        <v>1718</v>
      </c>
      <c r="AG349" s="32" t="s">
        <v>1718</v>
      </c>
      <c r="AH349" s="32" t="s">
        <v>2107</v>
      </c>
      <c r="AI349" s="28" t="s">
        <v>1390</v>
      </c>
      <c r="AJ349" s="28" t="s">
        <v>1271</v>
      </c>
      <c r="AK349" s="28" t="s">
        <v>1272</v>
      </c>
      <c r="AL349" s="28" t="s">
        <v>776</v>
      </c>
      <c r="AM349" t="s">
        <v>1718</v>
      </c>
      <c r="AN349" t="s">
        <v>1718</v>
      </c>
      <c r="AO349" t="s">
        <v>1718</v>
      </c>
      <c r="AP349" t="s">
        <v>1718</v>
      </c>
      <c r="AQ349" t="s">
        <v>1718</v>
      </c>
      <c r="AR349" t="s">
        <v>1718</v>
      </c>
      <c r="AS349" t="s">
        <v>1718</v>
      </c>
      <c r="AT349" t="s">
        <v>1718</v>
      </c>
      <c r="AU349" t="s">
        <v>1718</v>
      </c>
      <c r="AV349" t="str">
        <f>VLOOKUP(D349,DATA_SISTEMA!$A$1:$Q$506,12,FALSE)</f>
        <v>PIURA</v>
      </c>
      <c r="AW349" t="str">
        <f>VLOOKUP(D349,DATA_SISTEMA!$A$1:$Q$506,11,FALSE)</f>
        <v>PIURA</v>
      </c>
      <c r="AX349" t="str">
        <f>VLOOKUP(D349,DATA_SISTEMA!$A$1:$Q$506,10,FALSE)</f>
        <v>PIURA</v>
      </c>
      <c r="AY349" t="s">
        <v>1718</v>
      </c>
      <c r="AZ349" t="s">
        <v>5028</v>
      </c>
      <c r="BA349" t="s">
        <v>1718</v>
      </c>
      <c r="BB349" t="s">
        <v>5028</v>
      </c>
      <c r="BC349" t="s">
        <v>1718</v>
      </c>
      <c r="BD349" t="s">
        <v>5028</v>
      </c>
      <c r="BE349" t="s">
        <v>1718</v>
      </c>
      <c r="BF349" s="34" t="s">
        <v>2104</v>
      </c>
      <c r="BG349" s="28">
        <v>78.2</v>
      </c>
    </row>
    <row r="350" spans="1:59" x14ac:dyDescent="0.25">
      <c r="A350" s="4">
        <v>349</v>
      </c>
      <c r="B350" s="33" t="s">
        <v>1719</v>
      </c>
      <c r="C350" s="28" t="s">
        <v>2068</v>
      </c>
      <c r="D350" s="51" t="s">
        <v>4870</v>
      </c>
      <c r="E350" s="28" t="s">
        <v>780</v>
      </c>
      <c r="F350" s="36" t="s">
        <v>1718</v>
      </c>
      <c r="G350" s="28">
        <v>979066416</v>
      </c>
      <c r="H350" t="str">
        <f>VLOOKUP(D350,DATA_SISTEMA!$A$1:$Q$506,13,FALSE)</f>
        <v>CALLE EL AYLLU 575 - LA VICTORIA-CHICLAYO - LAMBAYEQUE</v>
      </c>
      <c r="I350" t="str">
        <f>VLOOKUP(D350,DATA_SISTEMA!$A$1:$Q$506,7,FALSE)</f>
        <v>1986-12-14</v>
      </c>
      <c r="J350" s="32" t="s">
        <v>1718</v>
      </c>
      <c r="K350" s="32" t="s">
        <v>1718</v>
      </c>
      <c r="L350" s="32" t="s">
        <v>1718</v>
      </c>
      <c r="M350">
        <v>327</v>
      </c>
      <c r="N350">
        <v>0</v>
      </c>
      <c r="O350" s="32" t="str">
        <f t="shared" si="5"/>
        <v>3490020261X</v>
      </c>
      <c r="P350" s="32" t="s">
        <v>1718</v>
      </c>
      <c r="Q350" s="32" t="s">
        <v>1718</v>
      </c>
      <c r="R350" s="32" t="s">
        <v>2110</v>
      </c>
      <c r="S350" s="32" t="s">
        <v>5034</v>
      </c>
      <c r="T350" t="str">
        <f>VLOOKUP(D350,DATA_SISTEMA!$A$1:$Q$506,9,FALSE)</f>
        <v>M</v>
      </c>
      <c r="U350" s="32" t="s">
        <v>2106</v>
      </c>
      <c r="V350" s="32" t="s">
        <v>1718</v>
      </c>
      <c r="W350" s="37" t="s">
        <v>5028</v>
      </c>
      <c r="X350" s="32" t="s">
        <v>4522</v>
      </c>
      <c r="Y350" s="32" t="s">
        <v>1718</v>
      </c>
      <c r="Z350" s="32" t="s">
        <v>1718</v>
      </c>
      <c r="AA350" s="32" t="s">
        <v>5028</v>
      </c>
      <c r="AB350" s="32" t="s">
        <v>1718</v>
      </c>
      <c r="AC350" s="32" t="s">
        <v>1718</v>
      </c>
      <c r="AD350" s="32" t="s">
        <v>1718</v>
      </c>
      <c r="AE350" s="32" t="s">
        <v>1718</v>
      </c>
      <c r="AF350" s="32" t="s">
        <v>1718</v>
      </c>
      <c r="AG350" s="32" t="s">
        <v>1718</v>
      </c>
      <c r="AH350" s="32" t="s">
        <v>2107</v>
      </c>
      <c r="AI350" s="28" t="s">
        <v>1633</v>
      </c>
      <c r="AJ350" s="28" t="s">
        <v>984</v>
      </c>
      <c r="AK350" s="28" t="s">
        <v>987</v>
      </c>
      <c r="AL350" s="28">
        <v>44249936</v>
      </c>
      <c r="AM350" t="s">
        <v>1718</v>
      </c>
      <c r="AN350" t="s">
        <v>1718</v>
      </c>
      <c r="AO350" t="s">
        <v>1718</v>
      </c>
      <c r="AP350" t="s">
        <v>1718</v>
      </c>
      <c r="AQ350" t="s">
        <v>1718</v>
      </c>
      <c r="AR350" t="s">
        <v>1718</v>
      </c>
      <c r="AS350" t="s">
        <v>1718</v>
      </c>
      <c r="AT350" t="s">
        <v>1718</v>
      </c>
      <c r="AU350" t="s">
        <v>1718</v>
      </c>
      <c r="AV350" t="str">
        <f>VLOOKUP(D350,DATA_SISTEMA!$A$1:$Q$506,12,FALSE)</f>
        <v>LA VICTORIA</v>
      </c>
      <c r="AW350" t="str">
        <f>VLOOKUP(D350,DATA_SISTEMA!$A$1:$Q$506,11,FALSE)</f>
        <v>CHICLAYO</v>
      </c>
      <c r="AX350" t="str">
        <f>VLOOKUP(D350,DATA_SISTEMA!$A$1:$Q$506,10,FALSE)</f>
        <v>LAMBAYEQUE</v>
      </c>
      <c r="AY350" t="s">
        <v>1718</v>
      </c>
      <c r="AZ350" t="s">
        <v>5028</v>
      </c>
      <c r="BA350" t="s">
        <v>1718</v>
      </c>
      <c r="BB350" t="s">
        <v>5028</v>
      </c>
      <c r="BC350" t="s">
        <v>1718</v>
      </c>
      <c r="BD350" t="s">
        <v>5028</v>
      </c>
      <c r="BE350" t="s">
        <v>1718</v>
      </c>
      <c r="BF350" s="34" t="s">
        <v>2104</v>
      </c>
      <c r="BG350" s="28">
        <v>77.5</v>
      </c>
    </row>
    <row r="351" spans="1:59" x14ac:dyDescent="0.25">
      <c r="A351" s="4">
        <v>350</v>
      </c>
      <c r="B351" s="33" t="s">
        <v>1719</v>
      </c>
      <c r="C351" s="28" t="s">
        <v>2069</v>
      </c>
      <c r="D351" s="51" t="s">
        <v>4871</v>
      </c>
      <c r="E351" s="28" t="s">
        <v>782</v>
      </c>
      <c r="F351" s="36" t="s">
        <v>1718</v>
      </c>
      <c r="G351" s="28">
        <v>940990391</v>
      </c>
      <c r="H351" t="str">
        <f>VLOOKUP(D351,DATA_SISTEMA!$A$1:$Q$506,13,FALSE)</f>
        <v>SANTA ROSA CDRA 12</v>
      </c>
      <c r="I351" t="str">
        <f>VLOOKUP(D351,DATA_SISTEMA!$A$1:$Q$506,7,FALSE)</f>
        <v>1990-01-03</v>
      </c>
      <c r="J351" s="32" t="s">
        <v>1718</v>
      </c>
      <c r="K351" s="32" t="s">
        <v>1718</v>
      </c>
      <c r="L351" s="32" t="s">
        <v>1718</v>
      </c>
      <c r="M351">
        <v>327</v>
      </c>
      <c r="N351">
        <v>0</v>
      </c>
      <c r="O351" s="32" t="str">
        <f t="shared" si="5"/>
        <v>3500020261X</v>
      </c>
      <c r="P351" s="32" t="s">
        <v>1718</v>
      </c>
      <c r="Q351" s="32" t="s">
        <v>1718</v>
      </c>
      <c r="R351" s="32" t="s">
        <v>2110</v>
      </c>
      <c r="S351" s="32" t="s">
        <v>5034</v>
      </c>
      <c r="T351" t="str">
        <f>VLOOKUP(D351,DATA_SISTEMA!$A$1:$Q$506,9,FALSE)</f>
        <v>M</v>
      </c>
      <c r="U351" s="32" t="s">
        <v>2106</v>
      </c>
      <c r="V351" s="32" t="s">
        <v>1718</v>
      </c>
      <c r="W351" s="37" t="s">
        <v>5028</v>
      </c>
      <c r="X351" s="32" t="s">
        <v>4522</v>
      </c>
      <c r="Y351" s="32" t="s">
        <v>1718</v>
      </c>
      <c r="Z351" s="32" t="s">
        <v>1718</v>
      </c>
      <c r="AA351" s="32" t="s">
        <v>5028</v>
      </c>
      <c r="AB351" s="32" t="s">
        <v>1718</v>
      </c>
      <c r="AC351" s="32" t="s">
        <v>1718</v>
      </c>
      <c r="AD351" s="32" t="s">
        <v>1718</v>
      </c>
      <c r="AE351" s="32" t="s">
        <v>1718</v>
      </c>
      <c r="AF351" s="32" t="s">
        <v>1718</v>
      </c>
      <c r="AG351" s="32" t="s">
        <v>1718</v>
      </c>
      <c r="AH351" s="32" t="s">
        <v>2107</v>
      </c>
      <c r="AI351" s="28" t="s">
        <v>1634</v>
      </c>
      <c r="AJ351" s="28" t="s">
        <v>858</v>
      </c>
      <c r="AK351" s="28" t="s">
        <v>1273</v>
      </c>
      <c r="AL351" s="28">
        <v>46558332</v>
      </c>
      <c r="AM351" t="s">
        <v>1718</v>
      </c>
      <c r="AN351" t="s">
        <v>1718</v>
      </c>
      <c r="AO351" t="s">
        <v>1718</v>
      </c>
      <c r="AP351" t="s">
        <v>1718</v>
      </c>
      <c r="AQ351" t="s">
        <v>1718</v>
      </c>
      <c r="AR351" t="s">
        <v>1718</v>
      </c>
      <c r="AS351" t="s">
        <v>1718</v>
      </c>
      <c r="AT351" t="s">
        <v>1718</v>
      </c>
      <c r="AU351" t="s">
        <v>1718</v>
      </c>
      <c r="AV351" t="str">
        <f>VLOOKUP(D351,DATA_SISTEMA!$A$1:$Q$506,12,FALSE)</f>
        <v>CUTERVO</v>
      </c>
      <c r="AW351" t="str">
        <f>VLOOKUP(D351,DATA_SISTEMA!$A$1:$Q$506,11,FALSE)</f>
        <v>CUTERVO</v>
      </c>
      <c r="AX351" t="str">
        <f>VLOOKUP(D351,DATA_SISTEMA!$A$1:$Q$506,10,FALSE)</f>
        <v>CAJAMARCA</v>
      </c>
      <c r="AY351" t="s">
        <v>1718</v>
      </c>
      <c r="AZ351" t="s">
        <v>5028</v>
      </c>
      <c r="BA351" t="s">
        <v>1718</v>
      </c>
      <c r="BB351" t="s">
        <v>5028</v>
      </c>
      <c r="BC351" t="s">
        <v>1718</v>
      </c>
      <c r="BD351" t="s">
        <v>5028</v>
      </c>
      <c r="BE351" t="s">
        <v>1718</v>
      </c>
      <c r="BF351" s="34" t="s">
        <v>2104</v>
      </c>
      <c r="BG351" s="28">
        <v>76.599999999999994</v>
      </c>
    </row>
    <row r="352" spans="1:59" x14ac:dyDescent="0.25">
      <c r="A352" s="4">
        <v>351</v>
      </c>
      <c r="B352" s="33" t="s">
        <v>1719</v>
      </c>
      <c r="C352" s="28" t="s">
        <v>2070</v>
      </c>
      <c r="D352" s="51" t="s">
        <v>4872</v>
      </c>
      <c r="E352" s="28" t="s">
        <v>784</v>
      </c>
      <c r="F352" s="36" t="s">
        <v>1718</v>
      </c>
      <c r="G352" s="28">
        <v>948721925</v>
      </c>
      <c r="H352" t="str">
        <f>VLOOKUP(D352,DATA_SISTEMA!$A$1:$Q$506,13,FALSE)</f>
        <v>ANEXO CAFETAL</v>
      </c>
      <c r="I352" t="str">
        <f>VLOOKUP(D352,DATA_SISTEMA!$A$1:$Q$506,7,FALSE)</f>
        <v>1995-10-02</v>
      </c>
      <c r="J352" s="32" t="s">
        <v>1718</v>
      </c>
      <c r="K352" s="32" t="s">
        <v>1718</v>
      </c>
      <c r="L352" s="32" t="s">
        <v>1718</v>
      </c>
      <c r="M352">
        <v>327</v>
      </c>
      <c r="N352">
        <v>0</v>
      </c>
      <c r="O352" s="32" t="str">
        <f t="shared" si="5"/>
        <v>3510020261X</v>
      </c>
      <c r="P352" s="32" t="s">
        <v>1718</v>
      </c>
      <c r="Q352" s="32" t="s">
        <v>1718</v>
      </c>
      <c r="R352" s="32" t="s">
        <v>2110</v>
      </c>
      <c r="S352" s="32" t="s">
        <v>5034</v>
      </c>
      <c r="T352" t="str">
        <f>VLOOKUP(D352,DATA_SISTEMA!$A$1:$Q$506,9,FALSE)</f>
        <v>F</v>
      </c>
      <c r="U352" s="32" t="s">
        <v>2106</v>
      </c>
      <c r="V352" s="32" t="s">
        <v>1718</v>
      </c>
      <c r="W352" s="37" t="s">
        <v>5028</v>
      </c>
      <c r="X352" s="32" t="s">
        <v>4522</v>
      </c>
      <c r="Y352" s="32" t="s">
        <v>1718</v>
      </c>
      <c r="Z352" s="32" t="s">
        <v>1718</v>
      </c>
      <c r="AA352" s="32" t="s">
        <v>5028</v>
      </c>
      <c r="AB352" s="32" t="s">
        <v>1718</v>
      </c>
      <c r="AC352" s="32" t="s">
        <v>1718</v>
      </c>
      <c r="AD352" s="32" t="s">
        <v>1718</v>
      </c>
      <c r="AE352" s="32" t="s">
        <v>1718</v>
      </c>
      <c r="AF352" s="32" t="s">
        <v>1718</v>
      </c>
      <c r="AG352" s="32" t="s">
        <v>1718</v>
      </c>
      <c r="AH352" s="32" t="s">
        <v>2107</v>
      </c>
      <c r="AI352" s="28" t="s">
        <v>1635</v>
      </c>
      <c r="AJ352" s="28" t="s">
        <v>1044</v>
      </c>
      <c r="AK352" s="28" t="s">
        <v>979</v>
      </c>
      <c r="AL352" s="28">
        <v>77355069</v>
      </c>
      <c r="AM352" t="s">
        <v>1718</v>
      </c>
      <c r="AN352" t="s">
        <v>1718</v>
      </c>
      <c r="AO352" t="s">
        <v>1718</v>
      </c>
      <c r="AP352" t="s">
        <v>1718</v>
      </c>
      <c r="AQ352" t="s">
        <v>1718</v>
      </c>
      <c r="AR352" t="s">
        <v>1718</v>
      </c>
      <c r="AS352" t="s">
        <v>1718</v>
      </c>
      <c r="AT352" t="s">
        <v>1718</v>
      </c>
      <c r="AU352" t="s">
        <v>1718</v>
      </c>
      <c r="AV352" t="str">
        <f>VLOOKUP(D352,DATA_SISTEMA!$A$1:$Q$506,12,FALSE)</f>
        <v>CAYALTI</v>
      </c>
      <c r="AW352" t="str">
        <f>VLOOKUP(D352,DATA_SISTEMA!$A$1:$Q$506,11,FALSE)</f>
        <v>CHICLAYO</v>
      </c>
      <c r="AX352" t="str">
        <f>VLOOKUP(D352,DATA_SISTEMA!$A$1:$Q$506,10,FALSE)</f>
        <v>LAMBAYEQUE</v>
      </c>
      <c r="AY352" t="s">
        <v>1718</v>
      </c>
      <c r="AZ352" t="s">
        <v>5028</v>
      </c>
      <c r="BA352" t="s">
        <v>1718</v>
      </c>
      <c r="BB352" t="s">
        <v>5028</v>
      </c>
      <c r="BC352" t="s">
        <v>1718</v>
      </c>
      <c r="BD352" t="s">
        <v>5028</v>
      </c>
      <c r="BE352" t="s">
        <v>1718</v>
      </c>
      <c r="BF352" s="34" t="s">
        <v>2104</v>
      </c>
      <c r="BG352" s="28">
        <v>75</v>
      </c>
    </row>
    <row r="353" spans="1:59" x14ac:dyDescent="0.25">
      <c r="A353" s="4">
        <v>352</v>
      </c>
      <c r="B353" s="33" t="s">
        <v>1719</v>
      </c>
      <c r="C353" s="28" t="s">
        <v>2071</v>
      </c>
      <c r="D353" s="51" t="s">
        <v>4873</v>
      </c>
      <c r="E353" s="28" t="s">
        <v>787</v>
      </c>
      <c r="F353" s="36" t="s">
        <v>1718</v>
      </c>
      <c r="G353" s="28">
        <v>918567044</v>
      </c>
      <c r="H353" t="str">
        <f>VLOOKUP(D353,DATA_SISTEMA!$A$1:$Q$506,13,FALSE)</f>
        <v>CALLE EL CARMEN 477 URB. SANTA ROSA</v>
      </c>
      <c r="I353" t="str">
        <f>VLOOKUP(D353,DATA_SISTEMA!$A$1:$Q$506,7,FALSE)</f>
        <v>1968-08-22</v>
      </c>
      <c r="J353" s="32" t="s">
        <v>1718</v>
      </c>
      <c r="K353" s="32" t="s">
        <v>1718</v>
      </c>
      <c r="L353" s="32" t="s">
        <v>1718</v>
      </c>
      <c r="M353">
        <v>327</v>
      </c>
      <c r="N353">
        <v>0</v>
      </c>
      <c r="O353" s="32" t="str">
        <f t="shared" si="5"/>
        <v>3520020261X</v>
      </c>
      <c r="P353" s="32" t="s">
        <v>1718</v>
      </c>
      <c r="Q353" s="32" t="s">
        <v>1718</v>
      </c>
      <c r="R353" s="32" t="s">
        <v>2110</v>
      </c>
      <c r="S353" s="32" t="s">
        <v>5034</v>
      </c>
      <c r="T353" t="str">
        <f>VLOOKUP(D353,DATA_SISTEMA!$A$1:$Q$506,9,FALSE)</f>
        <v>M</v>
      </c>
      <c r="U353" s="32" t="s">
        <v>2106</v>
      </c>
      <c r="V353" s="32" t="s">
        <v>1718</v>
      </c>
      <c r="W353" s="37" t="s">
        <v>5028</v>
      </c>
      <c r="X353" s="32" t="s">
        <v>4522</v>
      </c>
      <c r="Y353" s="32" t="s">
        <v>1718</v>
      </c>
      <c r="Z353" s="32" t="s">
        <v>1718</v>
      </c>
      <c r="AA353" s="32" t="s">
        <v>5028</v>
      </c>
      <c r="AB353" s="32" t="s">
        <v>1718</v>
      </c>
      <c r="AC353" s="32" t="s">
        <v>1718</v>
      </c>
      <c r="AD353" s="32" t="s">
        <v>1718</v>
      </c>
      <c r="AE353" s="32" t="s">
        <v>1718</v>
      </c>
      <c r="AF353" s="32" t="s">
        <v>1718</v>
      </c>
      <c r="AG353" s="32" t="s">
        <v>1718</v>
      </c>
      <c r="AH353" s="32" t="s">
        <v>2107</v>
      </c>
      <c r="AI353" s="28" t="s">
        <v>1636</v>
      </c>
      <c r="AJ353" s="28" t="s">
        <v>1274</v>
      </c>
      <c r="AK353" s="28" t="s">
        <v>1084</v>
      </c>
      <c r="AL353" s="28" t="s">
        <v>785</v>
      </c>
      <c r="AM353" t="s">
        <v>1718</v>
      </c>
      <c r="AN353" t="s">
        <v>1718</v>
      </c>
      <c r="AO353" t="s">
        <v>1718</v>
      </c>
      <c r="AP353" t="s">
        <v>1718</v>
      </c>
      <c r="AQ353" t="s">
        <v>1718</v>
      </c>
      <c r="AR353" t="s">
        <v>1718</v>
      </c>
      <c r="AS353" t="s">
        <v>1718</v>
      </c>
      <c r="AT353" t="s">
        <v>1718</v>
      </c>
      <c r="AU353" t="s">
        <v>1718</v>
      </c>
      <c r="AV353" t="str">
        <f>VLOOKUP(D353,DATA_SISTEMA!$A$1:$Q$506,12,FALSE)</f>
        <v>SULLANA</v>
      </c>
      <c r="AW353" t="str">
        <f>VLOOKUP(D353,DATA_SISTEMA!$A$1:$Q$506,11,FALSE)</f>
        <v>SULLANA</v>
      </c>
      <c r="AX353" t="str">
        <f>VLOOKUP(D353,DATA_SISTEMA!$A$1:$Q$506,10,FALSE)</f>
        <v>PIURA</v>
      </c>
      <c r="AY353" t="s">
        <v>1718</v>
      </c>
      <c r="AZ353" t="s">
        <v>5028</v>
      </c>
      <c r="BA353" t="s">
        <v>1718</v>
      </c>
      <c r="BB353" t="s">
        <v>5028</v>
      </c>
      <c r="BC353" t="s">
        <v>1718</v>
      </c>
      <c r="BD353" t="s">
        <v>5028</v>
      </c>
      <c r="BE353" t="s">
        <v>1718</v>
      </c>
      <c r="BF353" s="34" t="s">
        <v>2104</v>
      </c>
      <c r="BG353" s="28">
        <v>73.900000000000006</v>
      </c>
    </row>
    <row r="354" spans="1:59" x14ac:dyDescent="0.25">
      <c r="A354" s="4">
        <v>353</v>
      </c>
      <c r="B354" s="33" t="s">
        <v>1719</v>
      </c>
      <c r="C354" s="28" t="s">
        <v>2072</v>
      </c>
      <c r="D354" s="51" t="s">
        <v>4874</v>
      </c>
      <c r="E354" s="28" t="s">
        <v>789</v>
      </c>
      <c r="F354" s="36" t="s">
        <v>1718</v>
      </c>
      <c r="G354" s="28">
        <v>979114738</v>
      </c>
      <c r="H354" t="str">
        <f>VLOOKUP(D354,DATA_SISTEMA!$A$1:$Q$506,13,FALSE)</f>
        <v>CENTRO POBLADO SAN JOSE - DISTRITO DE PICSI</v>
      </c>
      <c r="I354" t="str">
        <f>VLOOKUP(D354,DATA_SISTEMA!$A$1:$Q$506,7,FALSE)</f>
        <v>1982-03-03</v>
      </c>
      <c r="J354" s="32" t="s">
        <v>1718</v>
      </c>
      <c r="K354" s="32" t="s">
        <v>1718</v>
      </c>
      <c r="L354" s="32" t="s">
        <v>1718</v>
      </c>
      <c r="M354">
        <v>327</v>
      </c>
      <c r="N354">
        <v>0</v>
      </c>
      <c r="O354" s="32" t="str">
        <f t="shared" si="5"/>
        <v>3530020261X</v>
      </c>
      <c r="P354" s="32" t="s">
        <v>1718</v>
      </c>
      <c r="Q354" s="32" t="s">
        <v>1718</v>
      </c>
      <c r="R354" s="32" t="s">
        <v>2110</v>
      </c>
      <c r="S354" s="32" t="s">
        <v>5034</v>
      </c>
      <c r="T354" t="str">
        <f>VLOOKUP(D354,DATA_SISTEMA!$A$1:$Q$506,9,FALSE)</f>
        <v>F</v>
      </c>
      <c r="U354" s="32" t="s">
        <v>2106</v>
      </c>
      <c r="V354" s="32" t="s">
        <v>1718</v>
      </c>
      <c r="W354" s="37" t="s">
        <v>5028</v>
      </c>
      <c r="X354" s="32" t="s">
        <v>4522</v>
      </c>
      <c r="Y354" s="32" t="s">
        <v>1718</v>
      </c>
      <c r="Z354" s="32" t="s">
        <v>1718</v>
      </c>
      <c r="AA354" s="32" t="s">
        <v>5028</v>
      </c>
      <c r="AB354" s="32" t="s">
        <v>1718</v>
      </c>
      <c r="AC354" s="32" t="s">
        <v>1718</v>
      </c>
      <c r="AD354" s="32" t="s">
        <v>1718</v>
      </c>
      <c r="AE354" s="32" t="s">
        <v>1718</v>
      </c>
      <c r="AF354" s="32" t="s">
        <v>1718</v>
      </c>
      <c r="AG354" s="32" t="s">
        <v>1718</v>
      </c>
      <c r="AH354" s="32" t="s">
        <v>2107</v>
      </c>
      <c r="AI354" s="28" t="s">
        <v>1637</v>
      </c>
      <c r="AJ354" s="28" t="s">
        <v>901</v>
      </c>
      <c r="AK354" s="28" t="s">
        <v>898</v>
      </c>
      <c r="AL354" s="28">
        <v>41203836</v>
      </c>
      <c r="AM354" t="s">
        <v>1718</v>
      </c>
      <c r="AN354" t="s">
        <v>1718</v>
      </c>
      <c r="AO354" t="s">
        <v>1718</v>
      </c>
      <c r="AP354" t="s">
        <v>1718</v>
      </c>
      <c r="AQ354" t="s">
        <v>1718</v>
      </c>
      <c r="AR354" t="s">
        <v>1718</v>
      </c>
      <c r="AS354" t="s">
        <v>1718</v>
      </c>
      <c r="AT354" t="s">
        <v>1718</v>
      </c>
      <c r="AU354" t="s">
        <v>1718</v>
      </c>
      <c r="AV354" t="str">
        <f>VLOOKUP(D354,DATA_SISTEMA!$A$1:$Q$506,12,FALSE)</f>
        <v>CHICLAYO</v>
      </c>
      <c r="AW354" t="str">
        <f>VLOOKUP(D354,DATA_SISTEMA!$A$1:$Q$506,11,FALSE)</f>
        <v>CHICLAYO</v>
      </c>
      <c r="AX354" t="str">
        <f>VLOOKUP(D354,DATA_SISTEMA!$A$1:$Q$506,10,FALSE)</f>
        <v>LAMBAYEQUE</v>
      </c>
      <c r="AY354" t="s">
        <v>1718</v>
      </c>
      <c r="AZ354" t="s">
        <v>5028</v>
      </c>
      <c r="BA354" t="s">
        <v>1718</v>
      </c>
      <c r="BB354" t="s">
        <v>5028</v>
      </c>
      <c r="BC354" t="s">
        <v>1718</v>
      </c>
      <c r="BD354" t="s">
        <v>5028</v>
      </c>
      <c r="BE354" t="s">
        <v>1718</v>
      </c>
      <c r="BF354" s="34" t="s">
        <v>2104</v>
      </c>
      <c r="BG354" s="28">
        <v>72</v>
      </c>
    </row>
    <row r="355" spans="1:59" x14ac:dyDescent="0.25">
      <c r="A355" s="4">
        <v>354</v>
      </c>
      <c r="B355" s="33" t="s">
        <v>1719</v>
      </c>
      <c r="C355" s="28" t="s">
        <v>2073</v>
      </c>
      <c r="D355" s="51" t="s">
        <v>4875</v>
      </c>
      <c r="E355" s="28" t="s">
        <v>791</v>
      </c>
      <c r="F355" s="36" t="s">
        <v>1718</v>
      </c>
      <c r="G355" s="28">
        <v>969032110</v>
      </c>
      <c r="H355" t="str">
        <f>VLOOKUP(D355,DATA_SISTEMA!$A$1:$Q$506,13,FALSE)</f>
        <v>CALLE BIZNAGUIILAS R-18 COUNTRY CLUB MIRAFLORES - CASTILLA - PIURA</v>
      </c>
      <c r="I355" t="str">
        <f>VLOOKUP(D355,DATA_SISTEMA!$A$1:$Q$506,7,FALSE)</f>
        <v>1982-06-18</v>
      </c>
      <c r="J355" s="32" t="s">
        <v>1718</v>
      </c>
      <c r="K355" s="32" t="s">
        <v>1718</v>
      </c>
      <c r="L355" s="32" t="s">
        <v>1718</v>
      </c>
      <c r="M355">
        <v>327</v>
      </c>
      <c r="N355">
        <v>0</v>
      </c>
      <c r="O355" s="32" t="str">
        <f t="shared" si="5"/>
        <v>3540020261X</v>
      </c>
      <c r="P355" s="32" t="s">
        <v>1718</v>
      </c>
      <c r="Q355" s="32" t="s">
        <v>1718</v>
      </c>
      <c r="R355" s="32" t="s">
        <v>2110</v>
      </c>
      <c r="S355" s="32" t="s">
        <v>5034</v>
      </c>
      <c r="T355" t="str">
        <f>VLOOKUP(D355,DATA_SISTEMA!$A$1:$Q$506,9,FALSE)</f>
        <v>M</v>
      </c>
      <c r="U355" s="32" t="s">
        <v>2106</v>
      </c>
      <c r="V355" s="32" t="s">
        <v>1718</v>
      </c>
      <c r="W355" s="37" t="s">
        <v>5028</v>
      </c>
      <c r="X355" s="32" t="s">
        <v>4522</v>
      </c>
      <c r="Y355" s="32" t="s">
        <v>1718</v>
      </c>
      <c r="Z355" s="32" t="s">
        <v>1718</v>
      </c>
      <c r="AA355" s="32" t="s">
        <v>5028</v>
      </c>
      <c r="AB355" s="32" t="s">
        <v>1718</v>
      </c>
      <c r="AC355" s="32" t="s">
        <v>1718</v>
      </c>
      <c r="AD355" s="32" t="s">
        <v>1718</v>
      </c>
      <c r="AE355" s="32" t="s">
        <v>1718</v>
      </c>
      <c r="AF355" s="32" t="s">
        <v>1718</v>
      </c>
      <c r="AG355" s="32" t="s">
        <v>1718</v>
      </c>
      <c r="AH355" s="32" t="s">
        <v>2107</v>
      </c>
      <c r="AI355" s="28" t="s">
        <v>1638</v>
      </c>
      <c r="AJ355" s="28" t="s">
        <v>1275</v>
      </c>
      <c r="AK355" s="28" t="s">
        <v>1276</v>
      </c>
      <c r="AL355" s="28">
        <v>42091229</v>
      </c>
      <c r="AM355" t="s">
        <v>1718</v>
      </c>
      <c r="AN355" t="s">
        <v>1718</v>
      </c>
      <c r="AO355" t="s">
        <v>1718</v>
      </c>
      <c r="AP355" t="s">
        <v>1718</v>
      </c>
      <c r="AQ355" t="s">
        <v>1718</v>
      </c>
      <c r="AR355" t="s">
        <v>1718</v>
      </c>
      <c r="AS355" t="s">
        <v>1718</v>
      </c>
      <c r="AT355" t="s">
        <v>1718</v>
      </c>
      <c r="AU355" t="s">
        <v>1718</v>
      </c>
      <c r="AV355" t="str">
        <f>VLOOKUP(D355,DATA_SISTEMA!$A$1:$Q$506,12,FALSE)</f>
        <v>PIURA</v>
      </c>
      <c r="AW355" t="str">
        <f>VLOOKUP(D355,DATA_SISTEMA!$A$1:$Q$506,11,FALSE)</f>
        <v>PIURA</v>
      </c>
      <c r="AX355" t="str">
        <f>VLOOKUP(D355,DATA_SISTEMA!$A$1:$Q$506,10,FALSE)</f>
        <v>PIURA</v>
      </c>
      <c r="AY355" t="s">
        <v>1718</v>
      </c>
      <c r="AZ355" t="s">
        <v>5028</v>
      </c>
      <c r="BA355" t="s">
        <v>1718</v>
      </c>
      <c r="BB355" t="s">
        <v>5028</v>
      </c>
      <c r="BC355" t="s">
        <v>1718</v>
      </c>
      <c r="BD355" t="s">
        <v>5028</v>
      </c>
      <c r="BE355" t="s">
        <v>1718</v>
      </c>
      <c r="BF355" s="34" t="s">
        <v>2104</v>
      </c>
      <c r="BG355" s="28">
        <v>71.400000000000006</v>
      </c>
    </row>
    <row r="356" spans="1:59" x14ac:dyDescent="0.25">
      <c r="A356" s="4">
        <v>355</v>
      </c>
      <c r="B356" s="33" t="s">
        <v>1719</v>
      </c>
      <c r="C356" s="28" t="s">
        <v>2074</v>
      </c>
      <c r="D356" s="51" t="s">
        <v>4876</v>
      </c>
      <c r="E356" s="28" t="s">
        <v>793</v>
      </c>
      <c r="F356" s="36" t="s">
        <v>1718</v>
      </c>
      <c r="G356" s="28">
        <v>923655551</v>
      </c>
      <c r="H356" t="str">
        <f>VLOOKUP(D356,DATA_SISTEMA!$A$1:$Q$506,13,FALSE)</f>
        <v>CALLE E GARCÍA Y GARCÍA LAMBAYEQUE 14013</v>
      </c>
      <c r="I356" t="str">
        <f>VLOOKUP(D356,DATA_SISTEMA!$A$1:$Q$506,7,FALSE)</f>
        <v>1997-12-05</v>
      </c>
      <c r="J356" s="32" t="s">
        <v>1718</v>
      </c>
      <c r="K356" s="32" t="s">
        <v>1718</v>
      </c>
      <c r="L356" s="32" t="s">
        <v>1718</v>
      </c>
      <c r="M356">
        <v>327</v>
      </c>
      <c r="N356">
        <v>0</v>
      </c>
      <c r="O356" s="32" t="str">
        <f t="shared" si="5"/>
        <v>3550020261X</v>
      </c>
      <c r="P356" s="32" t="s">
        <v>1718</v>
      </c>
      <c r="Q356" s="32" t="s">
        <v>1718</v>
      </c>
      <c r="R356" s="32" t="s">
        <v>2110</v>
      </c>
      <c r="S356" s="32" t="s">
        <v>5034</v>
      </c>
      <c r="T356" t="str">
        <f>VLOOKUP(D356,DATA_SISTEMA!$A$1:$Q$506,9,FALSE)</f>
        <v>M</v>
      </c>
      <c r="U356" s="32" t="s">
        <v>2106</v>
      </c>
      <c r="V356" s="32" t="s">
        <v>1718</v>
      </c>
      <c r="W356" s="37" t="s">
        <v>5028</v>
      </c>
      <c r="X356" s="32" t="s">
        <v>4522</v>
      </c>
      <c r="Y356" s="32" t="s">
        <v>1718</v>
      </c>
      <c r="Z356" s="32" t="s">
        <v>1718</v>
      </c>
      <c r="AA356" s="32" t="s">
        <v>5028</v>
      </c>
      <c r="AB356" s="32" t="s">
        <v>1718</v>
      </c>
      <c r="AC356" s="32" t="s">
        <v>1718</v>
      </c>
      <c r="AD356" s="32" t="s">
        <v>1718</v>
      </c>
      <c r="AE356" s="32" t="s">
        <v>1718</v>
      </c>
      <c r="AF356" s="32" t="s">
        <v>1718</v>
      </c>
      <c r="AG356" s="32" t="s">
        <v>1718</v>
      </c>
      <c r="AH356" s="32" t="s">
        <v>2107</v>
      </c>
      <c r="AI356" s="28" t="s">
        <v>1639</v>
      </c>
      <c r="AJ356" s="28" t="s">
        <v>1131</v>
      </c>
      <c r="AK356" s="28" t="s">
        <v>913</v>
      </c>
      <c r="AL356" s="28">
        <v>72044190</v>
      </c>
      <c r="AM356" t="s">
        <v>1718</v>
      </c>
      <c r="AN356" t="s">
        <v>1718</v>
      </c>
      <c r="AO356" t="s">
        <v>1718</v>
      </c>
      <c r="AP356" t="s">
        <v>1718</v>
      </c>
      <c r="AQ356" t="s">
        <v>1718</v>
      </c>
      <c r="AR356" t="s">
        <v>1718</v>
      </c>
      <c r="AS356" t="s">
        <v>1718</v>
      </c>
      <c r="AT356" t="s">
        <v>1718</v>
      </c>
      <c r="AU356" t="s">
        <v>1718</v>
      </c>
      <c r="AV356" t="str">
        <f>VLOOKUP(D356,DATA_SISTEMA!$A$1:$Q$506,12,FALSE)</f>
        <v>SANTA CRUZ</v>
      </c>
      <c r="AW356" t="str">
        <f>VLOOKUP(D356,DATA_SISTEMA!$A$1:$Q$506,11,FALSE)</f>
        <v>CUTERVO</v>
      </c>
      <c r="AX356" t="str">
        <f>VLOOKUP(D356,DATA_SISTEMA!$A$1:$Q$506,10,FALSE)</f>
        <v>CAJAMARCA</v>
      </c>
      <c r="AY356" t="s">
        <v>1718</v>
      </c>
      <c r="AZ356" t="s">
        <v>5028</v>
      </c>
      <c r="BA356" t="s">
        <v>1718</v>
      </c>
      <c r="BB356" t="s">
        <v>5028</v>
      </c>
      <c r="BC356" t="s">
        <v>1718</v>
      </c>
      <c r="BD356" t="s">
        <v>5028</v>
      </c>
      <c r="BE356" t="s">
        <v>1718</v>
      </c>
      <c r="BF356" s="34" t="s">
        <v>2104</v>
      </c>
      <c r="BG356" s="28">
        <v>70.599999999999994</v>
      </c>
    </row>
    <row r="357" spans="1:59" x14ac:dyDescent="0.25">
      <c r="A357" s="4">
        <v>356</v>
      </c>
      <c r="B357" s="33" t="s">
        <v>1719</v>
      </c>
      <c r="C357" s="28" t="s">
        <v>2075</v>
      </c>
      <c r="D357" s="51" t="s">
        <v>4877</v>
      </c>
      <c r="E357" s="28" t="s">
        <v>795</v>
      </c>
      <c r="F357" s="36" t="s">
        <v>1718</v>
      </c>
      <c r="G357" s="28">
        <v>963591442</v>
      </c>
      <c r="H357" t="str">
        <f>VLOOKUP(D357,DATA_SISTEMA!$A$1:$Q$506,13,FALSE)</f>
        <v>CALLE E GARCÍA Y GARCÍA LAMBAYEQUE 14013</v>
      </c>
      <c r="I357" t="str">
        <f>VLOOKUP(D357,DATA_SISTEMA!$A$1:$Q$506,7,FALSE)</f>
        <v>2000-07-12</v>
      </c>
      <c r="J357" s="32" t="s">
        <v>1718</v>
      </c>
      <c r="K357" s="32" t="s">
        <v>1718</v>
      </c>
      <c r="L357" s="32" t="s">
        <v>1718</v>
      </c>
      <c r="M357">
        <v>327</v>
      </c>
      <c r="N357">
        <v>0</v>
      </c>
      <c r="O357" s="32" t="str">
        <f t="shared" si="5"/>
        <v>3560020261X</v>
      </c>
      <c r="P357" s="32" t="s">
        <v>1718</v>
      </c>
      <c r="Q357" s="32" t="s">
        <v>1718</v>
      </c>
      <c r="R357" s="32" t="s">
        <v>2110</v>
      </c>
      <c r="S357" s="32" t="s">
        <v>5034</v>
      </c>
      <c r="T357" t="str">
        <f>VLOOKUP(D357,DATA_SISTEMA!$A$1:$Q$506,9,FALSE)</f>
        <v>M</v>
      </c>
      <c r="U357" s="32" t="s">
        <v>2106</v>
      </c>
      <c r="V357" s="32" t="s">
        <v>1718</v>
      </c>
      <c r="W357" s="37" t="s">
        <v>5028</v>
      </c>
      <c r="X357" s="32" t="s">
        <v>4522</v>
      </c>
      <c r="Y357" s="32" t="s">
        <v>1718</v>
      </c>
      <c r="Z357" s="32" t="s">
        <v>1718</v>
      </c>
      <c r="AA357" s="32" t="s">
        <v>5028</v>
      </c>
      <c r="AB357" s="32" t="s">
        <v>1718</v>
      </c>
      <c r="AC357" s="32" t="s">
        <v>1718</v>
      </c>
      <c r="AD357" s="32" t="s">
        <v>1718</v>
      </c>
      <c r="AE357" s="32" t="s">
        <v>1718</v>
      </c>
      <c r="AF357" s="32" t="s">
        <v>1718</v>
      </c>
      <c r="AG357" s="32" t="s">
        <v>1718</v>
      </c>
      <c r="AH357" s="32" t="s">
        <v>2107</v>
      </c>
      <c r="AI357" s="28" t="s">
        <v>1640</v>
      </c>
      <c r="AJ357" s="28" t="s">
        <v>898</v>
      </c>
      <c r="AK357" s="28" t="s">
        <v>858</v>
      </c>
      <c r="AL357" s="28">
        <v>75796634</v>
      </c>
      <c r="AM357" t="s">
        <v>1718</v>
      </c>
      <c r="AN357" t="s">
        <v>1718</v>
      </c>
      <c r="AO357" t="s">
        <v>1718</v>
      </c>
      <c r="AP357" t="s">
        <v>1718</v>
      </c>
      <c r="AQ357" t="s">
        <v>1718</v>
      </c>
      <c r="AR357" t="s">
        <v>1718</v>
      </c>
      <c r="AS357" t="s">
        <v>1718</v>
      </c>
      <c r="AT357" t="s">
        <v>1718</v>
      </c>
      <c r="AU357" t="s">
        <v>1718</v>
      </c>
      <c r="AV357" t="str">
        <f>VLOOKUP(D357,DATA_SISTEMA!$A$1:$Q$506,12,FALSE)</f>
        <v>LAMBAYEQUE</v>
      </c>
      <c r="AW357" t="str">
        <f>VLOOKUP(D357,DATA_SISTEMA!$A$1:$Q$506,11,FALSE)</f>
        <v>LAMBAYEQUE</v>
      </c>
      <c r="AX357" t="str">
        <f>VLOOKUP(D357,DATA_SISTEMA!$A$1:$Q$506,10,FALSE)</f>
        <v>LAMBAYEQUE</v>
      </c>
      <c r="AY357" t="s">
        <v>1718</v>
      </c>
      <c r="AZ357" t="s">
        <v>5028</v>
      </c>
      <c r="BA357" t="s">
        <v>1718</v>
      </c>
      <c r="BB357" t="s">
        <v>5028</v>
      </c>
      <c r="BC357" t="s">
        <v>1718</v>
      </c>
      <c r="BD357" t="s">
        <v>5028</v>
      </c>
      <c r="BE357" t="s">
        <v>1718</v>
      </c>
      <c r="BF357" s="34" t="s">
        <v>2104</v>
      </c>
      <c r="BG357" s="28">
        <v>69.2</v>
      </c>
    </row>
    <row r="358" spans="1:59" x14ac:dyDescent="0.25">
      <c r="A358" s="4">
        <v>357</v>
      </c>
      <c r="B358" s="33" t="s">
        <v>1719</v>
      </c>
      <c r="C358" s="28" t="s">
        <v>2076</v>
      </c>
      <c r="D358" s="51" t="s">
        <v>4878</v>
      </c>
      <c r="E358" s="28" t="s">
        <v>797</v>
      </c>
      <c r="F358" s="36" t="s">
        <v>1718</v>
      </c>
      <c r="G358" s="28">
        <v>993645001</v>
      </c>
      <c r="H358" t="str">
        <f>VLOOKUP(D358,DATA_SISTEMA!$A$1:$Q$506,13,FALSE)</f>
        <v>JIRON 28 DE JULIO CUADRA 01 S/N</v>
      </c>
      <c r="I358" t="str">
        <f>VLOOKUP(D358,DATA_SISTEMA!$A$1:$Q$506,7,FALSE)</f>
        <v>1995-04-25</v>
      </c>
      <c r="J358" s="32" t="s">
        <v>1718</v>
      </c>
      <c r="K358" s="32" t="s">
        <v>1718</v>
      </c>
      <c r="L358" s="32" t="s">
        <v>1718</v>
      </c>
      <c r="M358">
        <v>327</v>
      </c>
      <c r="N358">
        <v>0</v>
      </c>
      <c r="O358" s="32" t="str">
        <f t="shared" si="5"/>
        <v>3570020261X</v>
      </c>
      <c r="P358" s="32" t="s">
        <v>1718</v>
      </c>
      <c r="Q358" s="32" t="s">
        <v>1718</v>
      </c>
      <c r="R358" s="32" t="s">
        <v>2110</v>
      </c>
      <c r="S358" s="32" t="s">
        <v>5034</v>
      </c>
      <c r="T358" t="str">
        <f>VLOOKUP(D358,DATA_SISTEMA!$A$1:$Q$506,9,FALSE)</f>
        <v>M</v>
      </c>
      <c r="U358" s="32" t="s">
        <v>2106</v>
      </c>
      <c r="V358" s="32" t="s">
        <v>1718</v>
      </c>
      <c r="W358" s="37" t="s">
        <v>5028</v>
      </c>
      <c r="X358" s="32" t="s">
        <v>4522</v>
      </c>
      <c r="Y358" s="32" t="s">
        <v>1718</v>
      </c>
      <c r="Z358" s="32" t="s">
        <v>1718</v>
      </c>
      <c r="AA358" s="32" t="s">
        <v>5028</v>
      </c>
      <c r="AB358" s="32" t="s">
        <v>1718</v>
      </c>
      <c r="AC358" s="32" t="s">
        <v>1718</v>
      </c>
      <c r="AD358" s="32" t="s">
        <v>1718</v>
      </c>
      <c r="AE358" s="32" t="s">
        <v>1718</v>
      </c>
      <c r="AF358" s="32" t="s">
        <v>1718</v>
      </c>
      <c r="AG358" s="32" t="s">
        <v>1718</v>
      </c>
      <c r="AH358" s="32" t="s">
        <v>2107</v>
      </c>
      <c r="AI358" s="28" t="s">
        <v>1641</v>
      </c>
      <c r="AJ358" s="28" t="s">
        <v>1277</v>
      </c>
      <c r="AK358" s="28" t="s">
        <v>963</v>
      </c>
      <c r="AL358" s="28">
        <v>71643302</v>
      </c>
      <c r="AM358" t="s">
        <v>1718</v>
      </c>
      <c r="AN358" t="s">
        <v>1718</v>
      </c>
      <c r="AO358" t="s">
        <v>1718</v>
      </c>
      <c r="AP358" t="s">
        <v>1718</v>
      </c>
      <c r="AQ358" t="s">
        <v>1718</v>
      </c>
      <c r="AR358" t="s">
        <v>1718</v>
      </c>
      <c r="AS358" t="s">
        <v>1718</v>
      </c>
      <c r="AT358" t="s">
        <v>1718</v>
      </c>
      <c r="AU358" t="s">
        <v>1718</v>
      </c>
      <c r="AV358" t="str">
        <f>VLOOKUP(D358,DATA_SISTEMA!$A$1:$Q$506,12,FALSE)</f>
        <v>LURIN</v>
      </c>
      <c r="AW358" t="str">
        <f>VLOOKUP(D358,DATA_SISTEMA!$A$1:$Q$506,11,FALSE)</f>
        <v>LIMA</v>
      </c>
      <c r="AX358" t="str">
        <f>VLOOKUP(D358,DATA_SISTEMA!$A$1:$Q$506,10,FALSE)</f>
        <v>LIMA</v>
      </c>
      <c r="AY358" t="s">
        <v>1718</v>
      </c>
      <c r="AZ358" t="s">
        <v>5028</v>
      </c>
      <c r="BA358" t="s">
        <v>1718</v>
      </c>
      <c r="BB358" t="s">
        <v>5028</v>
      </c>
      <c r="BC358" t="s">
        <v>1718</v>
      </c>
      <c r="BD358" t="s">
        <v>5028</v>
      </c>
      <c r="BE358" t="s">
        <v>1718</v>
      </c>
      <c r="BF358" s="34" t="s">
        <v>2104</v>
      </c>
      <c r="BG358" s="28">
        <v>68.599999999999994</v>
      </c>
    </row>
    <row r="359" spans="1:59" x14ac:dyDescent="0.25">
      <c r="A359" s="4">
        <v>358</v>
      </c>
      <c r="B359" s="33" t="s">
        <v>1719</v>
      </c>
      <c r="C359" s="28" t="s">
        <v>2077</v>
      </c>
      <c r="D359" s="51" t="s">
        <v>4879</v>
      </c>
      <c r="E359" s="28" t="s">
        <v>799</v>
      </c>
      <c r="F359" s="36" t="s">
        <v>1718</v>
      </c>
      <c r="G359" s="28">
        <v>943873493</v>
      </c>
      <c r="H359" t="str">
        <f>VLOOKUP(D359,DATA_SISTEMA!$A$1:$Q$506,13,FALSE)</f>
        <v>PACO YUNQUE N°230 UPIS CESAR VALLEJOS CHICLAYO</v>
      </c>
      <c r="I359" t="str">
        <f>VLOOKUP(D359,DATA_SISTEMA!$A$1:$Q$506,7,FALSE)</f>
        <v>1983-06-26</v>
      </c>
      <c r="J359" s="32" t="s">
        <v>1718</v>
      </c>
      <c r="K359" s="32" t="s">
        <v>1718</v>
      </c>
      <c r="L359" s="32" t="s">
        <v>1718</v>
      </c>
      <c r="M359">
        <v>327</v>
      </c>
      <c r="N359">
        <v>0</v>
      </c>
      <c r="O359" s="32" t="str">
        <f t="shared" si="5"/>
        <v>3580020261X</v>
      </c>
      <c r="P359" s="32" t="s">
        <v>1718</v>
      </c>
      <c r="Q359" s="32" t="s">
        <v>1718</v>
      </c>
      <c r="R359" s="32" t="s">
        <v>2110</v>
      </c>
      <c r="S359" s="32" t="s">
        <v>5034</v>
      </c>
      <c r="T359" t="str">
        <f>VLOOKUP(D359,DATA_SISTEMA!$A$1:$Q$506,9,FALSE)</f>
        <v>F</v>
      </c>
      <c r="U359" s="32" t="s">
        <v>2106</v>
      </c>
      <c r="V359" s="32" t="s">
        <v>1718</v>
      </c>
      <c r="W359" s="37" t="s">
        <v>5028</v>
      </c>
      <c r="X359" s="32" t="s">
        <v>4522</v>
      </c>
      <c r="Y359" s="32" t="s">
        <v>1718</v>
      </c>
      <c r="Z359" s="32" t="s">
        <v>1718</v>
      </c>
      <c r="AA359" s="32" t="s">
        <v>5028</v>
      </c>
      <c r="AB359" s="32" t="s">
        <v>1718</v>
      </c>
      <c r="AC359" s="32" t="s">
        <v>1718</v>
      </c>
      <c r="AD359" s="32" t="s">
        <v>1718</v>
      </c>
      <c r="AE359" s="32" t="s">
        <v>1718</v>
      </c>
      <c r="AF359" s="32" t="s">
        <v>1718</v>
      </c>
      <c r="AG359" s="32" t="s">
        <v>1718</v>
      </c>
      <c r="AH359" s="32" t="s">
        <v>2107</v>
      </c>
      <c r="AI359" s="28" t="s">
        <v>1642</v>
      </c>
      <c r="AJ359" s="28" t="s">
        <v>918</v>
      </c>
      <c r="AK359" s="28" t="s">
        <v>1278</v>
      </c>
      <c r="AL359" s="28">
        <v>41891142</v>
      </c>
      <c r="AM359" t="s">
        <v>1718</v>
      </c>
      <c r="AN359" t="s">
        <v>1718</v>
      </c>
      <c r="AO359" t="s">
        <v>1718</v>
      </c>
      <c r="AP359" t="s">
        <v>1718</v>
      </c>
      <c r="AQ359" t="s">
        <v>1718</v>
      </c>
      <c r="AR359" t="s">
        <v>1718</v>
      </c>
      <c r="AS359" t="s">
        <v>1718</v>
      </c>
      <c r="AT359" t="s">
        <v>1718</v>
      </c>
      <c r="AU359" t="s">
        <v>1718</v>
      </c>
      <c r="AV359" t="str">
        <f>VLOOKUP(D359,DATA_SISTEMA!$A$1:$Q$506,12,FALSE)</f>
        <v>CHICLAYO</v>
      </c>
      <c r="AW359" t="str">
        <f>VLOOKUP(D359,DATA_SISTEMA!$A$1:$Q$506,11,FALSE)</f>
        <v>CHICLAYO</v>
      </c>
      <c r="AX359" t="str">
        <f>VLOOKUP(D359,DATA_SISTEMA!$A$1:$Q$506,10,FALSE)</f>
        <v>LAMBAYEQUE</v>
      </c>
      <c r="AY359" t="s">
        <v>1718</v>
      </c>
      <c r="AZ359" t="s">
        <v>5028</v>
      </c>
      <c r="BA359" t="s">
        <v>1718</v>
      </c>
      <c r="BB359" t="s">
        <v>5028</v>
      </c>
      <c r="BC359" t="s">
        <v>1718</v>
      </c>
      <c r="BD359" t="s">
        <v>5028</v>
      </c>
      <c r="BE359" t="s">
        <v>1718</v>
      </c>
      <c r="BF359" s="34" t="s">
        <v>2104</v>
      </c>
      <c r="BG359" s="28">
        <v>67.400000000000006</v>
      </c>
    </row>
    <row r="360" spans="1:59" x14ac:dyDescent="0.25">
      <c r="A360" s="4">
        <v>359</v>
      </c>
      <c r="B360" s="33" t="s">
        <v>1719</v>
      </c>
      <c r="C360" s="28" t="s">
        <v>2078</v>
      </c>
      <c r="D360" s="51" t="s">
        <v>4880</v>
      </c>
      <c r="E360" s="28" t="s">
        <v>801</v>
      </c>
      <c r="F360" s="36" t="s">
        <v>1718</v>
      </c>
      <c r="G360" s="28">
        <v>962072750</v>
      </c>
      <c r="H360" t="str">
        <f>VLOOKUP(D360,DATA_SISTEMA!$A$1:$Q$506,13,FALSE)</f>
        <v>BIEJO BAJO</v>
      </c>
      <c r="I360" t="str">
        <f>VLOOKUP(D360,DATA_SISTEMA!$A$1:$Q$506,7,FALSE)</f>
        <v>1997-12-19</v>
      </c>
      <c r="J360" s="32" t="s">
        <v>1718</v>
      </c>
      <c r="K360" s="32" t="s">
        <v>1718</v>
      </c>
      <c r="L360" s="32" t="s">
        <v>1718</v>
      </c>
      <c r="M360">
        <v>327</v>
      </c>
      <c r="N360">
        <v>0</v>
      </c>
      <c r="O360" s="32" t="str">
        <f t="shared" si="5"/>
        <v>3590020261X</v>
      </c>
      <c r="P360" s="32" t="s">
        <v>1718</v>
      </c>
      <c r="Q360" s="32" t="s">
        <v>1718</v>
      </c>
      <c r="R360" s="32" t="s">
        <v>2110</v>
      </c>
      <c r="S360" s="32" t="s">
        <v>5034</v>
      </c>
      <c r="T360" t="str">
        <f>VLOOKUP(D360,DATA_SISTEMA!$A$1:$Q$506,9,FALSE)</f>
        <v>M</v>
      </c>
      <c r="U360" s="32" t="s">
        <v>2106</v>
      </c>
      <c r="V360" s="32" t="s">
        <v>1718</v>
      </c>
      <c r="W360" s="37" t="s">
        <v>5028</v>
      </c>
      <c r="X360" s="32" t="s">
        <v>4522</v>
      </c>
      <c r="Y360" s="32" t="s">
        <v>1718</v>
      </c>
      <c r="Z360" s="32" t="s">
        <v>1718</v>
      </c>
      <c r="AA360" s="32" t="s">
        <v>5028</v>
      </c>
      <c r="AB360" s="32" t="s">
        <v>1718</v>
      </c>
      <c r="AC360" s="32" t="s">
        <v>1718</v>
      </c>
      <c r="AD360" s="32" t="s">
        <v>1718</v>
      </c>
      <c r="AE360" s="32" t="s">
        <v>1718</v>
      </c>
      <c r="AF360" s="32" t="s">
        <v>1718</v>
      </c>
      <c r="AG360" s="32" t="s">
        <v>1718</v>
      </c>
      <c r="AH360" s="32" t="s">
        <v>2107</v>
      </c>
      <c r="AI360" s="28" t="s">
        <v>1643</v>
      </c>
      <c r="AJ360" s="28" t="s">
        <v>1279</v>
      </c>
      <c r="AK360" s="28" t="s">
        <v>1280</v>
      </c>
      <c r="AL360" s="28">
        <v>75397174</v>
      </c>
      <c r="AM360" t="s">
        <v>1718</v>
      </c>
      <c r="AN360" t="s">
        <v>1718</v>
      </c>
      <c r="AO360" t="s">
        <v>1718</v>
      </c>
      <c r="AP360" t="s">
        <v>1718</v>
      </c>
      <c r="AQ360" t="s">
        <v>1718</v>
      </c>
      <c r="AR360" t="s">
        <v>1718</v>
      </c>
      <c r="AS360" t="s">
        <v>1718</v>
      </c>
      <c r="AT360" t="s">
        <v>1718</v>
      </c>
      <c r="AU360" t="s">
        <v>1718</v>
      </c>
      <c r="AV360" t="str">
        <f>VLOOKUP(D360,DATA_SISTEMA!$A$1:$Q$506,12,FALSE)</f>
        <v>NIEVA</v>
      </c>
      <c r="AW360" t="str">
        <f>VLOOKUP(D360,DATA_SISTEMA!$A$1:$Q$506,11,FALSE)</f>
        <v>CONDORCANQUI</v>
      </c>
      <c r="AX360" t="str">
        <f>VLOOKUP(D360,DATA_SISTEMA!$A$1:$Q$506,10,FALSE)</f>
        <v>AMAZONAS</v>
      </c>
      <c r="AY360" t="s">
        <v>1718</v>
      </c>
      <c r="AZ360" t="s">
        <v>5028</v>
      </c>
      <c r="BA360" t="s">
        <v>1718</v>
      </c>
      <c r="BB360" t="s">
        <v>5028</v>
      </c>
      <c r="BC360" t="s">
        <v>1718</v>
      </c>
      <c r="BD360" t="s">
        <v>5028</v>
      </c>
      <c r="BE360" t="s">
        <v>1718</v>
      </c>
      <c r="BF360" s="34" t="s">
        <v>2104</v>
      </c>
      <c r="BG360" s="28">
        <v>66</v>
      </c>
    </row>
    <row r="361" spans="1:59" x14ac:dyDescent="0.25">
      <c r="A361" s="4">
        <v>360</v>
      </c>
      <c r="B361" s="33" t="s">
        <v>1719</v>
      </c>
      <c r="C361" s="28" t="s">
        <v>2079</v>
      </c>
      <c r="D361" s="51" t="s">
        <v>4881</v>
      </c>
      <c r="E361" s="28" t="s">
        <v>803</v>
      </c>
      <c r="F361" s="36" t="s">
        <v>1718</v>
      </c>
      <c r="G361" s="28">
        <v>946922965</v>
      </c>
      <c r="H361" t="str">
        <f>VLOOKUP(D361,DATA_SISTEMA!$A$1:$Q$506,13,FALSE)</f>
        <v>CALLE EL PORVENIR 112</v>
      </c>
      <c r="I361" t="str">
        <f>VLOOKUP(D361,DATA_SISTEMA!$A$1:$Q$506,7,FALSE)</f>
        <v>1969-11-04</v>
      </c>
      <c r="J361" s="32" t="s">
        <v>1718</v>
      </c>
      <c r="K361" s="32" t="s">
        <v>1718</v>
      </c>
      <c r="L361" s="32" t="s">
        <v>1718</v>
      </c>
      <c r="M361">
        <v>327</v>
      </c>
      <c r="N361">
        <v>0</v>
      </c>
      <c r="O361" s="32" t="str">
        <f t="shared" si="5"/>
        <v>3600020261X</v>
      </c>
      <c r="P361" s="32" t="s">
        <v>1718</v>
      </c>
      <c r="Q361" s="32" t="s">
        <v>1718</v>
      </c>
      <c r="R361" s="32" t="s">
        <v>2110</v>
      </c>
      <c r="S361" s="32" t="s">
        <v>5034</v>
      </c>
      <c r="T361" t="str">
        <f>VLOOKUP(D361,DATA_SISTEMA!$A$1:$Q$506,9,FALSE)</f>
        <v>M</v>
      </c>
      <c r="U361" s="32" t="s">
        <v>2106</v>
      </c>
      <c r="V361" s="32" t="s">
        <v>1718</v>
      </c>
      <c r="W361" s="37" t="s">
        <v>5028</v>
      </c>
      <c r="X361" s="32" t="s">
        <v>4522</v>
      </c>
      <c r="Y361" s="32" t="s">
        <v>1718</v>
      </c>
      <c r="Z361" s="32" t="s">
        <v>1718</v>
      </c>
      <c r="AA361" s="32" t="s">
        <v>5028</v>
      </c>
      <c r="AB361" s="32" t="s">
        <v>1718</v>
      </c>
      <c r="AC361" s="32" t="s">
        <v>1718</v>
      </c>
      <c r="AD361" s="32" t="s">
        <v>1718</v>
      </c>
      <c r="AE361" s="32" t="s">
        <v>1718</v>
      </c>
      <c r="AF361" s="32" t="s">
        <v>1718</v>
      </c>
      <c r="AG361" s="32" t="s">
        <v>1718</v>
      </c>
      <c r="AH361" s="32" t="s">
        <v>2107</v>
      </c>
      <c r="AI361" s="28" t="s">
        <v>1644</v>
      </c>
      <c r="AJ361" s="28" t="s">
        <v>952</v>
      </c>
      <c r="AK361" s="28" t="s">
        <v>1281</v>
      </c>
      <c r="AL361" s="28">
        <v>16688080</v>
      </c>
      <c r="AM361" t="s">
        <v>1718</v>
      </c>
      <c r="AN361" t="s">
        <v>1718</v>
      </c>
      <c r="AO361" t="s">
        <v>1718</v>
      </c>
      <c r="AP361" t="s">
        <v>1718</v>
      </c>
      <c r="AQ361" t="s">
        <v>1718</v>
      </c>
      <c r="AR361" t="s">
        <v>1718</v>
      </c>
      <c r="AS361" t="s">
        <v>1718</v>
      </c>
      <c r="AT361" t="s">
        <v>1718</v>
      </c>
      <c r="AU361" t="s">
        <v>1718</v>
      </c>
      <c r="AV361" t="str">
        <f>VLOOKUP(D361,DATA_SISTEMA!$A$1:$Q$506,12,FALSE)</f>
        <v>MONSEFU</v>
      </c>
      <c r="AW361" t="str">
        <f>VLOOKUP(D361,DATA_SISTEMA!$A$1:$Q$506,11,FALSE)</f>
        <v>CHICLAYO</v>
      </c>
      <c r="AX361" t="str">
        <f>VLOOKUP(D361,DATA_SISTEMA!$A$1:$Q$506,10,FALSE)</f>
        <v>LAMBAYEQUE</v>
      </c>
      <c r="AY361" t="s">
        <v>1718</v>
      </c>
      <c r="AZ361" t="s">
        <v>5028</v>
      </c>
      <c r="BA361" t="s">
        <v>1718</v>
      </c>
      <c r="BB361" t="s">
        <v>5028</v>
      </c>
      <c r="BC361" t="s">
        <v>1718</v>
      </c>
      <c r="BD361" t="s">
        <v>5028</v>
      </c>
      <c r="BE361" t="s">
        <v>1718</v>
      </c>
      <c r="BF361" s="34" t="s">
        <v>2104</v>
      </c>
      <c r="BG361" s="28">
        <v>54</v>
      </c>
    </row>
    <row r="362" spans="1:59" x14ac:dyDescent="0.25">
      <c r="A362" s="4">
        <v>361</v>
      </c>
      <c r="B362" s="33" t="s">
        <v>1719</v>
      </c>
      <c r="C362" s="28" t="s">
        <v>2080</v>
      </c>
      <c r="D362" s="51" t="s">
        <v>4882</v>
      </c>
      <c r="E362" s="28" t="s">
        <v>805</v>
      </c>
      <c r="F362" s="36" t="s">
        <v>1718</v>
      </c>
      <c r="G362" s="28">
        <v>930151853</v>
      </c>
      <c r="H362" t="str">
        <f>VLOOKUP(D362,DATA_SISTEMA!$A$1:$Q$506,13,FALSE)</f>
        <v>CASERIO EL ARENAL</v>
      </c>
      <c r="I362" t="str">
        <f>VLOOKUP(D362,DATA_SISTEMA!$A$1:$Q$506,7,FALSE)</f>
        <v>1996-04-08</v>
      </c>
      <c r="J362" s="32" t="s">
        <v>1718</v>
      </c>
      <c r="K362" s="32" t="s">
        <v>1718</v>
      </c>
      <c r="L362" s="32" t="s">
        <v>1718</v>
      </c>
      <c r="M362">
        <v>327</v>
      </c>
      <c r="N362">
        <v>0</v>
      </c>
      <c r="O362" s="32" t="str">
        <f t="shared" si="5"/>
        <v>3610020261X</v>
      </c>
      <c r="P362" s="32" t="s">
        <v>1718</v>
      </c>
      <c r="Q362" s="32" t="s">
        <v>1718</v>
      </c>
      <c r="R362" s="32" t="s">
        <v>2110</v>
      </c>
      <c r="S362" s="32" t="s">
        <v>5034</v>
      </c>
      <c r="T362" t="str">
        <f>VLOOKUP(D362,DATA_SISTEMA!$A$1:$Q$506,9,FALSE)</f>
        <v>M</v>
      </c>
      <c r="U362" s="32" t="s">
        <v>2106</v>
      </c>
      <c r="V362" s="32" t="s">
        <v>1718</v>
      </c>
      <c r="W362" s="37" t="s">
        <v>5028</v>
      </c>
      <c r="X362" s="32" t="s">
        <v>4522</v>
      </c>
      <c r="Y362" s="32" t="s">
        <v>1718</v>
      </c>
      <c r="Z362" s="32" t="s">
        <v>1718</v>
      </c>
      <c r="AA362" s="32" t="s">
        <v>5028</v>
      </c>
      <c r="AB362" s="32" t="s">
        <v>1718</v>
      </c>
      <c r="AC362" s="32" t="s">
        <v>1718</v>
      </c>
      <c r="AD362" s="32" t="s">
        <v>1718</v>
      </c>
      <c r="AE362" s="32" t="s">
        <v>1718</v>
      </c>
      <c r="AF362" s="32" t="s">
        <v>1718</v>
      </c>
      <c r="AG362" s="32" t="s">
        <v>1718</v>
      </c>
      <c r="AH362" s="32" t="s">
        <v>2107</v>
      </c>
      <c r="AI362" s="28" t="s">
        <v>1645</v>
      </c>
      <c r="AJ362" s="28" t="s">
        <v>1282</v>
      </c>
      <c r="AK362" s="28" t="s">
        <v>1278</v>
      </c>
      <c r="AL362" s="28">
        <v>70822466</v>
      </c>
      <c r="AM362" t="s">
        <v>1718</v>
      </c>
      <c r="AN362" t="s">
        <v>1718</v>
      </c>
      <c r="AO362" t="s">
        <v>1718</v>
      </c>
      <c r="AP362" t="s">
        <v>1718</v>
      </c>
      <c r="AQ362" t="s">
        <v>1718</v>
      </c>
      <c r="AR362" t="s">
        <v>1718</v>
      </c>
      <c r="AS362" t="s">
        <v>1718</v>
      </c>
      <c r="AT362" t="s">
        <v>1718</v>
      </c>
      <c r="AU362" t="s">
        <v>1718</v>
      </c>
      <c r="AV362" t="str">
        <f>VLOOKUP(D362,DATA_SISTEMA!$A$1:$Q$506,12,FALSE)</f>
        <v>CUTERVO</v>
      </c>
      <c r="AW362" t="str">
        <f>VLOOKUP(D362,DATA_SISTEMA!$A$1:$Q$506,11,FALSE)</f>
        <v>CUTERVO</v>
      </c>
      <c r="AX362" t="str">
        <f>VLOOKUP(D362,DATA_SISTEMA!$A$1:$Q$506,10,FALSE)</f>
        <v>CAJAMARCA</v>
      </c>
      <c r="AY362" t="s">
        <v>1718</v>
      </c>
      <c r="AZ362" t="s">
        <v>5028</v>
      </c>
      <c r="BA362" t="s">
        <v>1718</v>
      </c>
      <c r="BB362" t="s">
        <v>5028</v>
      </c>
      <c r="BC362" t="s">
        <v>1718</v>
      </c>
      <c r="BD362" t="s">
        <v>5028</v>
      </c>
      <c r="BE362" t="s">
        <v>1718</v>
      </c>
      <c r="BF362" s="34" t="s">
        <v>2104</v>
      </c>
      <c r="BG362" s="28">
        <v>48.9</v>
      </c>
    </row>
    <row r="363" spans="1:59" x14ac:dyDescent="0.25">
      <c r="A363" s="4">
        <v>362</v>
      </c>
      <c r="B363" s="33" t="s">
        <v>1719</v>
      </c>
      <c r="C363" s="6" t="s">
        <v>2081</v>
      </c>
      <c r="D363" s="52" t="s">
        <v>4883</v>
      </c>
      <c r="E363" s="6" t="s">
        <v>175</v>
      </c>
      <c r="F363" s="36" t="s">
        <v>1718</v>
      </c>
      <c r="G363" s="6">
        <v>939815572</v>
      </c>
      <c r="H363" t="str">
        <f>VLOOKUP(D363,DATA_SISTEMA!$A$1:$Q$506,13,FALSE)</f>
        <v>AV. GRAN CHIMÚ 1289 LA VICTORIA - CHICLAYO</v>
      </c>
      <c r="I363" t="str">
        <f>VLOOKUP(D363,DATA_SISTEMA!$A$1:$Q$506,7,FALSE)</f>
        <v>1969-04-23</v>
      </c>
      <c r="J363" s="32" t="s">
        <v>1718</v>
      </c>
      <c r="K363" s="32" t="s">
        <v>1718</v>
      </c>
      <c r="L363" s="32" t="s">
        <v>1718</v>
      </c>
      <c r="M363">
        <v>329</v>
      </c>
      <c r="N363">
        <v>0</v>
      </c>
      <c r="O363" s="32" t="str">
        <f t="shared" si="5"/>
        <v>3620020261X</v>
      </c>
      <c r="P363" s="32" t="s">
        <v>1718</v>
      </c>
      <c r="Q363" s="32" t="s">
        <v>1718</v>
      </c>
      <c r="R363" s="32" t="s">
        <v>2110</v>
      </c>
      <c r="S363" s="32" t="s">
        <v>5034</v>
      </c>
      <c r="T363" t="str">
        <f>VLOOKUP(D363,DATA_SISTEMA!$A$1:$Q$506,9,FALSE)</f>
        <v>M</v>
      </c>
      <c r="U363" s="32" t="s">
        <v>2106</v>
      </c>
      <c r="V363" s="32" t="s">
        <v>1718</v>
      </c>
      <c r="W363" s="37" t="s">
        <v>5028</v>
      </c>
      <c r="X363" s="32" t="s">
        <v>4522</v>
      </c>
      <c r="Y363" s="32" t="s">
        <v>1718</v>
      </c>
      <c r="Z363" s="32" t="s">
        <v>1718</v>
      </c>
      <c r="AA363" s="32" t="s">
        <v>5028</v>
      </c>
      <c r="AB363" s="32" t="s">
        <v>1718</v>
      </c>
      <c r="AC363" s="32" t="s">
        <v>1718</v>
      </c>
      <c r="AD363" s="32" t="s">
        <v>1718</v>
      </c>
      <c r="AE363" s="32" t="s">
        <v>1718</v>
      </c>
      <c r="AF363" s="32" t="s">
        <v>1718</v>
      </c>
      <c r="AG363" s="32" t="s">
        <v>1718</v>
      </c>
      <c r="AH363" s="32" t="s">
        <v>2107</v>
      </c>
      <c r="AI363" s="6" t="s">
        <v>1646</v>
      </c>
      <c r="AJ363" s="6" t="s">
        <v>1283</v>
      </c>
      <c r="AK363" s="6" t="s">
        <v>1148</v>
      </c>
      <c r="AL363" s="6">
        <v>16694733</v>
      </c>
      <c r="AM363" t="s">
        <v>1718</v>
      </c>
      <c r="AN363" t="s">
        <v>1718</v>
      </c>
      <c r="AO363" t="s">
        <v>1718</v>
      </c>
      <c r="AP363" t="s">
        <v>1718</v>
      </c>
      <c r="AQ363" t="s">
        <v>1718</v>
      </c>
      <c r="AR363" t="s">
        <v>1718</v>
      </c>
      <c r="AS363" t="s">
        <v>1718</v>
      </c>
      <c r="AT363" t="s">
        <v>1718</v>
      </c>
      <c r="AU363" t="s">
        <v>1718</v>
      </c>
      <c r="AV363" t="str">
        <f>VLOOKUP(D363,DATA_SISTEMA!$A$1:$Q$506,12,FALSE)</f>
        <v>CAYALTI</v>
      </c>
      <c r="AW363" t="str">
        <f>VLOOKUP(D363,DATA_SISTEMA!$A$1:$Q$506,11,FALSE)</f>
        <v>CHICLAYO</v>
      </c>
      <c r="AX363" t="str">
        <f>VLOOKUP(D363,DATA_SISTEMA!$A$1:$Q$506,10,FALSE)</f>
        <v>LAMBAYEQUE</v>
      </c>
      <c r="AY363" t="s">
        <v>1718</v>
      </c>
      <c r="AZ363" t="s">
        <v>5028</v>
      </c>
      <c r="BA363" t="s">
        <v>1718</v>
      </c>
      <c r="BB363" t="s">
        <v>5028</v>
      </c>
      <c r="BC363" t="s">
        <v>1718</v>
      </c>
      <c r="BD363" t="s">
        <v>5028</v>
      </c>
      <c r="BE363" t="s">
        <v>1718</v>
      </c>
      <c r="BF363" s="34" t="s">
        <v>2104</v>
      </c>
      <c r="BG363" s="6">
        <v>83.1</v>
      </c>
    </row>
    <row r="364" spans="1:59" x14ac:dyDescent="0.25">
      <c r="A364" s="4">
        <v>363</v>
      </c>
      <c r="B364" s="33" t="s">
        <v>1719</v>
      </c>
      <c r="C364" s="6" t="s">
        <v>2082</v>
      </c>
      <c r="D364" s="52" t="s">
        <v>4884</v>
      </c>
      <c r="E364" s="6" t="s">
        <v>178</v>
      </c>
      <c r="F364" s="36" t="s">
        <v>1718</v>
      </c>
      <c r="G364" s="6">
        <v>989866778</v>
      </c>
      <c r="H364" t="str">
        <f>VLOOKUP(D364,DATA_SISTEMA!$A$1:$Q$506,13,FALSE)</f>
        <v>AAHH. 18 DE FEBERO MZ. "J", LOTE "8"</v>
      </c>
      <c r="I364" t="str">
        <f>VLOOKUP(D364,DATA_SISTEMA!$A$1:$Q$506,7,FALSE)</f>
        <v>1995-09-17</v>
      </c>
      <c r="J364" s="32" t="s">
        <v>1718</v>
      </c>
      <c r="K364" s="32" t="s">
        <v>1718</v>
      </c>
      <c r="L364" s="32" t="s">
        <v>1718</v>
      </c>
      <c r="M364">
        <v>329</v>
      </c>
      <c r="N364">
        <v>0</v>
      </c>
      <c r="O364" s="32" t="str">
        <f t="shared" si="5"/>
        <v>3630020261X</v>
      </c>
      <c r="P364" s="32" t="s">
        <v>1718</v>
      </c>
      <c r="Q364" s="32" t="s">
        <v>1718</v>
      </c>
      <c r="R364" s="32" t="s">
        <v>2110</v>
      </c>
      <c r="S364" s="32" t="s">
        <v>5034</v>
      </c>
      <c r="T364" t="str">
        <f>VLOOKUP(D364,DATA_SISTEMA!$A$1:$Q$506,9,FALSE)</f>
        <v>M</v>
      </c>
      <c r="U364" s="32" t="s">
        <v>2106</v>
      </c>
      <c r="V364" s="32" t="s">
        <v>1718</v>
      </c>
      <c r="W364" s="37" t="s">
        <v>5028</v>
      </c>
      <c r="X364" s="32" t="s">
        <v>4522</v>
      </c>
      <c r="Y364" s="32" t="s">
        <v>1718</v>
      </c>
      <c r="Z364" s="32" t="s">
        <v>1718</v>
      </c>
      <c r="AA364" s="32" t="s">
        <v>5028</v>
      </c>
      <c r="AB364" s="32" t="s">
        <v>1718</v>
      </c>
      <c r="AC364" s="32" t="s">
        <v>1718</v>
      </c>
      <c r="AD364" s="32" t="s">
        <v>1718</v>
      </c>
      <c r="AE364" s="32" t="s">
        <v>1718</v>
      </c>
      <c r="AF364" s="32" t="s">
        <v>1718</v>
      </c>
      <c r="AG364" s="32" t="s">
        <v>1718</v>
      </c>
      <c r="AH364" s="32" t="s">
        <v>2107</v>
      </c>
      <c r="AI364" s="6" t="s">
        <v>1647</v>
      </c>
      <c r="AJ364" s="6" t="s">
        <v>1284</v>
      </c>
      <c r="AK364" s="6" t="s">
        <v>862</v>
      </c>
      <c r="AL364" s="6">
        <v>74226566</v>
      </c>
      <c r="AM364" t="s">
        <v>1718</v>
      </c>
      <c r="AN364" t="s">
        <v>1718</v>
      </c>
      <c r="AO364" t="s">
        <v>1718</v>
      </c>
      <c r="AP364" t="s">
        <v>1718</v>
      </c>
      <c r="AQ364" t="s">
        <v>1718</v>
      </c>
      <c r="AR364" t="s">
        <v>1718</v>
      </c>
      <c r="AS364" t="s">
        <v>1718</v>
      </c>
      <c r="AT364" t="s">
        <v>1718</v>
      </c>
      <c r="AU364" t="s">
        <v>1718</v>
      </c>
      <c r="AV364" t="str">
        <f>VLOOKUP(D364,DATA_SISTEMA!$A$1:$Q$506,12,FALSE)</f>
        <v>LAMBAYEQUE</v>
      </c>
      <c r="AW364" t="str">
        <f>VLOOKUP(D364,DATA_SISTEMA!$A$1:$Q$506,11,FALSE)</f>
        <v>LAMBAYEQUE</v>
      </c>
      <c r="AX364" t="str">
        <f>VLOOKUP(D364,DATA_SISTEMA!$A$1:$Q$506,10,FALSE)</f>
        <v>LAMBAYEQUE</v>
      </c>
      <c r="AY364" t="s">
        <v>1718</v>
      </c>
      <c r="AZ364" t="s">
        <v>5028</v>
      </c>
      <c r="BA364" t="s">
        <v>1718</v>
      </c>
      <c r="BB364" t="s">
        <v>5028</v>
      </c>
      <c r="BC364" t="s">
        <v>1718</v>
      </c>
      <c r="BD364" t="s">
        <v>5028</v>
      </c>
      <c r="BE364" t="s">
        <v>1718</v>
      </c>
      <c r="BF364" s="34" t="s">
        <v>2104</v>
      </c>
      <c r="BG364" s="6">
        <v>78.2</v>
      </c>
    </row>
    <row r="365" spans="1:59" x14ac:dyDescent="0.25">
      <c r="A365" s="4">
        <v>364</v>
      </c>
      <c r="B365" s="33" t="s">
        <v>1719</v>
      </c>
      <c r="C365" s="6" t="s">
        <v>2083</v>
      </c>
      <c r="D365" s="52" t="s">
        <v>4885</v>
      </c>
      <c r="E365" s="6" t="s">
        <v>180</v>
      </c>
      <c r="F365" s="36" t="s">
        <v>1718</v>
      </c>
      <c r="G365" s="6">
        <v>928720337</v>
      </c>
      <c r="H365" t="str">
        <f>VLOOKUP(D365,DATA_SISTEMA!$A$1:$Q$506,13,FALSE)</f>
        <v>AV. INDEPENDENCIA URB. LUIS CARRANZA MZ A LT 9</v>
      </c>
      <c r="I365" t="str">
        <f>VLOOKUP(D365,DATA_SISTEMA!$A$1:$Q$506,7,FALSE)</f>
        <v>1995-12-15</v>
      </c>
      <c r="J365" s="32" t="s">
        <v>1718</v>
      </c>
      <c r="K365" s="32" t="s">
        <v>1718</v>
      </c>
      <c r="L365" s="32" t="s">
        <v>1718</v>
      </c>
      <c r="M365">
        <v>329</v>
      </c>
      <c r="N365">
        <v>0</v>
      </c>
      <c r="O365" s="32" t="str">
        <f t="shared" si="5"/>
        <v>3640020261X</v>
      </c>
      <c r="P365" s="32" t="s">
        <v>1718</v>
      </c>
      <c r="Q365" s="32" t="s">
        <v>1718</v>
      </c>
      <c r="R365" s="32" t="s">
        <v>2110</v>
      </c>
      <c r="S365" s="32" t="s">
        <v>5034</v>
      </c>
      <c r="T365" t="str">
        <f>VLOOKUP(D365,DATA_SISTEMA!$A$1:$Q$506,9,FALSE)</f>
        <v>M</v>
      </c>
      <c r="U365" s="32" t="s">
        <v>2106</v>
      </c>
      <c r="V365" s="32" t="s">
        <v>1718</v>
      </c>
      <c r="W365" s="37" t="s">
        <v>5028</v>
      </c>
      <c r="X365" s="32" t="s">
        <v>4522</v>
      </c>
      <c r="Y365" s="32" t="s">
        <v>1718</v>
      </c>
      <c r="Z365" s="32" t="s">
        <v>1718</v>
      </c>
      <c r="AA365" s="32" t="s">
        <v>5028</v>
      </c>
      <c r="AB365" s="32" t="s">
        <v>1718</v>
      </c>
      <c r="AC365" s="32" t="s">
        <v>1718</v>
      </c>
      <c r="AD365" s="32" t="s">
        <v>1718</v>
      </c>
      <c r="AE365" s="32" t="s">
        <v>1718</v>
      </c>
      <c r="AF365" s="32" t="s">
        <v>1718</v>
      </c>
      <c r="AG365" s="32" t="s">
        <v>1718</v>
      </c>
      <c r="AH365" s="32" t="s">
        <v>2107</v>
      </c>
      <c r="AI365" s="6" t="s">
        <v>1648</v>
      </c>
      <c r="AJ365" s="6" t="s">
        <v>1285</v>
      </c>
      <c r="AK365" s="6" t="s">
        <v>1286</v>
      </c>
      <c r="AL365" s="6">
        <v>75357455</v>
      </c>
      <c r="AM365" t="s">
        <v>1718</v>
      </c>
      <c r="AN365" t="s">
        <v>1718</v>
      </c>
      <c r="AO365" t="s">
        <v>1718</v>
      </c>
      <c r="AP365" t="s">
        <v>1718</v>
      </c>
      <c r="AQ365" t="s">
        <v>1718</v>
      </c>
      <c r="AR365" t="s">
        <v>1718</v>
      </c>
      <c r="AS365" t="s">
        <v>1718</v>
      </c>
      <c r="AT365" t="s">
        <v>1718</v>
      </c>
      <c r="AU365" t="s">
        <v>1718</v>
      </c>
      <c r="AV365" t="str">
        <f>VLOOKUP(D365,DATA_SISTEMA!$A$1:$Q$506,12,FALSE)</f>
        <v>AYACUCHO</v>
      </c>
      <c r="AW365" t="str">
        <f>VLOOKUP(D365,DATA_SISTEMA!$A$1:$Q$506,11,FALSE)</f>
        <v>HUAMANGA</v>
      </c>
      <c r="AX365" t="str">
        <f>VLOOKUP(D365,DATA_SISTEMA!$A$1:$Q$506,10,FALSE)</f>
        <v>AYACUCHO</v>
      </c>
      <c r="AY365" t="s">
        <v>1718</v>
      </c>
      <c r="AZ365" t="s">
        <v>5028</v>
      </c>
      <c r="BA365" t="s">
        <v>1718</v>
      </c>
      <c r="BB365" t="s">
        <v>5028</v>
      </c>
      <c r="BC365" t="s">
        <v>1718</v>
      </c>
      <c r="BD365" t="s">
        <v>5028</v>
      </c>
      <c r="BE365" t="s">
        <v>1718</v>
      </c>
      <c r="BF365" s="34" t="s">
        <v>2104</v>
      </c>
      <c r="BG365" s="6">
        <v>77</v>
      </c>
    </row>
    <row r="366" spans="1:59" x14ac:dyDescent="0.25">
      <c r="A366" s="4">
        <v>365</v>
      </c>
      <c r="B366" s="33" t="s">
        <v>1719</v>
      </c>
      <c r="C366" s="6" t="s">
        <v>2084</v>
      </c>
      <c r="D366" s="52" t="s">
        <v>4886</v>
      </c>
      <c r="E366" s="6" t="s">
        <v>182</v>
      </c>
      <c r="F366" s="36" t="s">
        <v>1718</v>
      </c>
      <c r="G366" s="6">
        <v>972930955</v>
      </c>
      <c r="H366" t="str">
        <f>VLOOKUP(D366,DATA_SISTEMA!$A$1:$Q$506,13,FALSE)</f>
        <v>CALLE ESMERALDA 1599 PUEBLO JOVEN SANTA ROSA</v>
      </c>
      <c r="I366" t="str">
        <f>VLOOKUP(D366,DATA_SISTEMA!$A$1:$Q$506,7,FALSE)</f>
        <v>1994-12-31</v>
      </c>
      <c r="J366" s="32" t="s">
        <v>1718</v>
      </c>
      <c r="K366" s="32" t="s">
        <v>1718</v>
      </c>
      <c r="L366" s="32" t="s">
        <v>1718</v>
      </c>
      <c r="M366">
        <v>329</v>
      </c>
      <c r="N366">
        <v>0</v>
      </c>
      <c r="O366" s="32" t="str">
        <f t="shared" si="5"/>
        <v>3650020261X</v>
      </c>
      <c r="P366" s="32" t="s">
        <v>1718</v>
      </c>
      <c r="Q366" s="32" t="s">
        <v>1718</v>
      </c>
      <c r="R366" s="32" t="s">
        <v>2110</v>
      </c>
      <c r="S366" s="32" t="s">
        <v>5034</v>
      </c>
      <c r="T366" t="str">
        <f>VLOOKUP(D366,DATA_SISTEMA!$A$1:$Q$506,9,FALSE)</f>
        <v>M</v>
      </c>
      <c r="U366" s="32" t="s">
        <v>2106</v>
      </c>
      <c r="V366" s="32" t="s">
        <v>1718</v>
      </c>
      <c r="W366" s="37" t="s">
        <v>5028</v>
      </c>
      <c r="X366" s="32" t="s">
        <v>4522</v>
      </c>
      <c r="Y366" s="32" t="s">
        <v>1718</v>
      </c>
      <c r="Z366" s="32" t="s">
        <v>1718</v>
      </c>
      <c r="AA366" s="32" t="s">
        <v>5028</v>
      </c>
      <c r="AB366" s="32" t="s">
        <v>1718</v>
      </c>
      <c r="AC366" s="32" t="s">
        <v>1718</v>
      </c>
      <c r="AD366" s="32" t="s">
        <v>1718</v>
      </c>
      <c r="AE366" s="32" t="s">
        <v>1718</v>
      </c>
      <c r="AF366" s="32" t="s">
        <v>1718</v>
      </c>
      <c r="AG366" s="32" t="s">
        <v>1718</v>
      </c>
      <c r="AH366" s="32" t="s">
        <v>2107</v>
      </c>
      <c r="AI366" s="6" t="s">
        <v>1342</v>
      </c>
      <c r="AJ366" s="6" t="s">
        <v>1287</v>
      </c>
      <c r="AK366" s="6" t="s">
        <v>1288</v>
      </c>
      <c r="AL366" s="6">
        <v>75822747</v>
      </c>
      <c r="AM366" t="s">
        <v>1718</v>
      </c>
      <c r="AN366" t="s">
        <v>1718</v>
      </c>
      <c r="AO366" t="s">
        <v>1718</v>
      </c>
      <c r="AP366" t="s">
        <v>1718</v>
      </c>
      <c r="AQ366" t="s">
        <v>1718</v>
      </c>
      <c r="AR366" t="s">
        <v>1718</v>
      </c>
      <c r="AS366" t="s">
        <v>1718</v>
      </c>
      <c r="AT366" t="s">
        <v>1718</v>
      </c>
      <c r="AU366" t="s">
        <v>1718</v>
      </c>
      <c r="AV366" t="str">
        <f>VLOOKUP(D366,DATA_SISTEMA!$A$1:$Q$506,12,FALSE)</f>
        <v>LAMBAYEQUE</v>
      </c>
      <c r="AW366" t="str">
        <f>VLOOKUP(D366,DATA_SISTEMA!$A$1:$Q$506,11,FALSE)</f>
        <v>LAMBAYEQUE</v>
      </c>
      <c r="AX366" t="str">
        <f>VLOOKUP(D366,DATA_SISTEMA!$A$1:$Q$506,10,FALSE)</f>
        <v>LAMBAYEQUE</v>
      </c>
      <c r="AY366" t="s">
        <v>1718</v>
      </c>
      <c r="AZ366" t="s">
        <v>5028</v>
      </c>
      <c r="BA366" t="s">
        <v>1718</v>
      </c>
      <c r="BB366" t="s">
        <v>5028</v>
      </c>
      <c r="BC366" t="s">
        <v>1718</v>
      </c>
      <c r="BD366" t="s">
        <v>5028</v>
      </c>
      <c r="BE366" t="s">
        <v>1718</v>
      </c>
      <c r="BF366" s="34" t="s">
        <v>2104</v>
      </c>
      <c r="BG366" s="6">
        <v>76.3</v>
      </c>
    </row>
    <row r="367" spans="1:59" x14ac:dyDescent="0.25">
      <c r="A367" s="4">
        <v>366</v>
      </c>
      <c r="B367" s="33" t="s">
        <v>1719</v>
      </c>
      <c r="C367" s="6" t="s">
        <v>2085</v>
      </c>
      <c r="D367" s="52" t="s">
        <v>4887</v>
      </c>
      <c r="E367" s="6" t="s">
        <v>184</v>
      </c>
      <c r="F367" s="36" t="s">
        <v>1718</v>
      </c>
      <c r="G367" s="6">
        <v>966693463</v>
      </c>
      <c r="H367" t="str">
        <f>VLOOKUP(D367,DATA_SISTEMA!$A$1:$Q$506,13,FALSE)</f>
        <v>JOSÉ GÁLVEZ 210</v>
      </c>
      <c r="I367" t="str">
        <f>VLOOKUP(D367,DATA_SISTEMA!$A$1:$Q$506,7,FALSE)</f>
        <v>1998-12-12</v>
      </c>
      <c r="J367" s="32" t="s">
        <v>1718</v>
      </c>
      <c r="K367" s="32" t="s">
        <v>1718</v>
      </c>
      <c r="L367" s="32" t="s">
        <v>1718</v>
      </c>
      <c r="M367">
        <v>329</v>
      </c>
      <c r="N367">
        <v>0</v>
      </c>
      <c r="O367" s="32" t="str">
        <f t="shared" si="5"/>
        <v>3660020261X</v>
      </c>
      <c r="P367" s="32" t="s">
        <v>1718</v>
      </c>
      <c r="Q367" s="32" t="s">
        <v>1718</v>
      </c>
      <c r="R367" s="32" t="s">
        <v>2110</v>
      </c>
      <c r="S367" s="32" t="s">
        <v>5034</v>
      </c>
      <c r="T367" t="str">
        <f>VLOOKUP(D367,DATA_SISTEMA!$A$1:$Q$506,9,FALSE)</f>
        <v>F</v>
      </c>
      <c r="U367" s="32" t="s">
        <v>2106</v>
      </c>
      <c r="V367" s="32" t="s">
        <v>1718</v>
      </c>
      <c r="W367" s="37" t="s">
        <v>5028</v>
      </c>
      <c r="X367" s="32" t="s">
        <v>4522</v>
      </c>
      <c r="Y367" s="32" t="s">
        <v>1718</v>
      </c>
      <c r="Z367" s="32" t="s">
        <v>1718</v>
      </c>
      <c r="AA367" s="32" t="s">
        <v>5028</v>
      </c>
      <c r="AB367" s="32" t="s">
        <v>1718</v>
      </c>
      <c r="AC367" s="32" t="s">
        <v>1718</v>
      </c>
      <c r="AD367" s="32" t="s">
        <v>1718</v>
      </c>
      <c r="AE367" s="32" t="s">
        <v>1718</v>
      </c>
      <c r="AF367" s="32" t="s">
        <v>1718</v>
      </c>
      <c r="AG367" s="32" t="s">
        <v>1718</v>
      </c>
      <c r="AH367" s="32" t="s">
        <v>2107</v>
      </c>
      <c r="AI367" s="6" t="s">
        <v>1649</v>
      </c>
      <c r="AJ367" s="6" t="s">
        <v>916</v>
      </c>
      <c r="AK367" s="6" t="s">
        <v>1003</v>
      </c>
      <c r="AL367" s="6">
        <v>77148412</v>
      </c>
      <c r="AM367" t="s">
        <v>1718</v>
      </c>
      <c r="AN367" t="s">
        <v>1718</v>
      </c>
      <c r="AO367" t="s">
        <v>1718</v>
      </c>
      <c r="AP367" t="s">
        <v>1718</v>
      </c>
      <c r="AQ367" t="s">
        <v>1718</v>
      </c>
      <c r="AR367" t="s">
        <v>1718</v>
      </c>
      <c r="AS367" t="s">
        <v>1718</v>
      </c>
      <c r="AT367" t="s">
        <v>1718</v>
      </c>
      <c r="AU367" t="s">
        <v>1718</v>
      </c>
      <c r="AV367" t="str">
        <f>VLOOKUP(D367,DATA_SISTEMA!$A$1:$Q$506,12,FALSE)</f>
        <v>JOSE LEONARDO ORTIZ</v>
      </c>
      <c r="AW367" t="str">
        <f>VLOOKUP(D367,DATA_SISTEMA!$A$1:$Q$506,11,FALSE)</f>
        <v>CHICLAYO</v>
      </c>
      <c r="AX367" t="str">
        <f>VLOOKUP(D367,DATA_SISTEMA!$A$1:$Q$506,10,FALSE)</f>
        <v>LAMBAYEQUE</v>
      </c>
      <c r="AY367" t="s">
        <v>1718</v>
      </c>
      <c r="AZ367" t="s">
        <v>5028</v>
      </c>
      <c r="BA367" t="s">
        <v>1718</v>
      </c>
      <c r="BB367" t="s">
        <v>5028</v>
      </c>
      <c r="BC367" t="s">
        <v>1718</v>
      </c>
      <c r="BD367" t="s">
        <v>5028</v>
      </c>
      <c r="BE367" t="s">
        <v>1718</v>
      </c>
      <c r="BF367" s="34" t="s">
        <v>2104</v>
      </c>
      <c r="BG367" s="6">
        <v>75</v>
      </c>
    </row>
    <row r="368" spans="1:59" x14ac:dyDescent="0.25">
      <c r="A368" s="4">
        <v>367</v>
      </c>
      <c r="B368" s="33" t="s">
        <v>1719</v>
      </c>
      <c r="C368" s="6" t="s">
        <v>2086</v>
      </c>
      <c r="D368" s="52" t="s">
        <v>4888</v>
      </c>
      <c r="E368" s="6" t="s">
        <v>186</v>
      </c>
      <c r="F368" s="36" t="s">
        <v>1718</v>
      </c>
      <c r="G368" s="6">
        <v>954546987</v>
      </c>
      <c r="H368" t="str">
        <f>VLOOKUP(D368,DATA_SISTEMA!$A$1:$Q$506,13,FALSE)</f>
        <v>CASERIO EL BANCO</v>
      </c>
      <c r="I368" t="str">
        <f>VLOOKUP(D368,DATA_SISTEMA!$A$1:$Q$506,7,FALSE)</f>
        <v>2000-07-02</v>
      </c>
      <c r="J368" s="32" t="s">
        <v>1718</v>
      </c>
      <c r="K368" s="32" t="s">
        <v>1718</v>
      </c>
      <c r="L368" s="32" t="s">
        <v>1718</v>
      </c>
      <c r="M368">
        <v>329</v>
      </c>
      <c r="N368">
        <v>0</v>
      </c>
      <c r="O368" s="32" t="str">
        <f t="shared" si="5"/>
        <v>3670020261X</v>
      </c>
      <c r="P368" s="32" t="s">
        <v>1718</v>
      </c>
      <c r="Q368" s="32" t="s">
        <v>1718</v>
      </c>
      <c r="R368" s="32" t="s">
        <v>2110</v>
      </c>
      <c r="S368" s="32" t="s">
        <v>5034</v>
      </c>
      <c r="T368" t="str">
        <f>VLOOKUP(D368,DATA_SISTEMA!$A$1:$Q$506,9,FALSE)</f>
        <v>F</v>
      </c>
      <c r="U368" s="32" t="s">
        <v>2106</v>
      </c>
      <c r="V368" s="32" t="s">
        <v>1718</v>
      </c>
      <c r="W368" s="37" t="s">
        <v>5028</v>
      </c>
      <c r="X368" s="32" t="s">
        <v>4522</v>
      </c>
      <c r="Y368" s="32" t="s">
        <v>1718</v>
      </c>
      <c r="Z368" s="32" t="s">
        <v>1718</v>
      </c>
      <c r="AA368" s="32" t="s">
        <v>5028</v>
      </c>
      <c r="AB368" s="32" t="s">
        <v>1718</v>
      </c>
      <c r="AC368" s="32" t="s">
        <v>1718</v>
      </c>
      <c r="AD368" s="32" t="s">
        <v>1718</v>
      </c>
      <c r="AE368" s="32" t="s">
        <v>1718</v>
      </c>
      <c r="AF368" s="32" t="s">
        <v>1718</v>
      </c>
      <c r="AG368" s="32" t="s">
        <v>1718</v>
      </c>
      <c r="AH368" s="32" t="s">
        <v>2107</v>
      </c>
      <c r="AI368" s="6" t="s">
        <v>1650</v>
      </c>
      <c r="AJ368" s="6" t="s">
        <v>1023</v>
      </c>
      <c r="AK368" s="6" t="s">
        <v>1289</v>
      </c>
      <c r="AL368" s="6">
        <v>74243164</v>
      </c>
      <c r="AM368" t="s">
        <v>1718</v>
      </c>
      <c r="AN368" t="s">
        <v>1718</v>
      </c>
      <c r="AO368" t="s">
        <v>1718</v>
      </c>
      <c r="AP368" t="s">
        <v>1718</v>
      </c>
      <c r="AQ368" t="s">
        <v>1718</v>
      </c>
      <c r="AR368" t="s">
        <v>1718</v>
      </c>
      <c r="AS368" t="s">
        <v>1718</v>
      </c>
      <c r="AT368" t="s">
        <v>1718</v>
      </c>
      <c r="AU368" t="s">
        <v>1718</v>
      </c>
      <c r="AV368" t="str">
        <f>VLOOKUP(D368,DATA_SISTEMA!$A$1:$Q$506,12,FALSE)</f>
        <v>SALAS</v>
      </c>
      <c r="AW368" t="str">
        <f>VLOOKUP(D368,DATA_SISTEMA!$A$1:$Q$506,11,FALSE)</f>
        <v>LAMBAYEQUE</v>
      </c>
      <c r="AX368" t="str">
        <f>VLOOKUP(D368,DATA_SISTEMA!$A$1:$Q$506,10,FALSE)</f>
        <v>LAMBAYEQUE</v>
      </c>
      <c r="AY368" t="s">
        <v>1718</v>
      </c>
      <c r="AZ368" t="s">
        <v>5028</v>
      </c>
      <c r="BA368" t="s">
        <v>1718</v>
      </c>
      <c r="BB368" t="s">
        <v>5028</v>
      </c>
      <c r="BC368" t="s">
        <v>1718</v>
      </c>
      <c r="BD368" t="s">
        <v>5028</v>
      </c>
      <c r="BE368" t="s">
        <v>1718</v>
      </c>
      <c r="BF368" s="34" t="s">
        <v>2104</v>
      </c>
      <c r="BG368" s="6">
        <v>71.8</v>
      </c>
    </row>
    <row r="369" spans="1:59" x14ac:dyDescent="0.25">
      <c r="A369" s="4">
        <v>368</v>
      </c>
      <c r="B369" s="33" t="s">
        <v>1719</v>
      </c>
      <c r="C369" s="6" t="s">
        <v>2087</v>
      </c>
      <c r="D369" s="52" t="s">
        <v>4889</v>
      </c>
      <c r="E369" s="6" t="s">
        <v>188</v>
      </c>
      <c r="F369" s="36" t="s">
        <v>1718</v>
      </c>
      <c r="G369" s="6">
        <v>949747028</v>
      </c>
      <c r="H369" t="str">
        <f>VLOOKUP(D369,DATA_SISTEMA!$A$1:$Q$506,13,FALSE)</f>
        <v>INT. 2 TUMAN CENTRO MZ 21 LT 4</v>
      </c>
      <c r="I369" t="str">
        <f>VLOOKUP(D369,DATA_SISTEMA!$A$1:$Q$506,7,FALSE)</f>
        <v>1991-12-25</v>
      </c>
      <c r="J369" s="32" t="s">
        <v>1718</v>
      </c>
      <c r="K369" s="32" t="s">
        <v>1718</v>
      </c>
      <c r="L369" s="32" t="s">
        <v>1718</v>
      </c>
      <c r="M369">
        <v>329</v>
      </c>
      <c r="N369">
        <v>0</v>
      </c>
      <c r="O369" s="32" t="str">
        <f t="shared" si="5"/>
        <v>3680020261X</v>
      </c>
      <c r="P369" s="32" t="s">
        <v>1718</v>
      </c>
      <c r="Q369" s="32" t="s">
        <v>1718</v>
      </c>
      <c r="R369" s="32" t="s">
        <v>2110</v>
      </c>
      <c r="S369" s="32" t="s">
        <v>5034</v>
      </c>
      <c r="T369" t="str">
        <f>VLOOKUP(D369,DATA_SISTEMA!$A$1:$Q$506,9,FALSE)</f>
        <v>M</v>
      </c>
      <c r="U369" s="32" t="s">
        <v>2106</v>
      </c>
      <c r="V369" s="32" t="s">
        <v>1718</v>
      </c>
      <c r="W369" s="37" t="s">
        <v>5028</v>
      </c>
      <c r="X369" s="32" t="s">
        <v>4522</v>
      </c>
      <c r="Y369" s="32" t="s">
        <v>1718</v>
      </c>
      <c r="Z369" s="32" t="s">
        <v>1718</v>
      </c>
      <c r="AA369" s="32" t="s">
        <v>5028</v>
      </c>
      <c r="AB369" s="32" t="s">
        <v>1718</v>
      </c>
      <c r="AC369" s="32" t="s">
        <v>1718</v>
      </c>
      <c r="AD369" s="32" t="s">
        <v>1718</v>
      </c>
      <c r="AE369" s="32" t="s">
        <v>1718</v>
      </c>
      <c r="AF369" s="32" t="s">
        <v>1718</v>
      </c>
      <c r="AG369" s="32" t="s">
        <v>1718</v>
      </c>
      <c r="AH369" s="32" t="s">
        <v>2107</v>
      </c>
      <c r="AI369" s="6" t="s">
        <v>1651</v>
      </c>
      <c r="AJ369" s="6" t="s">
        <v>980</v>
      </c>
      <c r="AK369" s="6" t="s">
        <v>862</v>
      </c>
      <c r="AL369" s="6">
        <v>47571093</v>
      </c>
      <c r="AM369" t="s">
        <v>1718</v>
      </c>
      <c r="AN369" t="s">
        <v>1718</v>
      </c>
      <c r="AO369" t="s">
        <v>1718</v>
      </c>
      <c r="AP369" t="s">
        <v>1718</v>
      </c>
      <c r="AQ369" t="s">
        <v>1718</v>
      </c>
      <c r="AR369" t="s">
        <v>1718</v>
      </c>
      <c r="AS369" t="s">
        <v>1718</v>
      </c>
      <c r="AT369" t="s">
        <v>1718</v>
      </c>
      <c r="AU369" t="s">
        <v>1718</v>
      </c>
      <c r="AV369" t="str">
        <f>VLOOKUP(D369,DATA_SISTEMA!$A$1:$Q$506,12,FALSE)</f>
        <v>OYOTUN</v>
      </c>
      <c r="AW369" t="str">
        <f>VLOOKUP(D369,DATA_SISTEMA!$A$1:$Q$506,11,FALSE)</f>
        <v>CHICLAYO</v>
      </c>
      <c r="AX369" t="str">
        <f>VLOOKUP(D369,DATA_SISTEMA!$A$1:$Q$506,10,FALSE)</f>
        <v>LAMBAYEQUE</v>
      </c>
      <c r="AY369" t="s">
        <v>1718</v>
      </c>
      <c r="AZ369" t="s">
        <v>5028</v>
      </c>
      <c r="BA369" t="s">
        <v>1718</v>
      </c>
      <c r="BB369" t="s">
        <v>5028</v>
      </c>
      <c r="BC369" t="s">
        <v>1718</v>
      </c>
      <c r="BD369" t="s">
        <v>5028</v>
      </c>
      <c r="BE369" t="s">
        <v>1718</v>
      </c>
      <c r="BF369" s="34" t="s">
        <v>2104</v>
      </c>
      <c r="BG369" s="6">
        <v>71.5</v>
      </c>
    </row>
    <row r="370" spans="1:59" x14ac:dyDescent="0.25">
      <c r="A370" s="4">
        <v>369</v>
      </c>
      <c r="B370" s="33" t="s">
        <v>1719</v>
      </c>
      <c r="C370" s="6" t="s">
        <v>2088</v>
      </c>
      <c r="D370" s="52" t="s">
        <v>4890</v>
      </c>
      <c r="E370" s="6" t="s">
        <v>190</v>
      </c>
      <c r="F370" s="36" t="s">
        <v>1718</v>
      </c>
      <c r="G370" s="6">
        <v>956749492</v>
      </c>
      <c r="H370" t="str">
        <f>VLOOKUP(D370,DATA_SISTEMA!$A$1:$Q$506,13,FALSE)</f>
        <v>MZ A LOTE 11 URBANIZACION VISTA ALEGRE -I ETAPA</v>
      </c>
      <c r="I370" t="str">
        <f>VLOOKUP(D370,DATA_SISTEMA!$A$1:$Q$506,7,FALSE)</f>
        <v>1979-04-14</v>
      </c>
      <c r="J370" s="32" t="s">
        <v>1718</v>
      </c>
      <c r="K370" s="32" t="s">
        <v>1718</v>
      </c>
      <c r="L370" s="32" t="s">
        <v>1718</v>
      </c>
      <c r="M370">
        <v>329</v>
      </c>
      <c r="N370">
        <v>0</v>
      </c>
      <c r="O370" s="32" t="str">
        <f t="shared" si="5"/>
        <v>3690020261X</v>
      </c>
      <c r="P370" s="32" t="s">
        <v>1718</v>
      </c>
      <c r="Q370" s="32" t="s">
        <v>1718</v>
      </c>
      <c r="R370" s="32" t="s">
        <v>2110</v>
      </c>
      <c r="S370" s="32" t="s">
        <v>5034</v>
      </c>
      <c r="T370" t="str">
        <f>VLOOKUP(D370,DATA_SISTEMA!$A$1:$Q$506,9,FALSE)</f>
        <v>M</v>
      </c>
      <c r="U370" s="32" t="s">
        <v>2106</v>
      </c>
      <c r="V370" s="32" t="s">
        <v>1718</v>
      </c>
      <c r="W370" s="37" t="s">
        <v>5028</v>
      </c>
      <c r="X370" s="32" t="s">
        <v>4522</v>
      </c>
      <c r="Y370" s="32" t="s">
        <v>1718</v>
      </c>
      <c r="Z370" s="32" t="s">
        <v>1718</v>
      </c>
      <c r="AA370" s="32" t="s">
        <v>5028</v>
      </c>
      <c r="AB370" s="32" t="s">
        <v>1718</v>
      </c>
      <c r="AC370" s="32" t="s">
        <v>1718</v>
      </c>
      <c r="AD370" s="32" t="s">
        <v>1718</v>
      </c>
      <c r="AE370" s="32" t="s">
        <v>1718</v>
      </c>
      <c r="AF370" s="32" t="s">
        <v>1718</v>
      </c>
      <c r="AG370" s="32" t="s">
        <v>1718</v>
      </c>
      <c r="AH370" s="32" t="s">
        <v>2107</v>
      </c>
      <c r="AI370" s="6" t="s">
        <v>1652</v>
      </c>
      <c r="AJ370" s="6" t="s">
        <v>1290</v>
      </c>
      <c r="AK370" s="6" t="s">
        <v>1206</v>
      </c>
      <c r="AL370" s="6">
        <v>40472061</v>
      </c>
      <c r="AM370" t="s">
        <v>1718</v>
      </c>
      <c r="AN370" t="s">
        <v>1718</v>
      </c>
      <c r="AO370" t="s">
        <v>1718</v>
      </c>
      <c r="AP370" t="s">
        <v>1718</v>
      </c>
      <c r="AQ370" t="s">
        <v>1718</v>
      </c>
      <c r="AR370" t="s">
        <v>1718</v>
      </c>
      <c r="AS370" t="s">
        <v>1718</v>
      </c>
      <c r="AT370" t="s">
        <v>1718</v>
      </c>
      <c r="AU370" t="s">
        <v>1718</v>
      </c>
      <c r="AV370" t="str">
        <f>VLOOKUP(D370,DATA_SISTEMA!$A$1:$Q$506,12,FALSE)</f>
        <v>JOSE LEONARDO ORTIZ</v>
      </c>
      <c r="AW370" t="str">
        <f>VLOOKUP(D370,DATA_SISTEMA!$A$1:$Q$506,11,FALSE)</f>
        <v>CHICLAYO</v>
      </c>
      <c r="AX370" t="str">
        <f>VLOOKUP(D370,DATA_SISTEMA!$A$1:$Q$506,10,FALSE)</f>
        <v>LAMBAYEQUE</v>
      </c>
      <c r="AY370" t="s">
        <v>1718</v>
      </c>
      <c r="AZ370" t="s">
        <v>5028</v>
      </c>
      <c r="BA370" t="s">
        <v>1718</v>
      </c>
      <c r="BB370" t="s">
        <v>5028</v>
      </c>
      <c r="BC370" t="s">
        <v>1718</v>
      </c>
      <c r="BD370" t="s">
        <v>5028</v>
      </c>
      <c r="BE370" t="s">
        <v>1718</v>
      </c>
      <c r="BF370" s="34" t="s">
        <v>2104</v>
      </c>
      <c r="BG370" s="6">
        <v>69.7</v>
      </c>
    </row>
    <row r="371" spans="1:59" x14ac:dyDescent="0.25">
      <c r="A371" s="4">
        <v>370</v>
      </c>
      <c r="B371" s="33" t="s">
        <v>1719</v>
      </c>
      <c r="C371" s="6" t="s">
        <v>2089</v>
      </c>
      <c r="D371" s="52" t="s">
        <v>4891</v>
      </c>
      <c r="E371" s="6" t="s">
        <v>192</v>
      </c>
      <c r="F371" s="36" t="s">
        <v>1718</v>
      </c>
      <c r="G371" s="6">
        <v>929304528</v>
      </c>
      <c r="H371" t="str">
        <f>VLOOKUP(D371,DATA_SISTEMA!$A$1:$Q$506,13,FALSE)</f>
        <v>CALLE LAS TUNAS 128 PUEBLO JOVEN LOS OLIVOS</v>
      </c>
      <c r="I371" t="str">
        <f>VLOOKUP(D371,DATA_SISTEMA!$A$1:$Q$506,7,FALSE)</f>
        <v>1989-07-16</v>
      </c>
      <c r="J371" s="32" t="s">
        <v>1718</v>
      </c>
      <c r="K371" s="32" t="s">
        <v>1718</v>
      </c>
      <c r="L371" s="32" t="s">
        <v>1718</v>
      </c>
      <c r="M371">
        <v>329</v>
      </c>
      <c r="N371">
        <v>0</v>
      </c>
      <c r="O371" s="32" t="str">
        <f t="shared" si="5"/>
        <v>3700020261X</v>
      </c>
      <c r="P371" s="32" t="s">
        <v>1718</v>
      </c>
      <c r="Q371" s="32" t="s">
        <v>1718</v>
      </c>
      <c r="R371" s="32" t="s">
        <v>2110</v>
      </c>
      <c r="S371" s="32" t="s">
        <v>5034</v>
      </c>
      <c r="T371" t="str">
        <f>VLOOKUP(D371,DATA_SISTEMA!$A$1:$Q$506,9,FALSE)</f>
        <v>M</v>
      </c>
      <c r="U371" s="32" t="s">
        <v>2106</v>
      </c>
      <c r="V371" s="32" t="s">
        <v>1718</v>
      </c>
      <c r="W371" s="37" t="s">
        <v>5028</v>
      </c>
      <c r="X371" s="32" t="s">
        <v>4522</v>
      </c>
      <c r="Y371" s="32" t="s">
        <v>1718</v>
      </c>
      <c r="Z371" s="32" t="s">
        <v>1718</v>
      </c>
      <c r="AA371" s="32" t="s">
        <v>5028</v>
      </c>
      <c r="AB371" s="32" t="s">
        <v>1718</v>
      </c>
      <c r="AC371" s="32" t="s">
        <v>1718</v>
      </c>
      <c r="AD371" s="32" t="s">
        <v>1718</v>
      </c>
      <c r="AE371" s="32" t="s">
        <v>1718</v>
      </c>
      <c r="AF371" s="32" t="s">
        <v>1718</v>
      </c>
      <c r="AG371" s="32" t="s">
        <v>1718</v>
      </c>
      <c r="AH371" s="32" t="s">
        <v>2107</v>
      </c>
      <c r="AI371" s="6" t="s">
        <v>1327</v>
      </c>
      <c r="AJ371" s="6" t="s">
        <v>869</v>
      </c>
      <c r="AK371" s="6" t="s">
        <v>932</v>
      </c>
      <c r="AL371" s="6">
        <v>45674376</v>
      </c>
      <c r="AM371" t="s">
        <v>1718</v>
      </c>
      <c r="AN371" t="s">
        <v>1718</v>
      </c>
      <c r="AO371" t="s">
        <v>1718</v>
      </c>
      <c r="AP371" t="s">
        <v>1718</v>
      </c>
      <c r="AQ371" t="s">
        <v>1718</v>
      </c>
      <c r="AR371" t="s">
        <v>1718</v>
      </c>
      <c r="AS371" t="s">
        <v>1718</v>
      </c>
      <c r="AT371" t="s">
        <v>1718</v>
      </c>
      <c r="AU371" t="s">
        <v>1718</v>
      </c>
      <c r="AV371" t="str">
        <f>VLOOKUP(D371,DATA_SISTEMA!$A$1:$Q$506,12,FALSE)</f>
        <v>CHICLAYO</v>
      </c>
      <c r="AW371" t="str">
        <f>VLOOKUP(D371,DATA_SISTEMA!$A$1:$Q$506,11,FALSE)</f>
        <v>CHICLAYO</v>
      </c>
      <c r="AX371" t="str">
        <f>VLOOKUP(D371,DATA_SISTEMA!$A$1:$Q$506,10,FALSE)</f>
        <v>LAMBAYEQUE</v>
      </c>
      <c r="AY371" t="s">
        <v>1718</v>
      </c>
      <c r="AZ371" t="s">
        <v>5028</v>
      </c>
      <c r="BA371" t="s">
        <v>1718</v>
      </c>
      <c r="BB371" t="s">
        <v>5028</v>
      </c>
      <c r="BC371" t="s">
        <v>1718</v>
      </c>
      <c r="BD371" t="s">
        <v>5028</v>
      </c>
      <c r="BE371" t="s">
        <v>1718</v>
      </c>
      <c r="BF371" s="34" t="s">
        <v>2104</v>
      </c>
      <c r="BG371" s="6">
        <v>69.3</v>
      </c>
    </row>
    <row r="372" spans="1:59" x14ac:dyDescent="0.25">
      <c r="A372" s="4">
        <v>371</v>
      </c>
      <c r="B372" s="33" t="s">
        <v>1719</v>
      </c>
      <c r="C372" s="6" t="s">
        <v>2090</v>
      </c>
      <c r="D372" s="52" t="s">
        <v>4892</v>
      </c>
      <c r="E372" s="6" t="s">
        <v>194</v>
      </c>
      <c r="F372" s="36" t="s">
        <v>1718</v>
      </c>
      <c r="G372" s="6">
        <v>963923481</v>
      </c>
      <c r="H372" t="str">
        <f>VLOOKUP(D372,DATA_SISTEMA!$A$1:$Q$506,13,FALSE)</f>
        <v>HIPOLITO UNANUE #760</v>
      </c>
      <c r="I372" t="str">
        <f>VLOOKUP(D372,DATA_SISTEMA!$A$1:$Q$506,7,FALSE)</f>
        <v>1996-12-04</v>
      </c>
      <c r="J372" s="32" t="s">
        <v>1718</v>
      </c>
      <c r="K372" s="32" t="s">
        <v>1718</v>
      </c>
      <c r="L372" s="32" t="s">
        <v>1718</v>
      </c>
      <c r="M372">
        <v>329</v>
      </c>
      <c r="N372">
        <v>0</v>
      </c>
      <c r="O372" s="32" t="str">
        <f t="shared" si="5"/>
        <v>3710020261X</v>
      </c>
      <c r="P372" s="32" t="s">
        <v>1718</v>
      </c>
      <c r="Q372" s="32" t="s">
        <v>1718</v>
      </c>
      <c r="R372" s="32" t="s">
        <v>2110</v>
      </c>
      <c r="S372" s="32" t="s">
        <v>5034</v>
      </c>
      <c r="T372" t="str">
        <f>VLOOKUP(D372,DATA_SISTEMA!$A$1:$Q$506,9,FALSE)</f>
        <v>F</v>
      </c>
      <c r="U372" s="32" t="s">
        <v>2106</v>
      </c>
      <c r="V372" s="32" t="s">
        <v>1718</v>
      </c>
      <c r="W372" s="37" t="s">
        <v>5028</v>
      </c>
      <c r="X372" s="32" t="s">
        <v>4522</v>
      </c>
      <c r="Y372" s="32" t="s">
        <v>1718</v>
      </c>
      <c r="Z372" s="32" t="s">
        <v>1718</v>
      </c>
      <c r="AA372" s="32" t="s">
        <v>5028</v>
      </c>
      <c r="AB372" s="32" t="s">
        <v>1718</v>
      </c>
      <c r="AC372" s="32" t="s">
        <v>1718</v>
      </c>
      <c r="AD372" s="32" t="s">
        <v>1718</v>
      </c>
      <c r="AE372" s="32" t="s">
        <v>1718</v>
      </c>
      <c r="AF372" s="32" t="s">
        <v>1718</v>
      </c>
      <c r="AG372" s="32" t="s">
        <v>1718</v>
      </c>
      <c r="AH372" s="32" t="s">
        <v>2107</v>
      </c>
      <c r="AI372" s="6" t="s">
        <v>1444</v>
      </c>
      <c r="AJ372" s="6" t="s">
        <v>981</v>
      </c>
      <c r="AK372" s="6" t="s">
        <v>891</v>
      </c>
      <c r="AL372" s="6">
        <v>75209895</v>
      </c>
      <c r="AM372" t="s">
        <v>1718</v>
      </c>
      <c r="AN372" t="s">
        <v>1718</v>
      </c>
      <c r="AO372" t="s">
        <v>1718</v>
      </c>
      <c r="AP372" t="s">
        <v>1718</v>
      </c>
      <c r="AQ372" t="s">
        <v>1718</v>
      </c>
      <c r="AR372" t="s">
        <v>1718</v>
      </c>
      <c r="AS372" t="s">
        <v>1718</v>
      </c>
      <c r="AT372" t="s">
        <v>1718</v>
      </c>
      <c r="AU372" t="s">
        <v>1718</v>
      </c>
      <c r="AV372" t="str">
        <f>VLOOKUP(D372,DATA_SISTEMA!$A$1:$Q$506,12,FALSE)</f>
        <v>LAMBAYEQUE</v>
      </c>
      <c r="AW372" t="str">
        <f>VLOOKUP(D372,DATA_SISTEMA!$A$1:$Q$506,11,FALSE)</f>
        <v>LAMBAYEQUE</v>
      </c>
      <c r="AX372" t="str">
        <f>VLOOKUP(D372,DATA_SISTEMA!$A$1:$Q$506,10,FALSE)</f>
        <v>LAMBAYEQUE</v>
      </c>
      <c r="AY372" t="s">
        <v>1718</v>
      </c>
      <c r="AZ372" t="s">
        <v>5028</v>
      </c>
      <c r="BA372" t="s">
        <v>1718</v>
      </c>
      <c r="BB372" t="s">
        <v>5028</v>
      </c>
      <c r="BC372" t="s">
        <v>1718</v>
      </c>
      <c r="BD372" t="s">
        <v>5028</v>
      </c>
      <c r="BE372" t="s">
        <v>1718</v>
      </c>
      <c r="BF372" s="34" t="s">
        <v>2104</v>
      </c>
      <c r="BG372" s="6">
        <v>69</v>
      </c>
    </row>
    <row r="373" spans="1:59" x14ac:dyDescent="0.25">
      <c r="A373" s="4">
        <v>372</v>
      </c>
      <c r="B373" s="33" t="s">
        <v>1719</v>
      </c>
      <c r="C373" s="6" t="s">
        <v>2091</v>
      </c>
      <c r="D373" s="52" t="s">
        <v>4893</v>
      </c>
      <c r="E373" s="6" t="s">
        <v>196</v>
      </c>
      <c r="F373" s="36" t="s">
        <v>1718</v>
      </c>
      <c r="G373" s="6">
        <v>953165306</v>
      </c>
      <c r="H373" t="str">
        <f>VLOOKUP(D373,DATA_SISTEMA!$A$1:$Q$506,13,FALSE)</f>
        <v>CALLE SANTA ROSA N°165</v>
      </c>
      <c r="I373" t="str">
        <f>VLOOKUP(D373,DATA_SISTEMA!$A$1:$Q$506,7,FALSE)</f>
        <v>1986-06-22</v>
      </c>
      <c r="J373" s="32" t="s">
        <v>1718</v>
      </c>
      <c r="K373" s="32" t="s">
        <v>1718</v>
      </c>
      <c r="L373" s="32" t="s">
        <v>1718</v>
      </c>
      <c r="M373">
        <v>329</v>
      </c>
      <c r="N373">
        <v>0</v>
      </c>
      <c r="O373" s="32" t="str">
        <f t="shared" si="5"/>
        <v>3720020261X</v>
      </c>
      <c r="P373" s="32" t="s">
        <v>1718</v>
      </c>
      <c r="Q373" s="32" t="s">
        <v>1718</v>
      </c>
      <c r="R373" s="32" t="s">
        <v>2110</v>
      </c>
      <c r="S373" s="32" t="s">
        <v>5034</v>
      </c>
      <c r="T373" t="str">
        <f>VLOOKUP(D373,DATA_SISTEMA!$A$1:$Q$506,9,FALSE)</f>
        <v>M</v>
      </c>
      <c r="U373" s="32" t="s">
        <v>2106</v>
      </c>
      <c r="V373" s="32" t="s">
        <v>1718</v>
      </c>
      <c r="W373" s="37" t="s">
        <v>5028</v>
      </c>
      <c r="X373" s="32" t="s">
        <v>4522</v>
      </c>
      <c r="Y373" s="32" t="s">
        <v>1718</v>
      </c>
      <c r="Z373" s="32" t="s">
        <v>1718</v>
      </c>
      <c r="AA373" s="32" t="s">
        <v>5028</v>
      </c>
      <c r="AB373" s="32" t="s">
        <v>1718</v>
      </c>
      <c r="AC373" s="32" t="s">
        <v>1718</v>
      </c>
      <c r="AD373" s="32" t="s">
        <v>1718</v>
      </c>
      <c r="AE373" s="32" t="s">
        <v>1718</v>
      </c>
      <c r="AF373" s="32" t="s">
        <v>1718</v>
      </c>
      <c r="AG373" s="32" t="s">
        <v>1718</v>
      </c>
      <c r="AH373" s="32" t="s">
        <v>2107</v>
      </c>
      <c r="AI373" s="6" t="s">
        <v>1609</v>
      </c>
      <c r="AJ373" s="6" t="s">
        <v>894</v>
      </c>
      <c r="AK373" s="6" t="s">
        <v>901</v>
      </c>
      <c r="AL373" s="6">
        <v>43871941</v>
      </c>
      <c r="AM373" t="s">
        <v>1718</v>
      </c>
      <c r="AN373" t="s">
        <v>1718</v>
      </c>
      <c r="AO373" t="s">
        <v>1718</v>
      </c>
      <c r="AP373" t="s">
        <v>1718</v>
      </c>
      <c r="AQ373" t="s">
        <v>1718</v>
      </c>
      <c r="AR373" t="s">
        <v>1718</v>
      </c>
      <c r="AS373" t="s">
        <v>1718</v>
      </c>
      <c r="AT373" t="s">
        <v>1718</v>
      </c>
      <c r="AU373" t="s">
        <v>1718</v>
      </c>
      <c r="AV373" t="str">
        <f>VLOOKUP(D373,DATA_SISTEMA!$A$1:$Q$506,12,FALSE)</f>
        <v>PICSI</v>
      </c>
      <c r="AW373" t="str">
        <f>VLOOKUP(D373,DATA_SISTEMA!$A$1:$Q$506,11,FALSE)</f>
        <v>CHICLAYO</v>
      </c>
      <c r="AX373" t="str">
        <f>VLOOKUP(D373,DATA_SISTEMA!$A$1:$Q$506,10,FALSE)</f>
        <v>LAMBAYEQUE</v>
      </c>
      <c r="AY373" t="s">
        <v>1718</v>
      </c>
      <c r="AZ373" t="s">
        <v>5028</v>
      </c>
      <c r="BA373" t="s">
        <v>1718</v>
      </c>
      <c r="BB373" t="s">
        <v>5028</v>
      </c>
      <c r="BC373" t="s">
        <v>1718</v>
      </c>
      <c r="BD373" t="s">
        <v>5028</v>
      </c>
      <c r="BE373" t="s">
        <v>1718</v>
      </c>
      <c r="BF373" s="34" t="s">
        <v>2104</v>
      </c>
      <c r="BG373" s="6">
        <v>68.3</v>
      </c>
    </row>
    <row r="374" spans="1:59" x14ac:dyDescent="0.25">
      <c r="A374" s="4">
        <v>373</v>
      </c>
      <c r="B374" s="33" t="s">
        <v>1719</v>
      </c>
      <c r="C374" s="6" t="s">
        <v>2092</v>
      </c>
      <c r="D374" s="52" t="s">
        <v>4894</v>
      </c>
      <c r="E374" s="6" t="s">
        <v>198</v>
      </c>
      <c r="F374" s="36" t="s">
        <v>1718</v>
      </c>
      <c r="G374" s="6">
        <v>990676586</v>
      </c>
      <c r="H374" t="str">
        <f>VLOOKUP(D374,DATA_SISTEMA!$A$1:$Q$506,13,FALSE)</f>
        <v>DEMETRI ACOSTA N° 724 PJ. SAN MARTIN</v>
      </c>
      <c r="I374" t="str">
        <f>VLOOKUP(D374,DATA_SISTEMA!$A$1:$Q$506,7,FALSE)</f>
        <v>1966-08-16</v>
      </c>
      <c r="J374" s="32" t="s">
        <v>1718</v>
      </c>
      <c r="K374" s="32" t="s">
        <v>1718</v>
      </c>
      <c r="L374" s="32" t="s">
        <v>1718</v>
      </c>
      <c r="M374">
        <v>329</v>
      </c>
      <c r="N374">
        <v>0</v>
      </c>
      <c r="O374" s="32" t="str">
        <f t="shared" si="5"/>
        <v>3730020261X</v>
      </c>
      <c r="P374" s="32" t="s">
        <v>1718</v>
      </c>
      <c r="Q374" s="32" t="s">
        <v>1718</v>
      </c>
      <c r="R374" s="32" t="s">
        <v>2110</v>
      </c>
      <c r="S374" s="32" t="s">
        <v>5034</v>
      </c>
      <c r="T374" t="str">
        <f>VLOOKUP(D374,DATA_SISTEMA!$A$1:$Q$506,9,FALSE)</f>
        <v>M</v>
      </c>
      <c r="U374" s="32" t="s">
        <v>2106</v>
      </c>
      <c r="V374" s="32" t="s">
        <v>1718</v>
      </c>
      <c r="W374" s="37" t="s">
        <v>5028</v>
      </c>
      <c r="X374" s="32" t="s">
        <v>4522</v>
      </c>
      <c r="Y374" s="32" t="s">
        <v>1718</v>
      </c>
      <c r="Z374" s="32" t="s">
        <v>1718</v>
      </c>
      <c r="AA374" s="32" t="s">
        <v>5028</v>
      </c>
      <c r="AB374" s="32" t="s">
        <v>1718</v>
      </c>
      <c r="AC374" s="32" t="s">
        <v>1718</v>
      </c>
      <c r="AD374" s="32" t="s">
        <v>1718</v>
      </c>
      <c r="AE374" s="32" t="s">
        <v>1718</v>
      </c>
      <c r="AF374" s="32" t="s">
        <v>1718</v>
      </c>
      <c r="AG374" s="32" t="s">
        <v>1718</v>
      </c>
      <c r="AH374" s="32" t="s">
        <v>2107</v>
      </c>
      <c r="AI374" s="6" t="s">
        <v>1363</v>
      </c>
      <c r="AJ374" s="6" t="s">
        <v>1166</v>
      </c>
      <c r="AK374" s="6" t="s">
        <v>996</v>
      </c>
      <c r="AL374" s="6">
        <v>16742508</v>
      </c>
      <c r="AM374" t="s">
        <v>1718</v>
      </c>
      <c r="AN374" t="s">
        <v>1718</v>
      </c>
      <c r="AO374" t="s">
        <v>1718</v>
      </c>
      <c r="AP374" t="s">
        <v>1718</v>
      </c>
      <c r="AQ374" t="s">
        <v>1718</v>
      </c>
      <c r="AR374" t="s">
        <v>1718</v>
      </c>
      <c r="AS374" t="s">
        <v>1718</v>
      </c>
      <c r="AT374" t="s">
        <v>1718</v>
      </c>
      <c r="AU374" t="s">
        <v>1718</v>
      </c>
      <c r="AV374" t="str">
        <f>VLOOKUP(D374,DATA_SISTEMA!$A$1:$Q$506,12,FALSE)</f>
        <v>LAMBAYEQUE</v>
      </c>
      <c r="AW374" t="str">
        <f>VLOOKUP(D374,DATA_SISTEMA!$A$1:$Q$506,11,FALSE)</f>
        <v>LAMBAYEQUE</v>
      </c>
      <c r="AX374" t="str">
        <f>VLOOKUP(D374,DATA_SISTEMA!$A$1:$Q$506,10,FALSE)</f>
        <v>LAMBAYEQUE</v>
      </c>
      <c r="AY374" t="s">
        <v>1718</v>
      </c>
      <c r="AZ374" t="s">
        <v>5028</v>
      </c>
      <c r="BA374" t="s">
        <v>1718</v>
      </c>
      <c r="BB374" t="s">
        <v>5028</v>
      </c>
      <c r="BC374" t="s">
        <v>1718</v>
      </c>
      <c r="BD374" t="s">
        <v>5028</v>
      </c>
      <c r="BE374" t="s">
        <v>1718</v>
      </c>
      <c r="BF374" s="34" t="s">
        <v>2104</v>
      </c>
      <c r="BG374" s="6">
        <v>67.5</v>
      </c>
    </row>
    <row r="375" spans="1:59" x14ac:dyDescent="0.25">
      <c r="A375" s="4">
        <v>374</v>
      </c>
      <c r="B375" s="33" t="s">
        <v>1719</v>
      </c>
      <c r="C375" s="6" t="s">
        <v>2093</v>
      </c>
      <c r="D375" s="52" t="s">
        <v>4895</v>
      </c>
      <c r="E375" s="6" t="s">
        <v>200</v>
      </c>
      <c r="F375" s="36" t="s">
        <v>1718</v>
      </c>
      <c r="G375" s="6">
        <v>978032851</v>
      </c>
      <c r="H375" t="str">
        <f>VLOOKUP(D375,DATA_SISTEMA!$A$1:$Q$506,13,FALSE)</f>
        <v>AV PANAMERICANA S/N STA ROSA</v>
      </c>
      <c r="I375" t="str">
        <f>VLOOKUP(D375,DATA_SISTEMA!$A$1:$Q$506,7,FALSE)</f>
        <v>1955-12-27</v>
      </c>
      <c r="J375" s="32" t="s">
        <v>1718</v>
      </c>
      <c r="K375" s="32" t="s">
        <v>1718</v>
      </c>
      <c r="L375" s="32" t="s">
        <v>1718</v>
      </c>
      <c r="M375">
        <v>329</v>
      </c>
      <c r="N375">
        <v>0</v>
      </c>
      <c r="O375" s="32" t="str">
        <f t="shared" si="5"/>
        <v>3740020261X</v>
      </c>
      <c r="P375" s="32" t="s">
        <v>1718</v>
      </c>
      <c r="Q375" s="32" t="s">
        <v>1718</v>
      </c>
      <c r="R375" s="32" t="s">
        <v>2110</v>
      </c>
      <c r="S375" s="32" t="s">
        <v>5034</v>
      </c>
      <c r="T375" t="str">
        <f>VLOOKUP(D375,DATA_SISTEMA!$A$1:$Q$506,9,FALSE)</f>
        <v>M</v>
      </c>
      <c r="U375" s="32" t="s">
        <v>2106</v>
      </c>
      <c r="V375" s="32" t="s">
        <v>1718</v>
      </c>
      <c r="W375" s="37" t="s">
        <v>5028</v>
      </c>
      <c r="X375" s="32" t="s">
        <v>4522</v>
      </c>
      <c r="Y375" s="32" t="s">
        <v>1718</v>
      </c>
      <c r="Z375" s="32" t="s">
        <v>1718</v>
      </c>
      <c r="AA375" s="32" t="s">
        <v>5028</v>
      </c>
      <c r="AB375" s="32" t="s">
        <v>1718</v>
      </c>
      <c r="AC375" s="32" t="s">
        <v>1718</v>
      </c>
      <c r="AD375" s="32" t="s">
        <v>1718</v>
      </c>
      <c r="AE375" s="32" t="s">
        <v>1718</v>
      </c>
      <c r="AF375" s="32" t="s">
        <v>1718</v>
      </c>
      <c r="AG375" s="32" t="s">
        <v>1718</v>
      </c>
      <c r="AH375" s="32" t="s">
        <v>2107</v>
      </c>
      <c r="AI375" s="6" t="s">
        <v>1653</v>
      </c>
      <c r="AJ375" s="6" t="s">
        <v>876</v>
      </c>
      <c r="AK375" s="6" t="s">
        <v>1291</v>
      </c>
      <c r="AL375" s="6">
        <v>17614550</v>
      </c>
      <c r="AM375" t="s">
        <v>1718</v>
      </c>
      <c r="AN375" t="s">
        <v>1718</v>
      </c>
      <c r="AO375" t="s">
        <v>1718</v>
      </c>
      <c r="AP375" t="s">
        <v>1718</v>
      </c>
      <c r="AQ375" t="s">
        <v>1718</v>
      </c>
      <c r="AR375" t="s">
        <v>1718</v>
      </c>
      <c r="AS375" t="s">
        <v>1718</v>
      </c>
      <c r="AT375" t="s">
        <v>1718</v>
      </c>
      <c r="AU375" t="s">
        <v>1718</v>
      </c>
      <c r="AV375" t="str">
        <f>VLOOKUP(D375,DATA_SISTEMA!$A$1:$Q$506,12,FALSE)</f>
        <v>LAMBAYEQUE</v>
      </c>
      <c r="AW375" t="str">
        <f>VLOOKUP(D375,DATA_SISTEMA!$A$1:$Q$506,11,FALSE)</f>
        <v>LAMBAYEQUE</v>
      </c>
      <c r="AX375" t="str">
        <f>VLOOKUP(D375,DATA_SISTEMA!$A$1:$Q$506,10,FALSE)</f>
        <v>LAMBAYEQUE</v>
      </c>
      <c r="AY375" t="s">
        <v>1718</v>
      </c>
      <c r="AZ375" t="s">
        <v>5028</v>
      </c>
      <c r="BA375" t="s">
        <v>1718</v>
      </c>
      <c r="BB375" t="s">
        <v>5028</v>
      </c>
      <c r="BC375" t="s">
        <v>1718</v>
      </c>
      <c r="BD375" t="s">
        <v>5028</v>
      </c>
      <c r="BE375" t="s">
        <v>1718</v>
      </c>
      <c r="BF375" s="34" t="s">
        <v>2104</v>
      </c>
      <c r="BG375" s="6">
        <v>66.400000000000006</v>
      </c>
    </row>
    <row r="376" spans="1:59" x14ac:dyDescent="0.25">
      <c r="A376" s="4">
        <v>375</v>
      </c>
      <c r="B376" s="33" t="s">
        <v>1719</v>
      </c>
      <c r="C376" s="6" t="s">
        <v>2094</v>
      </c>
      <c r="D376" s="52" t="s">
        <v>4896</v>
      </c>
      <c r="E376" s="6" t="s">
        <v>202</v>
      </c>
      <c r="F376" s="36" t="s">
        <v>1718</v>
      </c>
      <c r="G376" s="6">
        <v>965346380</v>
      </c>
      <c r="H376" t="str">
        <f>VLOOKUP(D376,DATA_SISTEMA!$A$1:$Q$506,13,FALSE)</f>
        <v>CALLE ELIAS AGUIRRE 637</v>
      </c>
      <c r="I376" t="str">
        <f>VLOOKUP(D376,DATA_SISTEMA!$A$1:$Q$506,7,FALSE)</f>
        <v>2001-10-25</v>
      </c>
      <c r="J376" s="32" t="s">
        <v>1718</v>
      </c>
      <c r="K376" s="32" t="s">
        <v>1718</v>
      </c>
      <c r="L376" s="32" t="s">
        <v>1718</v>
      </c>
      <c r="M376">
        <v>329</v>
      </c>
      <c r="N376">
        <v>0</v>
      </c>
      <c r="O376" s="32" t="str">
        <f t="shared" si="5"/>
        <v>3750020261X</v>
      </c>
      <c r="P376" s="32" t="s">
        <v>1718</v>
      </c>
      <c r="Q376" s="32" t="s">
        <v>1718</v>
      </c>
      <c r="R376" s="32" t="s">
        <v>2110</v>
      </c>
      <c r="S376" s="32" t="s">
        <v>5034</v>
      </c>
      <c r="T376" t="str">
        <f>VLOOKUP(D376,DATA_SISTEMA!$A$1:$Q$506,9,FALSE)</f>
        <v>M</v>
      </c>
      <c r="U376" s="32" t="s">
        <v>2106</v>
      </c>
      <c r="V376" s="32" t="s">
        <v>1718</v>
      </c>
      <c r="W376" s="37" t="s">
        <v>5028</v>
      </c>
      <c r="X376" s="32" t="s">
        <v>4522</v>
      </c>
      <c r="Y376" s="32" t="s">
        <v>1718</v>
      </c>
      <c r="Z376" s="32" t="s">
        <v>1718</v>
      </c>
      <c r="AA376" s="32" t="s">
        <v>5028</v>
      </c>
      <c r="AB376" s="32" t="s">
        <v>1718</v>
      </c>
      <c r="AC376" s="32" t="s">
        <v>1718</v>
      </c>
      <c r="AD376" s="32" t="s">
        <v>1718</v>
      </c>
      <c r="AE376" s="32" t="s">
        <v>1718</v>
      </c>
      <c r="AF376" s="32" t="s">
        <v>1718</v>
      </c>
      <c r="AG376" s="32" t="s">
        <v>1718</v>
      </c>
      <c r="AH376" s="32" t="s">
        <v>2107</v>
      </c>
      <c r="AI376" s="6" t="s">
        <v>1654</v>
      </c>
      <c r="AJ376" s="6" t="s">
        <v>1292</v>
      </c>
      <c r="AK376" s="6" t="s">
        <v>869</v>
      </c>
      <c r="AL376" s="6">
        <v>72023858</v>
      </c>
      <c r="AM376" t="s">
        <v>1718</v>
      </c>
      <c r="AN376" t="s">
        <v>1718</v>
      </c>
      <c r="AO376" t="s">
        <v>1718</v>
      </c>
      <c r="AP376" t="s">
        <v>1718</v>
      </c>
      <c r="AQ376" t="s">
        <v>1718</v>
      </c>
      <c r="AR376" t="s">
        <v>1718</v>
      </c>
      <c r="AS376" t="s">
        <v>1718</v>
      </c>
      <c r="AT376" t="s">
        <v>1718</v>
      </c>
      <c r="AU376" t="s">
        <v>1718</v>
      </c>
      <c r="AV376" t="str">
        <f>VLOOKUP(D376,DATA_SISTEMA!$A$1:$Q$506,12,FALSE)</f>
        <v>JAYANCA</v>
      </c>
      <c r="AW376" t="str">
        <f>VLOOKUP(D376,DATA_SISTEMA!$A$1:$Q$506,11,FALSE)</f>
        <v>LAMBAYEQUE</v>
      </c>
      <c r="AX376" t="str">
        <f>VLOOKUP(D376,DATA_SISTEMA!$A$1:$Q$506,10,FALSE)</f>
        <v>LAMBAYEQUE</v>
      </c>
      <c r="AY376" t="s">
        <v>1718</v>
      </c>
      <c r="AZ376" t="s">
        <v>5028</v>
      </c>
      <c r="BA376" t="s">
        <v>1718</v>
      </c>
      <c r="BB376" t="s">
        <v>5028</v>
      </c>
      <c r="BC376" t="s">
        <v>1718</v>
      </c>
      <c r="BD376" t="s">
        <v>5028</v>
      </c>
      <c r="BE376" t="s">
        <v>1718</v>
      </c>
      <c r="BF376" s="34" t="s">
        <v>2104</v>
      </c>
      <c r="BG376" s="6">
        <v>65.7</v>
      </c>
    </row>
    <row r="377" spans="1:59" x14ac:dyDescent="0.25">
      <c r="A377" s="4">
        <v>376</v>
      </c>
      <c r="B377" s="33" t="s">
        <v>1719</v>
      </c>
      <c r="C377" s="6" t="s">
        <v>2095</v>
      </c>
      <c r="D377" s="52" t="s">
        <v>4897</v>
      </c>
      <c r="E377" s="6" t="s">
        <v>204</v>
      </c>
      <c r="F377" s="36" t="s">
        <v>1718</v>
      </c>
      <c r="G377" s="6">
        <v>979724416</v>
      </c>
      <c r="H377" t="str">
        <f>VLOOKUP(D377,DATA_SISTEMA!$A$1:$Q$506,13,FALSE)</f>
        <v>MZ. F1, LOTE 9, URB. LOS SAUCES II ETAPA</v>
      </c>
      <c r="I377" t="str">
        <f>VLOOKUP(D377,DATA_SISTEMA!$A$1:$Q$506,7,FALSE)</f>
        <v>1970-06-06</v>
      </c>
      <c r="J377" s="32" t="s">
        <v>1718</v>
      </c>
      <c r="K377" s="32" t="s">
        <v>1718</v>
      </c>
      <c r="L377" s="32" t="s">
        <v>1718</v>
      </c>
      <c r="M377">
        <v>329</v>
      </c>
      <c r="N377">
        <v>0</v>
      </c>
      <c r="O377" s="32" t="str">
        <f t="shared" si="5"/>
        <v>3760020261X</v>
      </c>
      <c r="P377" s="32" t="s">
        <v>1718</v>
      </c>
      <c r="Q377" s="32" t="s">
        <v>1718</v>
      </c>
      <c r="R377" s="32" t="s">
        <v>2110</v>
      </c>
      <c r="S377" s="32" t="s">
        <v>5034</v>
      </c>
      <c r="T377" t="str">
        <f>VLOOKUP(D377,DATA_SISTEMA!$A$1:$Q$506,9,FALSE)</f>
        <v>M</v>
      </c>
      <c r="U377" s="32" t="s">
        <v>2106</v>
      </c>
      <c r="V377" s="32" t="s">
        <v>1718</v>
      </c>
      <c r="W377" s="37" t="s">
        <v>5028</v>
      </c>
      <c r="X377" s="32" t="s">
        <v>4522</v>
      </c>
      <c r="Y377" s="32" t="s">
        <v>1718</v>
      </c>
      <c r="Z377" s="32" t="s">
        <v>1718</v>
      </c>
      <c r="AA377" s="32" t="s">
        <v>5028</v>
      </c>
      <c r="AB377" s="32" t="s">
        <v>1718</v>
      </c>
      <c r="AC377" s="32" t="s">
        <v>1718</v>
      </c>
      <c r="AD377" s="32" t="s">
        <v>1718</v>
      </c>
      <c r="AE377" s="32" t="s">
        <v>1718</v>
      </c>
      <c r="AF377" s="32" t="s">
        <v>1718</v>
      </c>
      <c r="AG377" s="32" t="s">
        <v>1718</v>
      </c>
      <c r="AH377" s="32" t="s">
        <v>2107</v>
      </c>
      <c r="AI377" s="6" t="s">
        <v>1655</v>
      </c>
      <c r="AJ377" s="6" t="s">
        <v>858</v>
      </c>
      <c r="AK377" s="6" t="s">
        <v>1032</v>
      </c>
      <c r="AL377" s="6">
        <v>16672714</v>
      </c>
      <c r="AM377" t="s">
        <v>1718</v>
      </c>
      <c r="AN377" t="s">
        <v>1718</v>
      </c>
      <c r="AO377" t="s">
        <v>1718</v>
      </c>
      <c r="AP377" t="s">
        <v>1718</v>
      </c>
      <c r="AQ377" t="s">
        <v>1718</v>
      </c>
      <c r="AR377" t="s">
        <v>1718</v>
      </c>
      <c r="AS377" t="s">
        <v>1718</v>
      </c>
      <c r="AT377" t="s">
        <v>1718</v>
      </c>
      <c r="AU377" t="s">
        <v>1718</v>
      </c>
      <c r="AV377" t="str">
        <f>VLOOKUP(D377,DATA_SISTEMA!$A$1:$Q$506,12,FALSE)</f>
        <v>PIMENTEL</v>
      </c>
      <c r="AW377" t="str">
        <f>VLOOKUP(D377,DATA_SISTEMA!$A$1:$Q$506,11,FALSE)</f>
        <v>CHICLAYO</v>
      </c>
      <c r="AX377" t="str">
        <f>VLOOKUP(D377,DATA_SISTEMA!$A$1:$Q$506,10,FALSE)</f>
        <v>LAMBAYEQUE</v>
      </c>
      <c r="AY377" t="s">
        <v>1718</v>
      </c>
      <c r="AZ377" t="s">
        <v>5028</v>
      </c>
      <c r="BA377" t="s">
        <v>1718</v>
      </c>
      <c r="BB377" t="s">
        <v>5028</v>
      </c>
      <c r="BC377" t="s">
        <v>1718</v>
      </c>
      <c r="BD377" t="s">
        <v>5028</v>
      </c>
      <c r="BE377" t="s">
        <v>1718</v>
      </c>
      <c r="BF377" s="34" t="s">
        <v>2104</v>
      </c>
      <c r="BG377" s="6">
        <v>65</v>
      </c>
    </row>
    <row r="378" spans="1:59" x14ac:dyDescent="0.25">
      <c r="A378" s="4">
        <v>377</v>
      </c>
      <c r="B378" s="33" t="s">
        <v>1719</v>
      </c>
      <c r="C378" s="6" t="s">
        <v>2096</v>
      </c>
      <c r="D378" s="52" t="s">
        <v>4898</v>
      </c>
      <c r="E378" s="6" t="s">
        <v>206</v>
      </c>
      <c r="F378" s="36" t="s">
        <v>1718</v>
      </c>
      <c r="G378" s="6">
        <v>954573441</v>
      </c>
      <c r="H378" t="str">
        <f>VLOOKUP(D378,DATA_SISTEMA!$A$1:$Q$506,13,FALSE)</f>
        <v>URB. LOS ROBLES MZ. "H" LOTE 03</v>
      </c>
      <c r="I378" t="str">
        <f>VLOOKUP(D378,DATA_SISTEMA!$A$1:$Q$506,7,FALSE)</f>
        <v>1979-06-04</v>
      </c>
      <c r="J378" s="32" t="s">
        <v>1718</v>
      </c>
      <c r="K378" s="32" t="s">
        <v>1718</v>
      </c>
      <c r="L378" s="32" t="s">
        <v>1718</v>
      </c>
      <c r="M378">
        <v>329</v>
      </c>
      <c r="N378">
        <v>0</v>
      </c>
      <c r="O378" s="32" t="str">
        <f t="shared" si="5"/>
        <v>3770020261X</v>
      </c>
      <c r="P378" s="32" t="s">
        <v>1718</v>
      </c>
      <c r="Q378" s="32" t="s">
        <v>1718</v>
      </c>
      <c r="R378" s="32" t="s">
        <v>2110</v>
      </c>
      <c r="S378" s="32" t="s">
        <v>5034</v>
      </c>
      <c r="T378" t="str">
        <f>VLOOKUP(D378,DATA_SISTEMA!$A$1:$Q$506,9,FALSE)</f>
        <v>M</v>
      </c>
      <c r="U378" s="32" t="s">
        <v>2106</v>
      </c>
      <c r="V378" s="32" t="s">
        <v>1718</v>
      </c>
      <c r="W378" s="37" t="s">
        <v>5028</v>
      </c>
      <c r="X378" s="32" t="s">
        <v>4522</v>
      </c>
      <c r="Y378" s="32" t="s">
        <v>1718</v>
      </c>
      <c r="Z378" s="32" t="s">
        <v>1718</v>
      </c>
      <c r="AA378" s="32" t="s">
        <v>5028</v>
      </c>
      <c r="AB378" s="32" t="s">
        <v>1718</v>
      </c>
      <c r="AC378" s="32" t="s">
        <v>1718</v>
      </c>
      <c r="AD378" s="32" t="s">
        <v>1718</v>
      </c>
      <c r="AE378" s="32" t="s">
        <v>1718</v>
      </c>
      <c r="AF378" s="32" t="s">
        <v>1718</v>
      </c>
      <c r="AG378" s="32" t="s">
        <v>1718</v>
      </c>
      <c r="AH378" s="32" t="s">
        <v>2107</v>
      </c>
      <c r="AI378" s="6" t="s">
        <v>1656</v>
      </c>
      <c r="AJ378" s="6" t="s">
        <v>1293</v>
      </c>
      <c r="AK378" s="6" t="s">
        <v>1009</v>
      </c>
      <c r="AL378" s="6">
        <v>40564490</v>
      </c>
      <c r="AM378" t="s">
        <v>1718</v>
      </c>
      <c r="AN378" t="s">
        <v>1718</v>
      </c>
      <c r="AO378" t="s">
        <v>1718</v>
      </c>
      <c r="AP378" t="s">
        <v>1718</v>
      </c>
      <c r="AQ378" t="s">
        <v>1718</v>
      </c>
      <c r="AR378" t="s">
        <v>1718</v>
      </c>
      <c r="AS378" t="s">
        <v>1718</v>
      </c>
      <c r="AT378" t="s">
        <v>1718</v>
      </c>
      <c r="AU378" t="s">
        <v>1718</v>
      </c>
      <c r="AV378" t="str">
        <f>VLOOKUP(D378,DATA_SISTEMA!$A$1:$Q$506,12,FALSE)</f>
        <v>CHICLAYO</v>
      </c>
      <c r="AW378" t="str">
        <f>VLOOKUP(D378,DATA_SISTEMA!$A$1:$Q$506,11,FALSE)</f>
        <v>CHICLAYO</v>
      </c>
      <c r="AX378" t="str">
        <f>VLOOKUP(D378,DATA_SISTEMA!$A$1:$Q$506,10,FALSE)</f>
        <v>LAMBAYEQUE</v>
      </c>
      <c r="AY378" t="s">
        <v>1718</v>
      </c>
      <c r="AZ378" t="s">
        <v>5028</v>
      </c>
      <c r="BA378" t="s">
        <v>1718</v>
      </c>
      <c r="BB378" t="s">
        <v>5028</v>
      </c>
      <c r="BC378" t="s">
        <v>1718</v>
      </c>
      <c r="BD378" t="s">
        <v>5028</v>
      </c>
      <c r="BE378" t="s">
        <v>1718</v>
      </c>
      <c r="BF378" s="34" t="s">
        <v>2104</v>
      </c>
      <c r="BG378" s="6">
        <v>63.8</v>
      </c>
    </row>
    <row r="379" spans="1:59" x14ac:dyDescent="0.25">
      <c r="A379" s="4">
        <v>378</v>
      </c>
      <c r="B379" s="33" t="s">
        <v>1719</v>
      </c>
      <c r="C379" s="6" t="s">
        <v>2097</v>
      </c>
      <c r="D379" s="52" t="s">
        <v>4899</v>
      </c>
      <c r="E379" s="6" t="s">
        <v>208</v>
      </c>
      <c r="F379" s="36" t="s">
        <v>1718</v>
      </c>
      <c r="G379" s="6">
        <v>943747988</v>
      </c>
      <c r="H379" t="str">
        <f>VLOOKUP(D379,DATA_SISTEMA!$A$1:$Q$506,13,FALSE)</f>
        <v>MZ. 23 LT. 43 SECTOR EL PALMA</v>
      </c>
      <c r="I379" t="str">
        <f>VLOOKUP(D379,DATA_SISTEMA!$A$1:$Q$506,7,FALSE)</f>
        <v>1996-06-24</v>
      </c>
      <c r="J379" s="32" t="s">
        <v>1718</v>
      </c>
      <c r="K379" s="32" t="s">
        <v>1718</v>
      </c>
      <c r="L379" s="32" t="s">
        <v>1718</v>
      </c>
      <c r="M379">
        <v>329</v>
      </c>
      <c r="N379">
        <v>0</v>
      </c>
      <c r="O379" s="32" t="str">
        <f t="shared" si="5"/>
        <v>3780020261X</v>
      </c>
      <c r="P379" s="32" t="s">
        <v>1718</v>
      </c>
      <c r="Q379" s="32" t="s">
        <v>1718</v>
      </c>
      <c r="R379" s="32" t="s">
        <v>2110</v>
      </c>
      <c r="S379" s="32" t="s">
        <v>5034</v>
      </c>
      <c r="T379" t="str">
        <f>VLOOKUP(D379,DATA_SISTEMA!$A$1:$Q$506,9,FALSE)</f>
        <v>M</v>
      </c>
      <c r="U379" s="32" t="s">
        <v>2106</v>
      </c>
      <c r="V379" s="32" t="s">
        <v>1718</v>
      </c>
      <c r="W379" s="37" t="s">
        <v>5028</v>
      </c>
      <c r="X379" s="32" t="s">
        <v>4522</v>
      </c>
      <c r="Y379" s="32" t="s">
        <v>1718</v>
      </c>
      <c r="Z379" s="32" t="s">
        <v>1718</v>
      </c>
      <c r="AA379" s="32" t="s">
        <v>5028</v>
      </c>
      <c r="AB379" s="32" t="s">
        <v>1718</v>
      </c>
      <c r="AC379" s="32" t="s">
        <v>1718</v>
      </c>
      <c r="AD379" s="32" t="s">
        <v>1718</v>
      </c>
      <c r="AE379" s="32" t="s">
        <v>1718</v>
      </c>
      <c r="AF379" s="32" t="s">
        <v>1718</v>
      </c>
      <c r="AG379" s="32" t="s">
        <v>1718</v>
      </c>
      <c r="AH379" s="32" t="s">
        <v>2107</v>
      </c>
      <c r="AI379" s="6" t="s">
        <v>1657</v>
      </c>
      <c r="AJ379" s="6" t="s">
        <v>1294</v>
      </c>
      <c r="AK379" s="6" t="s">
        <v>927</v>
      </c>
      <c r="AL379" s="6">
        <v>72931068</v>
      </c>
      <c r="AM379" t="s">
        <v>1718</v>
      </c>
      <c r="AN379" t="s">
        <v>1718</v>
      </c>
      <c r="AO379" t="s">
        <v>1718</v>
      </c>
      <c r="AP379" t="s">
        <v>1718</v>
      </c>
      <c r="AQ379" t="s">
        <v>1718</v>
      </c>
      <c r="AR379" t="s">
        <v>1718</v>
      </c>
      <c r="AS379" t="s">
        <v>1718</v>
      </c>
      <c r="AT379" t="s">
        <v>1718</v>
      </c>
      <c r="AU379" t="s">
        <v>1718</v>
      </c>
      <c r="AV379" t="str">
        <f>VLOOKUP(D379,DATA_SISTEMA!$A$1:$Q$506,12,FALSE)</f>
        <v>CAYALTI</v>
      </c>
      <c r="AW379" t="str">
        <f>VLOOKUP(D379,DATA_SISTEMA!$A$1:$Q$506,11,FALSE)</f>
        <v>CHICLAYO</v>
      </c>
      <c r="AX379" t="str">
        <f>VLOOKUP(D379,DATA_SISTEMA!$A$1:$Q$506,10,FALSE)</f>
        <v>LAMBAYEQUE</v>
      </c>
      <c r="AY379" t="s">
        <v>1718</v>
      </c>
      <c r="AZ379" t="s">
        <v>5028</v>
      </c>
      <c r="BA379" t="s">
        <v>1718</v>
      </c>
      <c r="BB379" t="s">
        <v>5028</v>
      </c>
      <c r="BC379" t="s">
        <v>1718</v>
      </c>
      <c r="BD379" t="s">
        <v>5028</v>
      </c>
      <c r="BE379" t="s">
        <v>1718</v>
      </c>
      <c r="BF379" s="34" t="s">
        <v>2104</v>
      </c>
      <c r="BG379" s="6">
        <v>62.3</v>
      </c>
    </row>
    <row r="380" spans="1:59" x14ac:dyDescent="0.25">
      <c r="A380" s="4">
        <v>379</v>
      </c>
      <c r="B380" s="33" t="s">
        <v>1719</v>
      </c>
      <c r="C380" s="6" t="s">
        <v>2098</v>
      </c>
      <c r="D380" s="52" t="s">
        <v>4900</v>
      </c>
      <c r="E380" s="6" t="s">
        <v>210</v>
      </c>
      <c r="F380" s="36" t="s">
        <v>1718</v>
      </c>
      <c r="G380" s="6">
        <v>949255581</v>
      </c>
      <c r="H380" t="str">
        <f>VLOOKUP(D380,DATA_SISTEMA!$A$1:$Q$506,13,FALSE)</f>
        <v>C. POBLADO ROSARIO DE CHINGAMA</v>
      </c>
      <c r="I380" t="str">
        <f>VLOOKUP(D380,DATA_SISTEMA!$A$1:$Q$506,7,FALSE)</f>
        <v>1992-10-10</v>
      </c>
      <c r="J380" s="32" t="s">
        <v>1718</v>
      </c>
      <c r="K380" s="32" t="s">
        <v>1718</v>
      </c>
      <c r="L380" s="32" t="s">
        <v>1718</v>
      </c>
      <c r="M380">
        <v>329</v>
      </c>
      <c r="N380">
        <v>0</v>
      </c>
      <c r="O380" s="32" t="str">
        <f t="shared" si="5"/>
        <v>3790020261X</v>
      </c>
      <c r="P380" s="32" t="s">
        <v>1718</v>
      </c>
      <c r="Q380" s="32" t="s">
        <v>1718</v>
      </c>
      <c r="R380" s="32" t="s">
        <v>2110</v>
      </c>
      <c r="S380" s="32" t="s">
        <v>5034</v>
      </c>
      <c r="T380" t="str">
        <f>VLOOKUP(D380,DATA_SISTEMA!$A$1:$Q$506,9,FALSE)</f>
        <v>M</v>
      </c>
      <c r="U380" s="32" t="s">
        <v>2106</v>
      </c>
      <c r="V380" s="32" t="s">
        <v>1718</v>
      </c>
      <c r="W380" s="37" t="s">
        <v>5028</v>
      </c>
      <c r="X380" s="32" t="s">
        <v>4522</v>
      </c>
      <c r="Y380" s="32" t="s">
        <v>1718</v>
      </c>
      <c r="Z380" s="32" t="s">
        <v>1718</v>
      </c>
      <c r="AA380" s="32" t="s">
        <v>5028</v>
      </c>
      <c r="AB380" s="32" t="s">
        <v>1718</v>
      </c>
      <c r="AC380" s="32" t="s">
        <v>1718</v>
      </c>
      <c r="AD380" s="32" t="s">
        <v>1718</v>
      </c>
      <c r="AE380" s="32" t="s">
        <v>1718</v>
      </c>
      <c r="AF380" s="32" t="s">
        <v>1718</v>
      </c>
      <c r="AG380" s="32" t="s">
        <v>1718</v>
      </c>
      <c r="AH380" s="32" t="s">
        <v>2107</v>
      </c>
      <c r="AI380" s="6" t="s">
        <v>1658</v>
      </c>
      <c r="AJ380" s="6" t="s">
        <v>1230</v>
      </c>
      <c r="AK380" s="6" t="s">
        <v>1295</v>
      </c>
      <c r="AL380" s="6">
        <v>47366638</v>
      </c>
      <c r="AM380" t="s">
        <v>1718</v>
      </c>
      <c r="AN380" t="s">
        <v>1718</v>
      </c>
      <c r="AO380" t="s">
        <v>1718</v>
      </c>
      <c r="AP380" t="s">
        <v>1718</v>
      </c>
      <c r="AQ380" t="s">
        <v>1718</v>
      </c>
      <c r="AR380" t="s">
        <v>1718</v>
      </c>
      <c r="AS380" t="s">
        <v>1718</v>
      </c>
      <c r="AT380" t="s">
        <v>1718</v>
      </c>
      <c r="AU380" t="s">
        <v>1718</v>
      </c>
      <c r="AV380" t="str">
        <f>VLOOKUP(D380,DATA_SISTEMA!$A$1:$Q$506,12,FALSE)</f>
        <v>BELLAVISTA</v>
      </c>
      <c r="AW380" t="str">
        <f>VLOOKUP(D380,DATA_SISTEMA!$A$1:$Q$506,11,FALSE)</f>
        <v>JAEN</v>
      </c>
      <c r="AX380" t="str">
        <f>VLOOKUP(D380,DATA_SISTEMA!$A$1:$Q$506,10,FALSE)</f>
        <v>CAJAMARCA</v>
      </c>
      <c r="AY380" t="s">
        <v>1718</v>
      </c>
      <c r="AZ380" t="s">
        <v>5028</v>
      </c>
      <c r="BA380" t="s">
        <v>1718</v>
      </c>
      <c r="BB380" t="s">
        <v>5028</v>
      </c>
      <c r="BC380" t="s">
        <v>1718</v>
      </c>
      <c r="BD380" t="s">
        <v>5028</v>
      </c>
      <c r="BE380" t="s">
        <v>1718</v>
      </c>
      <c r="BF380" s="34" t="s">
        <v>2104</v>
      </c>
      <c r="BG380" s="6">
        <v>61.5</v>
      </c>
    </row>
    <row r="381" spans="1:59" x14ac:dyDescent="0.25">
      <c r="A381" s="4">
        <v>380</v>
      </c>
      <c r="B381" s="33" t="s">
        <v>1719</v>
      </c>
      <c r="C381" s="6" t="s">
        <v>2099</v>
      </c>
      <c r="D381" s="52" t="s">
        <v>4901</v>
      </c>
      <c r="E381" s="6" t="s">
        <v>212</v>
      </c>
      <c r="F381" s="36" t="s">
        <v>1718</v>
      </c>
      <c r="G381" s="6">
        <v>976125167</v>
      </c>
      <c r="H381" t="str">
        <f>VLOOKUP(D381,DATA_SISTEMA!$A$1:$Q$506,13,FALSE)</f>
        <v>PSJ. MIGUELITO S/N PUEBLO NUEVO</v>
      </c>
      <c r="I381" t="str">
        <f>VLOOKUP(D381,DATA_SISTEMA!$A$1:$Q$506,7,FALSE)</f>
        <v>1991-05-02</v>
      </c>
      <c r="J381" s="32" t="s">
        <v>1718</v>
      </c>
      <c r="K381" s="32" t="s">
        <v>1718</v>
      </c>
      <c r="L381" s="32" t="s">
        <v>1718</v>
      </c>
      <c r="M381">
        <v>329</v>
      </c>
      <c r="N381">
        <v>0</v>
      </c>
      <c r="O381" s="32" t="str">
        <f t="shared" si="5"/>
        <v>3800020261X</v>
      </c>
      <c r="P381" s="32" t="s">
        <v>1718</v>
      </c>
      <c r="Q381" s="32" t="s">
        <v>1718</v>
      </c>
      <c r="R381" s="32" t="s">
        <v>2110</v>
      </c>
      <c r="S381" s="32" t="s">
        <v>5034</v>
      </c>
      <c r="T381" t="str">
        <f>VLOOKUP(D381,DATA_SISTEMA!$A$1:$Q$506,9,FALSE)</f>
        <v>M</v>
      </c>
      <c r="U381" s="32" t="s">
        <v>2106</v>
      </c>
      <c r="V381" s="32" t="s">
        <v>1718</v>
      </c>
      <c r="W381" s="37" t="s">
        <v>5028</v>
      </c>
      <c r="X381" s="32" t="s">
        <v>4522</v>
      </c>
      <c r="Y381" s="32" t="s">
        <v>1718</v>
      </c>
      <c r="Z381" s="32" t="s">
        <v>1718</v>
      </c>
      <c r="AA381" s="32" t="s">
        <v>5028</v>
      </c>
      <c r="AB381" s="32" t="s">
        <v>1718</v>
      </c>
      <c r="AC381" s="32" t="s">
        <v>1718</v>
      </c>
      <c r="AD381" s="32" t="s">
        <v>1718</v>
      </c>
      <c r="AE381" s="32" t="s">
        <v>1718</v>
      </c>
      <c r="AF381" s="32" t="s">
        <v>1718</v>
      </c>
      <c r="AG381" s="32" t="s">
        <v>1718</v>
      </c>
      <c r="AH381" s="32" t="s">
        <v>2107</v>
      </c>
      <c r="AI381" s="6" t="s">
        <v>1659</v>
      </c>
      <c r="AJ381" s="6" t="s">
        <v>1298</v>
      </c>
      <c r="AK381" s="6" t="s">
        <v>1296</v>
      </c>
      <c r="AL381" s="6">
        <v>70040696</v>
      </c>
      <c r="AM381" t="s">
        <v>1718</v>
      </c>
      <c r="AN381" t="s">
        <v>1718</v>
      </c>
      <c r="AO381" t="s">
        <v>1718</v>
      </c>
      <c r="AP381" t="s">
        <v>1718</v>
      </c>
      <c r="AQ381" t="s">
        <v>1718</v>
      </c>
      <c r="AR381" t="s">
        <v>1718</v>
      </c>
      <c r="AS381" t="s">
        <v>1718</v>
      </c>
      <c r="AT381" t="s">
        <v>1718</v>
      </c>
      <c r="AU381" t="s">
        <v>1718</v>
      </c>
      <c r="AV381" t="str">
        <f>VLOOKUP(D381,DATA_SISTEMA!$A$1:$Q$506,12,FALSE)</f>
        <v>JAEN</v>
      </c>
      <c r="AW381" t="str">
        <f>VLOOKUP(D381,DATA_SISTEMA!$A$1:$Q$506,11,FALSE)</f>
        <v>JAEN</v>
      </c>
      <c r="AX381" t="str">
        <f>VLOOKUP(D381,DATA_SISTEMA!$A$1:$Q$506,10,FALSE)</f>
        <v>CAJAMARCA</v>
      </c>
      <c r="AY381" t="s">
        <v>1718</v>
      </c>
      <c r="AZ381" t="s">
        <v>5028</v>
      </c>
      <c r="BA381" t="s">
        <v>1718</v>
      </c>
      <c r="BB381" t="s">
        <v>5028</v>
      </c>
      <c r="BC381" t="s">
        <v>1718</v>
      </c>
      <c r="BD381" t="s">
        <v>5028</v>
      </c>
      <c r="BE381" t="s">
        <v>1718</v>
      </c>
      <c r="BF381" s="34" t="s">
        <v>2104</v>
      </c>
      <c r="BG381" s="6">
        <v>61</v>
      </c>
    </row>
    <row r="382" spans="1:59" x14ac:dyDescent="0.25">
      <c r="A382" s="4">
        <v>381</v>
      </c>
      <c r="B382" s="33" t="s">
        <v>1719</v>
      </c>
      <c r="C382" s="6" t="s">
        <v>2100</v>
      </c>
      <c r="D382" s="52" t="s">
        <v>4902</v>
      </c>
      <c r="E382" s="6" t="s">
        <v>214</v>
      </c>
      <c r="F382" s="36" t="s">
        <v>1718</v>
      </c>
      <c r="G382" s="6">
        <v>994149180</v>
      </c>
      <c r="H382" t="str">
        <f>VLOOKUP(D382,DATA_SISTEMA!$A$1:$Q$506,13,FALSE)</f>
        <v>CASERIO SOLECAPE</v>
      </c>
      <c r="I382" t="str">
        <f>VLOOKUP(D382,DATA_SISTEMA!$A$1:$Q$506,7,FALSE)</f>
        <v>1992-10-25</v>
      </c>
      <c r="J382" s="32" t="s">
        <v>1718</v>
      </c>
      <c r="K382" s="32" t="s">
        <v>1718</v>
      </c>
      <c r="L382" s="32" t="s">
        <v>1718</v>
      </c>
      <c r="M382">
        <v>329</v>
      </c>
      <c r="N382">
        <v>0</v>
      </c>
      <c r="O382" s="32" t="str">
        <f t="shared" si="5"/>
        <v>3810020261X</v>
      </c>
      <c r="P382" s="32" t="s">
        <v>1718</v>
      </c>
      <c r="Q382" s="32" t="s">
        <v>1718</v>
      </c>
      <c r="R382" s="32" t="s">
        <v>2110</v>
      </c>
      <c r="S382" s="32" t="s">
        <v>5034</v>
      </c>
      <c r="T382" t="str">
        <f>VLOOKUP(D382,DATA_SISTEMA!$A$1:$Q$506,9,FALSE)</f>
        <v>M</v>
      </c>
      <c r="U382" s="32" t="s">
        <v>2106</v>
      </c>
      <c r="V382" s="32" t="s">
        <v>1718</v>
      </c>
      <c r="W382" s="37" t="s">
        <v>5028</v>
      </c>
      <c r="X382" s="32" t="s">
        <v>4522</v>
      </c>
      <c r="Y382" s="32" t="s">
        <v>1718</v>
      </c>
      <c r="Z382" s="32" t="s">
        <v>1718</v>
      </c>
      <c r="AA382" s="32" t="s">
        <v>5028</v>
      </c>
      <c r="AB382" s="32" t="s">
        <v>1718</v>
      </c>
      <c r="AC382" s="32" t="s">
        <v>1718</v>
      </c>
      <c r="AD382" s="32" t="s">
        <v>1718</v>
      </c>
      <c r="AE382" s="32" t="s">
        <v>1718</v>
      </c>
      <c r="AF382" s="32" t="s">
        <v>1718</v>
      </c>
      <c r="AG382" s="32" t="s">
        <v>1718</v>
      </c>
      <c r="AH382" s="32" t="s">
        <v>2107</v>
      </c>
      <c r="AI382" s="6" t="s">
        <v>1660</v>
      </c>
      <c r="AJ382" s="6" t="s">
        <v>887</v>
      </c>
      <c r="AK382" s="6" t="s">
        <v>943</v>
      </c>
      <c r="AL382" s="6">
        <v>47368239</v>
      </c>
      <c r="AM382" t="s">
        <v>1718</v>
      </c>
      <c r="AN382" t="s">
        <v>1718</v>
      </c>
      <c r="AO382" t="s">
        <v>1718</v>
      </c>
      <c r="AP382" t="s">
        <v>1718</v>
      </c>
      <c r="AQ382" t="s">
        <v>1718</v>
      </c>
      <c r="AR382" t="s">
        <v>1718</v>
      </c>
      <c r="AS382" t="s">
        <v>1718</v>
      </c>
      <c r="AT382" t="s">
        <v>1718</v>
      </c>
      <c r="AU382" t="s">
        <v>1718</v>
      </c>
      <c r="AV382" t="str">
        <f>VLOOKUP(D382,DATA_SISTEMA!$A$1:$Q$506,12,FALSE)</f>
        <v>MOCHUMI</v>
      </c>
      <c r="AW382" t="str">
        <f>VLOOKUP(D382,DATA_SISTEMA!$A$1:$Q$506,11,FALSE)</f>
        <v>LAMBAYEQUE</v>
      </c>
      <c r="AX382" t="str">
        <f>VLOOKUP(D382,DATA_SISTEMA!$A$1:$Q$506,10,FALSE)</f>
        <v>LAMBAYEQUE</v>
      </c>
      <c r="AY382" t="s">
        <v>1718</v>
      </c>
      <c r="AZ382" t="s">
        <v>5028</v>
      </c>
      <c r="BA382" t="s">
        <v>1718</v>
      </c>
      <c r="BB382" t="s">
        <v>5028</v>
      </c>
      <c r="BC382" t="s">
        <v>1718</v>
      </c>
      <c r="BD382" t="s">
        <v>5028</v>
      </c>
      <c r="BE382" t="s">
        <v>1718</v>
      </c>
      <c r="BF382" s="34" t="s">
        <v>2104</v>
      </c>
      <c r="BG382" s="6">
        <v>60.7</v>
      </c>
    </row>
    <row r="383" spans="1:59" x14ac:dyDescent="0.25">
      <c r="A383" s="4">
        <v>382</v>
      </c>
      <c r="B383" s="33" t="s">
        <v>1719</v>
      </c>
      <c r="C383" s="6" t="s">
        <v>2101</v>
      </c>
      <c r="D383" s="52" t="s">
        <v>4903</v>
      </c>
      <c r="E383" s="6" t="s">
        <v>216</v>
      </c>
      <c r="F383" s="36" t="s">
        <v>1718</v>
      </c>
      <c r="G383" s="6">
        <v>930162153</v>
      </c>
      <c r="H383" t="str">
        <f>VLOOKUP(D383,DATA_SISTEMA!$A$1:$Q$506,13,FALSE)</f>
        <v>LA CRIA  - PATAPO</v>
      </c>
      <c r="I383" t="str">
        <f>VLOOKUP(D383,DATA_SISTEMA!$A$1:$Q$506,7,FALSE)</f>
        <v>1996-02-17</v>
      </c>
      <c r="J383" s="32" t="s">
        <v>1718</v>
      </c>
      <c r="K383" s="32" t="s">
        <v>1718</v>
      </c>
      <c r="L383" s="32" t="s">
        <v>1718</v>
      </c>
      <c r="M383">
        <v>329</v>
      </c>
      <c r="N383">
        <v>0</v>
      </c>
      <c r="O383" s="32" t="str">
        <f t="shared" si="5"/>
        <v>3820020261X</v>
      </c>
      <c r="P383" s="32" t="s">
        <v>1718</v>
      </c>
      <c r="Q383" s="32" t="s">
        <v>1718</v>
      </c>
      <c r="R383" s="32" t="s">
        <v>2110</v>
      </c>
      <c r="S383" s="32" t="s">
        <v>5034</v>
      </c>
      <c r="T383" t="str">
        <f>VLOOKUP(D383,DATA_SISTEMA!$A$1:$Q$506,9,FALSE)</f>
        <v>F</v>
      </c>
      <c r="U383" s="32" t="s">
        <v>2106</v>
      </c>
      <c r="V383" s="32" t="s">
        <v>1718</v>
      </c>
      <c r="W383" s="37" t="s">
        <v>5028</v>
      </c>
      <c r="X383" s="32" t="s">
        <v>4522</v>
      </c>
      <c r="Y383" s="32" t="s">
        <v>1718</v>
      </c>
      <c r="Z383" s="32" t="s">
        <v>1718</v>
      </c>
      <c r="AA383" s="32" t="s">
        <v>5028</v>
      </c>
      <c r="AB383" s="32" t="s">
        <v>1718</v>
      </c>
      <c r="AC383" s="32" t="s">
        <v>1718</v>
      </c>
      <c r="AD383" s="32" t="s">
        <v>1718</v>
      </c>
      <c r="AE383" s="32" t="s">
        <v>1718</v>
      </c>
      <c r="AF383" s="32" t="s">
        <v>1718</v>
      </c>
      <c r="AG383" s="32" t="s">
        <v>1718</v>
      </c>
      <c r="AH383" s="32" t="s">
        <v>2107</v>
      </c>
      <c r="AI383" s="6" t="s">
        <v>1661</v>
      </c>
      <c r="AJ383" s="6" t="s">
        <v>1005</v>
      </c>
      <c r="AK383" s="6" t="s">
        <v>1297</v>
      </c>
      <c r="AL383" s="6">
        <v>75765882</v>
      </c>
      <c r="AM383" t="s">
        <v>1718</v>
      </c>
      <c r="AN383" t="s">
        <v>1718</v>
      </c>
      <c r="AO383" t="s">
        <v>1718</v>
      </c>
      <c r="AP383" t="s">
        <v>1718</v>
      </c>
      <c r="AQ383" t="s">
        <v>1718</v>
      </c>
      <c r="AR383" t="s">
        <v>1718</v>
      </c>
      <c r="AS383" t="s">
        <v>1718</v>
      </c>
      <c r="AT383" t="s">
        <v>1718</v>
      </c>
      <c r="AU383" t="s">
        <v>1718</v>
      </c>
      <c r="AV383" t="str">
        <f>VLOOKUP(D383,DATA_SISTEMA!$A$1:$Q$506,12,FALSE)</f>
        <v>PATAPO</v>
      </c>
      <c r="AW383" t="str">
        <f>VLOOKUP(D383,DATA_SISTEMA!$A$1:$Q$506,11,FALSE)</f>
        <v>CHICLAYO</v>
      </c>
      <c r="AX383" t="str">
        <f>VLOOKUP(D383,DATA_SISTEMA!$A$1:$Q$506,10,FALSE)</f>
        <v>LAMBAYEQUE</v>
      </c>
      <c r="AY383" t="s">
        <v>1718</v>
      </c>
      <c r="AZ383" t="s">
        <v>5028</v>
      </c>
      <c r="BA383" t="s">
        <v>1718</v>
      </c>
      <c r="BB383" t="s">
        <v>5028</v>
      </c>
      <c r="BC383" t="s">
        <v>1718</v>
      </c>
      <c r="BD383" t="s">
        <v>5028</v>
      </c>
      <c r="BE383" t="s">
        <v>1718</v>
      </c>
      <c r="BF383" s="34" t="s">
        <v>2104</v>
      </c>
      <c r="BG383" s="6">
        <v>58.7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9D856-FCE3-4052-BB86-4DE646CD39AA}">
  <dimension ref="A1:Q506"/>
  <sheetViews>
    <sheetView tabSelected="1" topLeftCell="F1" workbookViewId="0">
      <selection activeCell="M2" sqref="M2"/>
    </sheetView>
  </sheetViews>
  <sheetFormatPr baseColWidth="10" defaultRowHeight="15" x14ac:dyDescent="0.25"/>
  <cols>
    <col min="1" max="1" width="22.5703125" customWidth="1"/>
    <col min="2" max="2" width="4" bestFit="1" customWidth="1"/>
    <col min="3" max="3" width="33.140625" bestFit="1" customWidth="1"/>
    <col min="4" max="4" width="30" bestFit="1" customWidth="1"/>
    <col min="5" max="5" width="44" bestFit="1" customWidth="1"/>
    <col min="6" max="6" width="10" bestFit="1" customWidth="1"/>
    <col min="7" max="7" width="19.7109375" bestFit="1" customWidth="1"/>
    <col min="8" max="8" width="10" bestFit="1" customWidth="1"/>
    <col min="9" max="9" width="10" customWidth="1"/>
    <col min="10" max="10" width="13.85546875" bestFit="1" customWidth="1"/>
    <col min="11" max="11" width="16.140625" bestFit="1" customWidth="1"/>
    <col min="12" max="12" width="25" bestFit="1" customWidth="1"/>
    <col min="13" max="13" width="149.42578125" bestFit="1" customWidth="1"/>
    <col min="14" max="14" width="8.42578125" bestFit="1" customWidth="1"/>
    <col min="15" max="15" width="35.7109375" bestFit="1" customWidth="1"/>
    <col min="16" max="16" width="95.5703125" bestFit="1" customWidth="1"/>
    <col min="17" max="17" width="18.140625" bestFit="1" customWidth="1"/>
  </cols>
  <sheetData>
    <row r="1" spans="1:17" x14ac:dyDescent="0.25">
      <c r="A1" s="31" t="s">
        <v>2114</v>
      </c>
      <c r="B1" s="31" t="s">
        <v>2111</v>
      </c>
      <c r="C1" s="31" t="s">
        <v>1696</v>
      </c>
      <c r="D1" s="31" t="s">
        <v>2112</v>
      </c>
      <c r="E1" s="31" t="s">
        <v>2113</v>
      </c>
      <c r="F1" s="31" t="s">
        <v>1668</v>
      </c>
      <c r="G1" s="31" t="s">
        <v>2115</v>
      </c>
      <c r="H1" s="31" t="s">
        <v>2116</v>
      </c>
      <c r="I1" s="31" t="s">
        <v>5027</v>
      </c>
      <c r="J1" s="31" t="s">
        <v>2117</v>
      </c>
      <c r="K1" s="31" t="s">
        <v>2118</v>
      </c>
      <c r="L1" s="31" t="s">
        <v>2119</v>
      </c>
      <c r="M1" s="31" t="s">
        <v>2120</v>
      </c>
      <c r="N1" s="31" t="s">
        <v>2121</v>
      </c>
      <c r="O1" s="31" t="s">
        <v>1671</v>
      </c>
      <c r="P1" s="31" t="s">
        <v>2122</v>
      </c>
      <c r="Q1" s="31" t="s">
        <v>2123</v>
      </c>
    </row>
    <row r="2" spans="1:17" x14ac:dyDescent="0.25">
      <c r="A2" s="54" t="s">
        <v>4801</v>
      </c>
      <c r="B2" s="1">
        <v>1</v>
      </c>
      <c r="C2" s="1" t="s">
        <v>1512</v>
      </c>
      <c r="D2" s="1" t="s">
        <v>2124</v>
      </c>
      <c r="E2" s="1" t="s">
        <v>37</v>
      </c>
      <c r="F2" s="1">
        <v>979107777</v>
      </c>
      <c r="G2" s="1" t="s">
        <v>2125</v>
      </c>
      <c r="H2" s="1" t="s">
        <v>2126</v>
      </c>
      <c r="I2" s="1" t="str">
        <f>IF(H2="MaSculino","M","F")</f>
        <v>M</v>
      </c>
      <c r="J2" s="1" t="s">
        <v>2127</v>
      </c>
      <c r="K2" s="1" t="s">
        <v>919</v>
      </c>
      <c r="L2" s="1" t="s">
        <v>2128</v>
      </c>
      <c r="M2" s="1" t="s">
        <v>2129</v>
      </c>
      <c r="N2" s="1" t="s">
        <v>2130</v>
      </c>
      <c r="O2" s="1" t="s">
        <v>9</v>
      </c>
      <c r="P2" s="1" t="s">
        <v>10</v>
      </c>
      <c r="Q2" s="1" t="s">
        <v>2131</v>
      </c>
    </row>
    <row r="3" spans="1:17" x14ac:dyDescent="0.25">
      <c r="A3" s="55">
        <v>71208115</v>
      </c>
      <c r="B3" s="1">
        <v>2</v>
      </c>
      <c r="C3" s="1" t="s">
        <v>2132</v>
      </c>
      <c r="D3" s="1" t="s">
        <v>2133</v>
      </c>
      <c r="E3" s="1" t="s">
        <v>247</v>
      </c>
      <c r="F3" s="1">
        <v>970963109</v>
      </c>
      <c r="G3" s="1" t="s">
        <v>2134</v>
      </c>
      <c r="H3" s="1" t="s">
        <v>2135</v>
      </c>
      <c r="I3" s="1" t="str">
        <f t="shared" ref="I3:I66" si="0">IF(H3="MaSculino","M","F")</f>
        <v>F</v>
      </c>
      <c r="J3" s="1" t="s">
        <v>2136</v>
      </c>
      <c r="K3" s="1" t="s">
        <v>2137</v>
      </c>
      <c r="L3" s="1" t="s">
        <v>2138</v>
      </c>
      <c r="M3" s="1" t="s">
        <v>2139</v>
      </c>
      <c r="N3" s="1" t="s">
        <v>2140</v>
      </c>
      <c r="O3" s="1" t="s">
        <v>90</v>
      </c>
      <c r="P3" s="1" t="s">
        <v>223</v>
      </c>
      <c r="Q3" s="1" t="s">
        <v>2141</v>
      </c>
    </row>
    <row r="4" spans="1:17" x14ac:dyDescent="0.25">
      <c r="A4" s="38" t="s">
        <v>4618</v>
      </c>
      <c r="B4" s="1">
        <v>3</v>
      </c>
      <c r="C4" s="1" t="s">
        <v>1395</v>
      </c>
      <c r="D4" s="1" t="s">
        <v>2142</v>
      </c>
      <c r="E4" s="1" t="s">
        <v>740</v>
      </c>
      <c r="F4" s="1">
        <v>912019745</v>
      </c>
      <c r="G4" s="1" t="s">
        <v>2143</v>
      </c>
      <c r="H4" s="1" t="s">
        <v>2126</v>
      </c>
      <c r="I4" s="1" t="str">
        <f t="shared" si="0"/>
        <v>M</v>
      </c>
      <c r="J4" s="1" t="s">
        <v>2127</v>
      </c>
      <c r="K4" s="1" t="s">
        <v>919</v>
      </c>
      <c r="L4" s="1" t="s">
        <v>919</v>
      </c>
      <c r="M4" s="1" t="s">
        <v>2144</v>
      </c>
      <c r="N4" s="1" t="s">
        <v>2140</v>
      </c>
      <c r="O4" s="1" t="s">
        <v>90</v>
      </c>
      <c r="P4" s="1" t="s">
        <v>730</v>
      </c>
      <c r="Q4" s="1" t="s">
        <v>2145</v>
      </c>
    </row>
    <row r="5" spans="1:17" x14ac:dyDescent="0.25">
      <c r="A5" s="38" t="s">
        <v>4640</v>
      </c>
      <c r="B5" s="1">
        <v>4</v>
      </c>
      <c r="C5" s="1" t="s">
        <v>1416</v>
      </c>
      <c r="D5" s="1" t="s">
        <v>2146</v>
      </c>
      <c r="E5" s="1" t="s">
        <v>554</v>
      </c>
      <c r="F5" s="1">
        <v>971957636</v>
      </c>
      <c r="G5" s="1" t="s">
        <v>2147</v>
      </c>
      <c r="H5" s="1" t="s">
        <v>2126</v>
      </c>
      <c r="I5" s="1" t="str">
        <f t="shared" si="0"/>
        <v>M</v>
      </c>
      <c r="J5" s="1" t="s">
        <v>2127</v>
      </c>
      <c r="K5" s="1" t="s">
        <v>919</v>
      </c>
      <c r="L5" s="1" t="s">
        <v>2148</v>
      </c>
      <c r="M5" s="1" t="s">
        <v>2149</v>
      </c>
      <c r="N5" s="1" t="s">
        <v>2150</v>
      </c>
      <c r="O5" s="1" t="s">
        <v>90</v>
      </c>
      <c r="P5" s="1" t="s">
        <v>532</v>
      </c>
      <c r="Q5" s="1" t="s">
        <v>2151</v>
      </c>
    </row>
    <row r="6" spans="1:17" x14ac:dyDescent="0.25">
      <c r="A6" s="38" t="s">
        <v>4904</v>
      </c>
      <c r="B6" s="1">
        <v>5</v>
      </c>
      <c r="C6" s="1" t="s">
        <v>2152</v>
      </c>
      <c r="D6" s="1" t="s">
        <v>2153</v>
      </c>
      <c r="E6" s="1" t="s">
        <v>2154</v>
      </c>
      <c r="F6" s="1">
        <v>953264734</v>
      </c>
      <c r="G6" s="1" t="s">
        <v>2155</v>
      </c>
      <c r="H6" s="1" t="s">
        <v>2126</v>
      </c>
      <c r="I6" s="1" t="str">
        <f t="shared" si="0"/>
        <v>M</v>
      </c>
      <c r="J6" s="1" t="s">
        <v>2156</v>
      </c>
      <c r="K6" s="1" t="s">
        <v>2157</v>
      </c>
      <c r="L6" s="1" t="s">
        <v>2158</v>
      </c>
      <c r="M6" s="1" t="s">
        <v>2159</v>
      </c>
      <c r="N6" s="1" t="s">
        <v>2150</v>
      </c>
      <c r="O6" s="1" t="s">
        <v>90</v>
      </c>
      <c r="P6" s="1" t="s">
        <v>2160</v>
      </c>
      <c r="Q6" s="1" t="s">
        <v>2161</v>
      </c>
    </row>
    <row r="7" spans="1:17" x14ac:dyDescent="0.25">
      <c r="A7" s="38" t="s">
        <v>4905</v>
      </c>
      <c r="B7" s="1">
        <v>6</v>
      </c>
      <c r="C7" s="1" t="s">
        <v>2162</v>
      </c>
      <c r="D7" s="1" t="s">
        <v>2163</v>
      </c>
      <c r="E7" s="1" t="s">
        <v>2164</v>
      </c>
      <c r="F7" s="1">
        <v>948315948</v>
      </c>
      <c r="G7" s="1" t="s">
        <v>2165</v>
      </c>
      <c r="H7" s="1" t="s">
        <v>2126</v>
      </c>
      <c r="I7" s="1" t="str">
        <f t="shared" si="0"/>
        <v>M</v>
      </c>
      <c r="J7" s="1" t="s">
        <v>2127</v>
      </c>
      <c r="K7" s="1" t="s">
        <v>2127</v>
      </c>
      <c r="L7" s="1" t="s">
        <v>2127</v>
      </c>
      <c r="M7" s="1" t="s">
        <v>2166</v>
      </c>
      <c r="N7" s="1" t="s">
        <v>2167</v>
      </c>
      <c r="O7" s="1" t="s">
        <v>90</v>
      </c>
      <c r="P7" s="1" t="s">
        <v>2168</v>
      </c>
      <c r="Q7" s="1" t="s">
        <v>2169</v>
      </c>
    </row>
    <row r="8" spans="1:17" x14ac:dyDescent="0.25">
      <c r="A8" s="38" t="s">
        <v>4824</v>
      </c>
      <c r="B8" s="1">
        <v>7</v>
      </c>
      <c r="C8" s="1" t="s">
        <v>1591</v>
      </c>
      <c r="D8" s="1" t="s">
        <v>2170</v>
      </c>
      <c r="E8" s="1" t="s">
        <v>847</v>
      </c>
      <c r="F8" s="1">
        <v>929296574</v>
      </c>
      <c r="G8" s="1" t="s">
        <v>2171</v>
      </c>
      <c r="H8" s="1" t="s">
        <v>2135</v>
      </c>
      <c r="I8" s="1" t="str">
        <f t="shared" si="0"/>
        <v>F</v>
      </c>
      <c r="J8" s="1" t="s">
        <v>2172</v>
      </c>
      <c r="K8" s="1" t="s">
        <v>2173</v>
      </c>
      <c r="L8" s="1" t="s">
        <v>2174</v>
      </c>
      <c r="M8" s="1" t="s">
        <v>2175</v>
      </c>
      <c r="N8" s="1" t="s">
        <v>2176</v>
      </c>
      <c r="O8" s="1" t="s">
        <v>812</v>
      </c>
      <c r="P8" s="1" t="s">
        <v>813</v>
      </c>
      <c r="Q8" s="1" t="s">
        <v>2177</v>
      </c>
    </row>
    <row r="9" spans="1:17" x14ac:dyDescent="0.25">
      <c r="A9" s="38" t="s">
        <v>4535</v>
      </c>
      <c r="B9" s="1">
        <v>8</v>
      </c>
      <c r="C9" s="1" t="s">
        <v>1313</v>
      </c>
      <c r="D9" s="1" t="s">
        <v>2178</v>
      </c>
      <c r="E9" s="1" t="s">
        <v>159</v>
      </c>
      <c r="F9" s="1">
        <v>938289726</v>
      </c>
      <c r="G9" s="1" t="s">
        <v>2179</v>
      </c>
      <c r="H9" s="1" t="s">
        <v>2135</v>
      </c>
      <c r="I9" s="1" t="str">
        <f t="shared" si="0"/>
        <v>F</v>
      </c>
      <c r="J9" s="1" t="s">
        <v>2127</v>
      </c>
      <c r="K9" s="1" t="s">
        <v>2127</v>
      </c>
      <c r="L9" s="1" t="s">
        <v>2127</v>
      </c>
      <c r="M9" s="1" t="s">
        <v>2180</v>
      </c>
      <c r="N9" s="1" t="s">
        <v>2140</v>
      </c>
      <c r="O9" s="1" t="s">
        <v>90</v>
      </c>
      <c r="P9" s="1" t="s">
        <v>135</v>
      </c>
      <c r="Q9" s="1" t="s">
        <v>2181</v>
      </c>
    </row>
    <row r="10" spans="1:17" x14ac:dyDescent="0.25">
      <c r="A10" s="38" t="s">
        <v>4906</v>
      </c>
      <c r="B10" s="1">
        <v>9</v>
      </c>
      <c r="C10" s="1" t="s">
        <v>2182</v>
      </c>
      <c r="D10" s="1" t="s">
        <v>2183</v>
      </c>
      <c r="E10" s="1" t="s">
        <v>2184</v>
      </c>
      <c r="F10" s="1">
        <v>918867377</v>
      </c>
      <c r="G10" s="1" t="s">
        <v>2185</v>
      </c>
      <c r="H10" s="1" t="s">
        <v>2135</v>
      </c>
      <c r="I10" s="1" t="str">
        <f t="shared" si="0"/>
        <v>F</v>
      </c>
      <c r="J10" s="1" t="s">
        <v>2127</v>
      </c>
      <c r="K10" s="1" t="s">
        <v>919</v>
      </c>
      <c r="L10" s="1" t="s">
        <v>2186</v>
      </c>
      <c r="M10" s="1" t="s">
        <v>2187</v>
      </c>
      <c r="N10" s="1" t="s">
        <v>2167</v>
      </c>
      <c r="O10" s="1" t="s">
        <v>9</v>
      </c>
      <c r="P10" s="1" t="s">
        <v>2188</v>
      </c>
      <c r="Q10" s="1" t="s">
        <v>2189</v>
      </c>
    </row>
    <row r="11" spans="1:17" x14ac:dyDescent="0.25">
      <c r="A11" s="38" t="s">
        <v>4845</v>
      </c>
      <c r="B11" s="1">
        <v>10</v>
      </c>
      <c r="C11" s="1" t="s">
        <v>1610</v>
      </c>
      <c r="D11" s="1" t="s">
        <v>2190</v>
      </c>
      <c r="E11" s="1" t="s">
        <v>93</v>
      </c>
      <c r="F11" s="1">
        <v>934709713</v>
      </c>
      <c r="G11" s="1" t="s">
        <v>2191</v>
      </c>
      <c r="H11" s="1" t="s">
        <v>2126</v>
      </c>
      <c r="I11" s="1" t="str">
        <f t="shared" si="0"/>
        <v>M</v>
      </c>
      <c r="J11" s="1" t="s">
        <v>2127</v>
      </c>
      <c r="K11" s="1" t="s">
        <v>919</v>
      </c>
      <c r="L11" s="1" t="s">
        <v>2192</v>
      </c>
      <c r="M11" s="1" t="s">
        <v>2193</v>
      </c>
      <c r="N11" s="1" t="s">
        <v>2194</v>
      </c>
      <c r="O11" s="1" t="s">
        <v>90</v>
      </c>
      <c r="P11" s="1" t="s">
        <v>91</v>
      </c>
      <c r="Q11" s="1" t="s">
        <v>2195</v>
      </c>
    </row>
    <row r="12" spans="1:17" x14ac:dyDescent="0.25">
      <c r="A12" s="38" t="s">
        <v>4792</v>
      </c>
      <c r="B12" s="1">
        <v>11</v>
      </c>
      <c r="C12" s="1" t="s">
        <v>1563</v>
      </c>
      <c r="D12" s="1" t="s">
        <v>2196</v>
      </c>
      <c r="E12" s="1" t="s">
        <v>19</v>
      </c>
      <c r="F12" s="1">
        <v>943855088</v>
      </c>
      <c r="G12" s="1" t="s">
        <v>2197</v>
      </c>
      <c r="H12" s="1" t="s">
        <v>2126</v>
      </c>
      <c r="I12" s="1" t="str">
        <f t="shared" si="0"/>
        <v>M</v>
      </c>
      <c r="J12" s="1" t="s">
        <v>2127</v>
      </c>
      <c r="K12" s="1" t="s">
        <v>919</v>
      </c>
      <c r="L12" s="1" t="s">
        <v>919</v>
      </c>
      <c r="M12" s="1" t="s">
        <v>2198</v>
      </c>
      <c r="N12" s="1" t="s">
        <v>2130</v>
      </c>
      <c r="O12" s="1" t="s">
        <v>9</v>
      </c>
      <c r="P12" s="1" t="s">
        <v>10</v>
      </c>
      <c r="Q12" s="1" t="s">
        <v>2199</v>
      </c>
    </row>
    <row r="13" spans="1:17" x14ac:dyDescent="0.25">
      <c r="A13" s="38" t="s">
        <v>4602</v>
      </c>
      <c r="B13" s="1">
        <v>12</v>
      </c>
      <c r="C13" s="1" t="s">
        <v>2200</v>
      </c>
      <c r="D13" s="1" t="s">
        <v>2201</v>
      </c>
      <c r="E13" s="1" t="s">
        <v>699</v>
      </c>
      <c r="F13" s="1">
        <v>958547673</v>
      </c>
      <c r="G13" s="1" t="s">
        <v>2202</v>
      </c>
      <c r="H13" s="1" t="s">
        <v>2126</v>
      </c>
      <c r="I13" s="1" t="str">
        <f t="shared" si="0"/>
        <v>M</v>
      </c>
      <c r="J13" s="1" t="s">
        <v>2156</v>
      </c>
      <c r="K13" s="1" t="s">
        <v>2203</v>
      </c>
      <c r="L13" s="1" t="s">
        <v>2204</v>
      </c>
      <c r="M13" s="1" t="s">
        <v>2205</v>
      </c>
      <c r="N13" s="1" t="s">
        <v>2140</v>
      </c>
      <c r="O13" s="1" t="s">
        <v>90</v>
      </c>
      <c r="P13" s="1" t="s">
        <v>619</v>
      </c>
      <c r="Q13" s="1" t="s">
        <v>2206</v>
      </c>
    </row>
    <row r="14" spans="1:17" x14ac:dyDescent="0.25">
      <c r="A14" s="38" t="s">
        <v>4907</v>
      </c>
      <c r="B14" s="1">
        <v>13</v>
      </c>
      <c r="C14" s="1" t="s">
        <v>1363</v>
      </c>
      <c r="D14" s="1" t="s">
        <v>2207</v>
      </c>
      <c r="E14" s="1" t="s">
        <v>2208</v>
      </c>
      <c r="F14" s="1">
        <v>972801971</v>
      </c>
      <c r="G14" s="1" t="s">
        <v>2209</v>
      </c>
      <c r="H14" s="1" t="s">
        <v>2126</v>
      </c>
      <c r="I14" s="1" t="str">
        <f t="shared" si="0"/>
        <v>M</v>
      </c>
      <c r="J14" s="1" t="s">
        <v>2127</v>
      </c>
      <c r="K14" s="1" t="s">
        <v>919</v>
      </c>
      <c r="L14" s="1" t="s">
        <v>2210</v>
      </c>
      <c r="M14" s="1" t="s">
        <v>2211</v>
      </c>
      <c r="N14" s="1" t="s">
        <v>2212</v>
      </c>
      <c r="O14" s="1" t="s">
        <v>9</v>
      </c>
      <c r="P14" s="1" t="s">
        <v>2213</v>
      </c>
      <c r="Q14" s="1" t="s">
        <v>2214</v>
      </c>
    </row>
    <row r="15" spans="1:17" x14ac:dyDescent="0.25">
      <c r="A15" s="38" t="s">
        <v>4908</v>
      </c>
      <c r="B15" s="1">
        <v>14</v>
      </c>
      <c r="C15" s="1" t="s">
        <v>2215</v>
      </c>
      <c r="D15" s="1" t="s">
        <v>2216</v>
      </c>
      <c r="E15" s="1" t="s">
        <v>2217</v>
      </c>
      <c r="F15" s="1">
        <v>943987112</v>
      </c>
      <c r="G15" s="1" t="s">
        <v>2218</v>
      </c>
      <c r="H15" s="1" t="s">
        <v>2135</v>
      </c>
      <c r="I15" s="1" t="str">
        <f t="shared" si="0"/>
        <v>F</v>
      </c>
      <c r="J15" s="1" t="s">
        <v>2127</v>
      </c>
      <c r="K15" s="1" t="s">
        <v>919</v>
      </c>
      <c r="L15" s="1" t="s">
        <v>919</v>
      </c>
      <c r="M15" s="1" t="s">
        <v>2219</v>
      </c>
      <c r="N15" s="1" t="s">
        <v>2167</v>
      </c>
      <c r="O15" s="1" t="s">
        <v>9</v>
      </c>
      <c r="P15" s="1" t="s">
        <v>2188</v>
      </c>
      <c r="Q15" s="1" t="s">
        <v>2220</v>
      </c>
    </row>
    <row r="16" spans="1:17" x14ac:dyDescent="0.25">
      <c r="A16" s="38" t="s">
        <v>4628</v>
      </c>
      <c r="B16" s="1">
        <v>15</v>
      </c>
      <c r="C16" s="1" t="s">
        <v>2221</v>
      </c>
      <c r="D16" s="1" t="s">
        <v>2222</v>
      </c>
      <c r="E16" s="1" t="s">
        <v>760</v>
      </c>
      <c r="F16" s="1">
        <v>994772362</v>
      </c>
      <c r="G16" s="1" t="s">
        <v>2223</v>
      </c>
      <c r="H16" s="1" t="s">
        <v>2126</v>
      </c>
      <c r="I16" s="1" t="str">
        <f t="shared" si="0"/>
        <v>M</v>
      </c>
      <c r="J16" s="1" t="s">
        <v>2127</v>
      </c>
      <c r="K16" s="1" t="s">
        <v>919</v>
      </c>
      <c r="L16" s="1" t="s">
        <v>2186</v>
      </c>
      <c r="M16" s="1" t="s">
        <v>2224</v>
      </c>
      <c r="N16" s="1" t="s">
        <v>2140</v>
      </c>
      <c r="O16" s="1" t="s">
        <v>90</v>
      </c>
      <c r="P16" s="1" t="s">
        <v>730</v>
      </c>
      <c r="Q16" s="1" t="s">
        <v>2225</v>
      </c>
    </row>
    <row r="17" spans="1:17" x14ac:dyDescent="0.25">
      <c r="A17" s="38" t="s">
        <v>4810</v>
      </c>
      <c r="B17" s="1">
        <v>16</v>
      </c>
      <c r="C17" s="1" t="s">
        <v>1578</v>
      </c>
      <c r="D17" s="1" t="s">
        <v>2226</v>
      </c>
      <c r="E17" s="1" t="s">
        <v>819</v>
      </c>
      <c r="F17" s="1">
        <v>978477960</v>
      </c>
      <c r="G17" s="1" t="s">
        <v>2227</v>
      </c>
      <c r="H17" s="1" t="s">
        <v>2135</v>
      </c>
      <c r="I17" s="1" t="str">
        <f t="shared" si="0"/>
        <v>F</v>
      </c>
      <c r="J17" s="1" t="s">
        <v>2127</v>
      </c>
      <c r="K17" s="1" t="s">
        <v>919</v>
      </c>
      <c r="L17" s="1" t="s">
        <v>2128</v>
      </c>
      <c r="M17" s="1" t="s">
        <v>2228</v>
      </c>
      <c r="N17" s="1" t="s">
        <v>2176</v>
      </c>
      <c r="O17" s="1" t="s">
        <v>812</v>
      </c>
      <c r="P17" s="1" t="s">
        <v>813</v>
      </c>
      <c r="Q17" s="1" t="s">
        <v>2229</v>
      </c>
    </row>
    <row r="18" spans="1:17" x14ac:dyDescent="0.25">
      <c r="A18" s="38" t="s">
        <v>4909</v>
      </c>
      <c r="B18" s="1">
        <v>17</v>
      </c>
      <c r="C18" s="1" t="s">
        <v>1309</v>
      </c>
      <c r="D18" s="1" t="s">
        <v>2230</v>
      </c>
      <c r="E18" s="1" t="s">
        <v>725</v>
      </c>
      <c r="F18" s="1">
        <v>983992614</v>
      </c>
      <c r="G18" s="1" t="s">
        <v>2231</v>
      </c>
      <c r="H18" s="1" t="s">
        <v>2126</v>
      </c>
      <c r="I18" s="1" t="str">
        <f t="shared" si="0"/>
        <v>M</v>
      </c>
      <c r="J18" s="1" t="s">
        <v>2127</v>
      </c>
      <c r="K18" s="1" t="s">
        <v>919</v>
      </c>
      <c r="L18" s="1" t="s">
        <v>2232</v>
      </c>
      <c r="M18" s="1" t="s">
        <v>2233</v>
      </c>
      <c r="N18" s="1" t="s">
        <v>2140</v>
      </c>
      <c r="O18" s="1" t="s">
        <v>90</v>
      </c>
      <c r="P18" s="1" t="s">
        <v>619</v>
      </c>
      <c r="Q18" s="1" t="s">
        <v>2234</v>
      </c>
    </row>
    <row r="19" spans="1:17" x14ac:dyDescent="0.25">
      <c r="A19" s="38" t="s">
        <v>4811</v>
      </c>
      <c r="B19" s="1">
        <v>18</v>
      </c>
      <c r="C19" s="1" t="s">
        <v>1579</v>
      </c>
      <c r="D19" s="1" t="s">
        <v>2235</v>
      </c>
      <c r="E19" s="1" t="s">
        <v>821</v>
      </c>
      <c r="F19" s="1">
        <v>968446288</v>
      </c>
      <c r="G19" s="1" t="s">
        <v>2236</v>
      </c>
      <c r="H19" s="1" t="s">
        <v>2135</v>
      </c>
      <c r="I19" s="1" t="str">
        <f t="shared" si="0"/>
        <v>F</v>
      </c>
      <c r="J19" s="1" t="s">
        <v>2127</v>
      </c>
      <c r="K19" s="1" t="s">
        <v>919</v>
      </c>
      <c r="L19" s="1" t="s">
        <v>919</v>
      </c>
      <c r="M19" s="1" t="s">
        <v>2237</v>
      </c>
      <c r="N19" s="1" t="s">
        <v>2176</v>
      </c>
      <c r="O19" s="1" t="s">
        <v>812</v>
      </c>
      <c r="P19" s="1" t="s">
        <v>813</v>
      </c>
      <c r="Q19" s="1" t="s">
        <v>2238</v>
      </c>
    </row>
    <row r="20" spans="1:17" x14ac:dyDescent="0.25">
      <c r="A20" s="38" t="s">
        <v>4630</v>
      </c>
      <c r="B20" s="1">
        <v>19</v>
      </c>
      <c r="C20" s="1" t="s">
        <v>1406</v>
      </c>
      <c r="D20" s="1" t="s">
        <v>2239</v>
      </c>
      <c r="E20" s="1" t="s">
        <v>534</v>
      </c>
      <c r="F20" s="1">
        <v>903391142</v>
      </c>
      <c r="G20" s="1" t="s">
        <v>2240</v>
      </c>
      <c r="H20" s="1" t="s">
        <v>2126</v>
      </c>
      <c r="I20" s="1" t="str">
        <f t="shared" si="0"/>
        <v>M</v>
      </c>
      <c r="J20" s="1" t="s">
        <v>2127</v>
      </c>
      <c r="K20" s="1" t="s">
        <v>919</v>
      </c>
      <c r="L20" s="1" t="s">
        <v>2192</v>
      </c>
      <c r="M20" s="1" t="s">
        <v>2241</v>
      </c>
      <c r="N20" s="1" t="s">
        <v>2150</v>
      </c>
      <c r="O20" s="1" t="s">
        <v>90</v>
      </c>
      <c r="P20" s="1" t="s">
        <v>532</v>
      </c>
      <c r="Q20" s="1" t="s">
        <v>2242</v>
      </c>
    </row>
    <row r="21" spans="1:17" x14ac:dyDescent="0.25">
      <c r="A21" s="38" t="s">
        <v>4648</v>
      </c>
      <c r="B21" s="1">
        <v>20</v>
      </c>
      <c r="C21" s="1" t="s">
        <v>1424</v>
      </c>
      <c r="D21" s="1" t="s">
        <v>2243</v>
      </c>
      <c r="E21" s="1" t="s">
        <v>570</v>
      </c>
      <c r="F21" s="1">
        <v>979800079</v>
      </c>
      <c r="G21" s="1" t="s">
        <v>2244</v>
      </c>
      <c r="H21" s="1" t="s">
        <v>2135</v>
      </c>
      <c r="I21" s="1" t="str">
        <f t="shared" si="0"/>
        <v>F</v>
      </c>
      <c r="J21" s="1" t="s">
        <v>2127</v>
      </c>
      <c r="K21" s="1" t="s">
        <v>919</v>
      </c>
      <c r="L21" s="1" t="s">
        <v>2192</v>
      </c>
      <c r="M21" s="1" t="s">
        <v>2245</v>
      </c>
      <c r="N21" s="1" t="s">
        <v>2150</v>
      </c>
      <c r="O21" s="1" t="s">
        <v>90</v>
      </c>
      <c r="P21" s="1" t="s">
        <v>532</v>
      </c>
      <c r="Q21" s="1" t="s">
        <v>2246</v>
      </c>
    </row>
    <row r="22" spans="1:17" x14ac:dyDescent="0.25">
      <c r="A22" s="38" t="s">
        <v>4800</v>
      </c>
      <c r="B22" s="1">
        <v>21</v>
      </c>
      <c r="C22" s="1" t="s">
        <v>2247</v>
      </c>
      <c r="D22" s="1" t="s">
        <v>2248</v>
      </c>
      <c r="E22" s="1" t="s">
        <v>35</v>
      </c>
      <c r="F22" s="1">
        <v>980764341</v>
      </c>
      <c r="G22" s="1" t="s">
        <v>2249</v>
      </c>
      <c r="H22" s="1" t="s">
        <v>2126</v>
      </c>
      <c r="I22" s="1" t="str">
        <f t="shared" si="0"/>
        <v>M</v>
      </c>
      <c r="J22" s="1" t="s">
        <v>2127</v>
      </c>
      <c r="K22" s="1" t="s">
        <v>919</v>
      </c>
      <c r="L22" s="1" t="s">
        <v>919</v>
      </c>
      <c r="M22" s="1" t="s">
        <v>2250</v>
      </c>
      <c r="N22" s="1" t="s">
        <v>2130</v>
      </c>
      <c r="O22" s="1" t="s">
        <v>9</v>
      </c>
      <c r="P22" s="1" t="s">
        <v>10</v>
      </c>
      <c r="Q22" s="1" t="s">
        <v>2251</v>
      </c>
    </row>
    <row r="23" spans="1:17" x14ac:dyDescent="0.25">
      <c r="A23" s="38" t="s">
        <v>4641</v>
      </c>
      <c r="B23" s="1">
        <v>22</v>
      </c>
      <c r="C23" s="1" t="s">
        <v>1417</v>
      </c>
      <c r="D23" s="1" t="s">
        <v>2252</v>
      </c>
      <c r="E23" s="1" t="s">
        <v>556</v>
      </c>
      <c r="F23" s="1">
        <v>986494739</v>
      </c>
      <c r="G23" s="1" t="s">
        <v>2253</v>
      </c>
      <c r="H23" s="1" t="s">
        <v>2135</v>
      </c>
      <c r="I23" s="1" t="str">
        <f t="shared" si="0"/>
        <v>F</v>
      </c>
      <c r="J23" s="1" t="s">
        <v>2127</v>
      </c>
      <c r="K23" s="1" t="s">
        <v>2127</v>
      </c>
      <c r="L23" s="1" t="s">
        <v>2127</v>
      </c>
      <c r="M23" s="1" t="s">
        <v>2254</v>
      </c>
      <c r="N23" s="1" t="s">
        <v>2150</v>
      </c>
      <c r="O23" s="1" t="s">
        <v>90</v>
      </c>
      <c r="P23" s="1" t="s">
        <v>532</v>
      </c>
      <c r="Q23" s="1" t="s">
        <v>2255</v>
      </c>
    </row>
    <row r="24" spans="1:17" x14ac:dyDescent="0.25">
      <c r="A24" s="38" t="s">
        <v>4568</v>
      </c>
      <c r="B24" s="1">
        <v>23</v>
      </c>
      <c r="C24" s="1" t="s">
        <v>1347</v>
      </c>
      <c r="D24" s="1" t="s">
        <v>2256</v>
      </c>
      <c r="E24" s="1" t="s">
        <v>631</v>
      </c>
      <c r="F24" s="1">
        <v>985342872</v>
      </c>
      <c r="G24" s="1" t="s">
        <v>2257</v>
      </c>
      <c r="H24" s="1" t="s">
        <v>2126</v>
      </c>
      <c r="I24" s="1" t="str">
        <f t="shared" si="0"/>
        <v>M</v>
      </c>
      <c r="J24" s="1" t="s">
        <v>2127</v>
      </c>
      <c r="K24" s="1" t="s">
        <v>919</v>
      </c>
      <c r="L24" s="1" t="s">
        <v>2192</v>
      </c>
      <c r="M24" s="1" t="s">
        <v>2258</v>
      </c>
      <c r="N24" s="1" t="s">
        <v>2140</v>
      </c>
      <c r="O24" s="1" t="s">
        <v>90</v>
      </c>
      <c r="P24" s="1" t="s">
        <v>619</v>
      </c>
      <c r="Q24" s="1" t="s">
        <v>2259</v>
      </c>
    </row>
    <row r="25" spans="1:17" x14ac:dyDescent="0.25">
      <c r="A25" s="38" t="s">
        <v>4723</v>
      </c>
      <c r="B25" s="1">
        <v>24</v>
      </c>
      <c r="C25" s="1" t="s">
        <v>2260</v>
      </c>
      <c r="D25" s="1" t="s">
        <v>2261</v>
      </c>
      <c r="E25" s="1" t="s">
        <v>345</v>
      </c>
      <c r="F25" s="1">
        <v>904405225</v>
      </c>
      <c r="G25" s="1" t="s">
        <v>2262</v>
      </c>
      <c r="H25" s="1" t="s">
        <v>2126</v>
      </c>
      <c r="I25" s="1" t="str">
        <f t="shared" si="0"/>
        <v>M</v>
      </c>
      <c r="J25" s="1" t="s">
        <v>2127</v>
      </c>
      <c r="K25" s="1" t="s">
        <v>919</v>
      </c>
      <c r="L25" s="1" t="s">
        <v>919</v>
      </c>
      <c r="M25" s="1" t="s">
        <v>2263</v>
      </c>
      <c r="N25" s="1" t="s">
        <v>2130</v>
      </c>
      <c r="O25" s="1" t="s">
        <v>90</v>
      </c>
      <c r="P25" s="1" t="s">
        <v>272</v>
      </c>
      <c r="Q25" s="1" t="s">
        <v>2264</v>
      </c>
    </row>
    <row r="26" spans="1:17" x14ac:dyDescent="0.25">
      <c r="A26" s="38" t="s">
        <v>4823</v>
      </c>
      <c r="B26" s="1">
        <v>25</v>
      </c>
      <c r="C26" s="1" t="s">
        <v>2265</v>
      </c>
      <c r="D26" s="1" t="s">
        <v>2266</v>
      </c>
      <c r="E26" s="1" t="s">
        <v>845</v>
      </c>
      <c r="F26" s="1">
        <v>944435541</v>
      </c>
      <c r="G26" s="1" t="s">
        <v>2267</v>
      </c>
      <c r="H26" s="1" t="s">
        <v>2135</v>
      </c>
      <c r="I26" s="1" t="str">
        <f t="shared" si="0"/>
        <v>F</v>
      </c>
      <c r="J26" s="1" t="s">
        <v>2268</v>
      </c>
      <c r="K26" s="1" t="s">
        <v>2268</v>
      </c>
      <c r="L26" s="1" t="s">
        <v>2268</v>
      </c>
      <c r="M26" s="1" t="s">
        <v>2269</v>
      </c>
      <c r="N26" s="1" t="s">
        <v>2176</v>
      </c>
      <c r="O26" s="1" t="s">
        <v>812</v>
      </c>
      <c r="P26" s="1" t="s">
        <v>813</v>
      </c>
      <c r="Q26" s="1" t="s">
        <v>2270</v>
      </c>
    </row>
    <row r="27" spans="1:17" x14ac:dyDescent="0.25">
      <c r="A27" s="38" t="s">
        <v>4603</v>
      </c>
      <c r="B27" s="1">
        <v>26</v>
      </c>
      <c r="C27" s="1" t="s">
        <v>2271</v>
      </c>
      <c r="D27" s="1" t="s">
        <v>2272</v>
      </c>
      <c r="E27" s="1" t="s">
        <v>701</v>
      </c>
      <c r="F27" s="1">
        <v>945098819</v>
      </c>
      <c r="G27" s="1" t="s">
        <v>2273</v>
      </c>
      <c r="H27" s="1" t="s">
        <v>2126</v>
      </c>
      <c r="I27" s="1" t="str">
        <f t="shared" si="0"/>
        <v>M</v>
      </c>
      <c r="J27" s="1" t="s">
        <v>2156</v>
      </c>
      <c r="K27" s="1" t="s">
        <v>2274</v>
      </c>
      <c r="L27" s="1" t="s">
        <v>2275</v>
      </c>
      <c r="M27" s="1" t="s">
        <v>2276</v>
      </c>
      <c r="N27" s="1" t="s">
        <v>2140</v>
      </c>
      <c r="O27" s="1" t="s">
        <v>90</v>
      </c>
      <c r="P27" s="1" t="s">
        <v>619</v>
      </c>
      <c r="Q27" s="1" t="s">
        <v>2277</v>
      </c>
    </row>
    <row r="28" spans="1:17" x14ac:dyDescent="0.25">
      <c r="A28" s="38" t="s">
        <v>4910</v>
      </c>
      <c r="B28" s="1">
        <v>27</v>
      </c>
      <c r="C28" s="1" t="s">
        <v>2278</v>
      </c>
      <c r="D28" s="1" t="s">
        <v>2279</v>
      </c>
      <c r="E28" s="1" t="s">
        <v>2280</v>
      </c>
      <c r="F28" s="1">
        <v>956966629</v>
      </c>
      <c r="G28" s="1" t="s">
        <v>2281</v>
      </c>
      <c r="H28" s="1" t="s">
        <v>2126</v>
      </c>
      <c r="I28" s="1" t="str">
        <f t="shared" si="0"/>
        <v>M</v>
      </c>
      <c r="J28" s="1" t="s">
        <v>2127</v>
      </c>
      <c r="K28" s="1" t="s">
        <v>919</v>
      </c>
      <c r="L28" s="1" t="s">
        <v>2192</v>
      </c>
      <c r="M28" s="1" t="s">
        <v>2282</v>
      </c>
      <c r="N28" s="1" t="s">
        <v>2176</v>
      </c>
      <c r="O28" s="1" t="s">
        <v>9</v>
      </c>
      <c r="P28" s="1" t="s">
        <v>2283</v>
      </c>
      <c r="Q28" s="1" t="s">
        <v>2284</v>
      </c>
    </row>
    <row r="29" spans="1:17" x14ac:dyDescent="0.25">
      <c r="A29" s="38" t="s">
        <v>4911</v>
      </c>
      <c r="B29" s="1">
        <v>28</v>
      </c>
      <c r="C29" s="1" t="s">
        <v>2285</v>
      </c>
      <c r="D29" s="1" t="s">
        <v>2286</v>
      </c>
      <c r="E29" s="1" t="s">
        <v>49</v>
      </c>
      <c r="F29" s="1">
        <v>952368885</v>
      </c>
      <c r="G29" s="1" t="s">
        <v>2287</v>
      </c>
      <c r="H29" s="1" t="s">
        <v>2126</v>
      </c>
      <c r="I29" s="1" t="str">
        <f t="shared" si="0"/>
        <v>M</v>
      </c>
      <c r="J29" s="1" t="s">
        <v>2127</v>
      </c>
      <c r="K29" s="1" t="s">
        <v>919</v>
      </c>
      <c r="L29" s="1" t="s">
        <v>919</v>
      </c>
      <c r="M29" s="1" t="s">
        <v>2288</v>
      </c>
      <c r="N29" s="1" t="s">
        <v>2130</v>
      </c>
      <c r="O29" s="1" t="s">
        <v>9</v>
      </c>
      <c r="P29" s="1" t="s">
        <v>10</v>
      </c>
      <c r="Q29" s="1" t="s">
        <v>2289</v>
      </c>
    </row>
    <row r="30" spans="1:17" x14ac:dyDescent="0.25">
      <c r="A30" s="38" t="s">
        <v>4598</v>
      </c>
      <c r="B30" s="1">
        <v>29</v>
      </c>
      <c r="C30" s="1" t="s">
        <v>1377</v>
      </c>
      <c r="D30" s="1" t="s">
        <v>2290</v>
      </c>
      <c r="E30" s="1" t="s">
        <v>691</v>
      </c>
      <c r="F30" s="1">
        <v>978505368</v>
      </c>
      <c r="G30" s="1" t="s">
        <v>2291</v>
      </c>
      <c r="H30" s="1" t="s">
        <v>2126</v>
      </c>
      <c r="I30" s="1" t="str">
        <f t="shared" si="0"/>
        <v>M</v>
      </c>
      <c r="J30" s="1" t="s">
        <v>2127</v>
      </c>
      <c r="K30" s="1" t="s">
        <v>919</v>
      </c>
      <c r="L30" s="1" t="s">
        <v>919</v>
      </c>
      <c r="M30" s="1" t="s">
        <v>2292</v>
      </c>
      <c r="N30" s="1" t="s">
        <v>2140</v>
      </c>
      <c r="O30" s="1" t="s">
        <v>90</v>
      </c>
      <c r="P30" s="1" t="s">
        <v>619</v>
      </c>
      <c r="Q30" s="1" t="s">
        <v>2293</v>
      </c>
    </row>
    <row r="31" spans="1:17" x14ac:dyDescent="0.25">
      <c r="A31" s="38" t="s">
        <v>4576</v>
      </c>
      <c r="B31" s="1">
        <v>30</v>
      </c>
      <c r="C31" s="1" t="s">
        <v>1355</v>
      </c>
      <c r="D31" s="1" t="s">
        <v>2294</v>
      </c>
      <c r="E31" s="1" t="s">
        <v>647</v>
      </c>
      <c r="F31" s="1">
        <v>957816200</v>
      </c>
      <c r="G31" s="1" t="s">
        <v>2295</v>
      </c>
      <c r="H31" s="1" t="s">
        <v>2126</v>
      </c>
      <c r="I31" s="1" t="str">
        <f t="shared" si="0"/>
        <v>M</v>
      </c>
      <c r="J31" s="1" t="s">
        <v>2127</v>
      </c>
      <c r="K31" s="1" t="s">
        <v>919</v>
      </c>
      <c r="L31" s="1" t="s">
        <v>2128</v>
      </c>
      <c r="M31" s="1" t="s">
        <v>2296</v>
      </c>
      <c r="N31" s="1" t="s">
        <v>2140</v>
      </c>
      <c r="O31" s="1" t="s">
        <v>90</v>
      </c>
      <c r="P31" s="1" t="s">
        <v>619</v>
      </c>
      <c r="Q31" s="1" t="s">
        <v>2297</v>
      </c>
    </row>
    <row r="32" spans="1:17" x14ac:dyDescent="0.25">
      <c r="A32" s="38" t="s">
        <v>4670</v>
      </c>
      <c r="B32" s="1">
        <v>31</v>
      </c>
      <c r="C32" s="1" t="s">
        <v>1446</v>
      </c>
      <c r="D32" s="1" t="s">
        <v>2298</v>
      </c>
      <c r="E32" s="1" t="s">
        <v>614</v>
      </c>
      <c r="F32" s="1">
        <v>953445049</v>
      </c>
      <c r="G32" s="1" t="s">
        <v>2299</v>
      </c>
      <c r="H32" s="1" t="s">
        <v>2135</v>
      </c>
      <c r="I32" s="1" t="str">
        <f t="shared" si="0"/>
        <v>F</v>
      </c>
      <c r="J32" s="1" t="s">
        <v>2127</v>
      </c>
      <c r="K32" s="1" t="s">
        <v>919</v>
      </c>
      <c r="L32" s="1" t="s">
        <v>2300</v>
      </c>
      <c r="M32" s="1" t="s">
        <v>2301</v>
      </c>
      <c r="N32" s="1" t="s">
        <v>2150</v>
      </c>
      <c r="O32" s="1" t="s">
        <v>90</v>
      </c>
      <c r="P32" s="1" t="s">
        <v>532</v>
      </c>
      <c r="Q32" s="1" t="s">
        <v>2302</v>
      </c>
    </row>
    <row r="33" spans="1:17" x14ac:dyDescent="0.25">
      <c r="A33" s="38" t="s">
        <v>4540</v>
      </c>
      <c r="B33" s="1">
        <v>32</v>
      </c>
      <c r="C33" s="1" t="s">
        <v>1318</v>
      </c>
      <c r="D33" s="1" t="s">
        <v>2303</v>
      </c>
      <c r="E33" s="1" t="s">
        <v>169</v>
      </c>
      <c r="F33" s="1">
        <v>979258187</v>
      </c>
      <c r="G33" s="1" t="s">
        <v>2304</v>
      </c>
      <c r="H33" s="1" t="s">
        <v>2126</v>
      </c>
      <c r="I33" s="1" t="str">
        <f t="shared" si="0"/>
        <v>M</v>
      </c>
      <c r="J33" s="1" t="s">
        <v>2127</v>
      </c>
      <c r="K33" s="1" t="s">
        <v>2127</v>
      </c>
      <c r="L33" s="1" t="s">
        <v>2127</v>
      </c>
      <c r="M33" s="1" t="s">
        <v>2305</v>
      </c>
      <c r="N33" s="1" t="s">
        <v>2140</v>
      </c>
      <c r="O33" s="1" t="s">
        <v>90</v>
      </c>
      <c r="P33" s="1" t="s">
        <v>135</v>
      </c>
      <c r="Q33" s="1" t="s">
        <v>2306</v>
      </c>
    </row>
    <row r="34" spans="1:17" x14ac:dyDescent="0.25">
      <c r="A34" s="38" t="s">
        <v>4678</v>
      </c>
      <c r="B34" s="1">
        <v>33</v>
      </c>
      <c r="C34" s="1" t="s">
        <v>1454</v>
      </c>
      <c r="D34" s="1" t="s">
        <v>2307</v>
      </c>
      <c r="E34" s="1" t="s">
        <v>67</v>
      </c>
      <c r="F34" s="1">
        <v>979666725</v>
      </c>
      <c r="G34" s="1" t="s">
        <v>2308</v>
      </c>
      <c r="H34" s="1" t="s">
        <v>2126</v>
      </c>
      <c r="I34" s="1" t="str">
        <f t="shared" si="0"/>
        <v>M</v>
      </c>
      <c r="J34" s="1" t="s">
        <v>2127</v>
      </c>
      <c r="K34" s="1" t="s">
        <v>919</v>
      </c>
      <c r="L34" s="1" t="s">
        <v>919</v>
      </c>
      <c r="M34" s="1" t="s">
        <v>2309</v>
      </c>
      <c r="N34" s="1" t="s">
        <v>2150</v>
      </c>
      <c r="O34" s="1" t="s">
        <v>9</v>
      </c>
      <c r="P34" s="1" t="s">
        <v>53</v>
      </c>
      <c r="Q34" s="1" t="s">
        <v>2310</v>
      </c>
    </row>
    <row r="35" spans="1:17" x14ac:dyDescent="0.25">
      <c r="A35" s="38" t="s">
        <v>4912</v>
      </c>
      <c r="B35" s="1">
        <v>34</v>
      </c>
      <c r="C35" s="1" t="s">
        <v>1366</v>
      </c>
      <c r="D35" s="1" t="s">
        <v>2311</v>
      </c>
      <c r="E35" s="1" t="s">
        <v>2312</v>
      </c>
      <c r="F35" s="1">
        <v>986783178</v>
      </c>
      <c r="G35" s="1" t="s">
        <v>2313</v>
      </c>
      <c r="H35" s="1" t="s">
        <v>2126</v>
      </c>
      <c r="I35" s="1" t="str">
        <f t="shared" si="0"/>
        <v>M</v>
      </c>
      <c r="J35" s="1" t="s">
        <v>2127</v>
      </c>
      <c r="K35" s="1" t="s">
        <v>919</v>
      </c>
      <c r="L35" s="1" t="s">
        <v>919</v>
      </c>
      <c r="M35" s="1" t="s">
        <v>2314</v>
      </c>
      <c r="N35" s="1" t="s">
        <v>2315</v>
      </c>
      <c r="O35" s="1" t="s">
        <v>90</v>
      </c>
      <c r="P35" s="1" t="s">
        <v>2316</v>
      </c>
      <c r="Q35" s="1" t="s">
        <v>2317</v>
      </c>
    </row>
    <row r="36" spans="1:17" x14ac:dyDescent="0.25">
      <c r="A36" s="38" t="s">
        <v>4783</v>
      </c>
      <c r="B36" s="1">
        <v>35</v>
      </c>
      <c r="C36" s="1" t="s">
        <v>1555</v>
      </c>
      <c r="D36" s="1" t="s">
        <v>2318</v>
      </c>
      <c r="E36" s="1" t="s">
        <v>402</v>
      </c>
      <c r="F36" s="1">
        <v>968076806</v>
      </c>
      <c r="G36" s="1" t="s">
        <v>2319</v>
      </c>
      <c r="H36" s="1" t="s">
        <v>2135</v>
      </c>
      <c r="I36" s="1" t="str">
        <f t="shared" si="0"/>
        <v>F</v>
      </c>
      <c r="J36" s="1" t="s">
        <v>2127</v>
      </c>
      <c r="K36" s="1" t="s">
        <v>2127</v>
      </c>
      <c r="L36" s="1" t="s">
        <v>2127</v>
      </c>
      <c r="M36" s="1" t="s">
        <v>2320</v>
      </c>
      <c r="N36" s="1" t="s">
        <v>2130</v>
      </c>
      <c r="O36" s="1" t="s">
        <v>90</v>
      </c>
      <c r="P36" s="1" t="s">
        <v>368</v>
      </c>
      <c r="Q36" s="1" t="s">
        <v>2321</v>
      </c>
    </row>
    <row r="37" spans="1:17" x14ac:dyDescent="0.25">
      <c r="A37" s="38" t="s">
        <v>4707</v>
      </c>
      <c r="B37" s="1">
        <v>36</v>
      </c>
      <c r="C37" s="1" t="s">
        <v>1481</v>
      </c>
      <c r="D37" s="1" t="s">
        <v>2322</v>
      </c>
      <c r="E37" s="1" t="s">
        <v>313</v>
      </c>
      <c r="F37" s="1">
        <v>973327717</v>
      </c>
      <c r="G37" s="1" t="s">
        <v>2323</v>
      </c>
      <c r="H37" s="1" t="s">
        <v>2126</v>
      </c>
      <c r="I37" s="1" t="str">
        <f t="shared" si="0"/>
        <v>M</v>
      </c>
      <c r="J37" s="1" t="s">
        <v>2127</v>
      </c>
      <c r="K37" s="1" t="s">
        <v>919</v>
      </c>
      <c r="L37" s="1" t="s">
        <v>919</v>
      </c>
      <c r="M37" s="1" t="s">
        <v>2324</v>
      </c>
      <c r="N37" s="1" t="s">
        <v>2130</v>
      </c>
      <c r="O37" s="1" t="s">
        <v>90</v>
      </c>
      <c r="P37" s="1" t="s">
        <v>272</v>
      </c>
      <c r="Q37" s="1" t="s">
        <v>2325</v>
      </c>
    </row>
    <row r="38" spans="1:17" x14ac:dyDescent="0.25">
      <c r="A38" s="38" t="s">
        <v>4829</v>
      </c>
      <c r="B38" s="1">
        <v>37</v>
      </c>
      <c r="C38" s="1" t="s">
        <v>1595</v>
      </c>
      <c r="D38" s="1" t="s">
        <v>2326</v>
      </c>
      <c r="E38" s="1" t="s">
        <v>499</v>
      </c>
      <c r="F38" s="1">
        <v>979499826</v>
      </c>
      <c r="G38" s="1" t="s">
        <v>2327</v>
      </c>
      <c r="H38" s="1" t="s">
        <v>2126</v>
      </c>
      <c r="I38" s="1" t="str">
        <f t="shared" si="0"/>
        <v>M</v>
      </c>
      <c r="J38" s="1" t="s">
        <v>2127</v>
      </c>
      <c r="K38" s="1" t="s">
        <v>919</v>
      </c>
      <c r="L38" s="1" t="s">
        <v>919</v>
      </c>
      <c r="M38" s="1" t="s">
        <v>2328</v>
      </c>
      <c r="N38" s="1" t="s">
        <v>2329</v>
      </c>
      <c r="O38" s="1" t="s">
        <v>90</v>
      </c>
      <c r="P38" s="1" t="s">
        <v>493</v>
      </c>
      <c r="Q38" s="1" t="s">
        <v>2330</v>
      </c>
    </row>
    <row r="39" spans="1:17" x14ac:dyDescent="0.25">
      <c r="A39" s="38" t="s">
        <v>4806</v>
      </c>
      <c r="B39" s="1">
        <v>38</v>
      </c>
      <c r="C39" s="1" t="s">
        <v>1574</v>
      </c>
      <c r="D39" s="1" t="s">
        <v>2331</v>
      </c>
      <c r="E39" s="1" t="s">
        <v>47</v>
      </c>
      <c r="F39" s="1">
        <v>979514678</v>
      </c>
      <c r="G39" s="1" t="s">
        <v>2332</v>
      </c>
      <c r="H39" s="1" t="s">
        <v>2135</v>
      </c>
      <c r="I39" s="1" t="str">
        <f t="shared" si="0"/>
        <v>F</v>
      </c>
      <c r="J39" s="1" t="s">
        <v>2156</v>
      </c>
      <c r="K39" s="1" t="s">
        <v>2333</v>
      </c>
      <c r="L39" s="1" t="s">
        <v>2334</v>
      </c>
      <c r="M39" s="1" t="s">
        <v>2335</v>
      </c>
      <c r="N39" s="1" t="s">
        <v>2130</v>
      </c>
      <c r="O39" s="1" t="s">
        <v>9</v>
      </c>
      <c r="P39" s="1" t="s">
        <v>10</v>
      </c>
      <c r="Q39" s="1" t="s">
        <v>2336</v>
      </c>
    </row>
    <row r="40" spans="1:17" x14ac:dyDescent="0.25">
      <c r="A40" s="38" t="s">
        <v>4791</v>
      </c>
      <c r="B40" s="1">
        <v>39</v>
      </c>
      <c r="C40" s="1" t="s">
        <v>2337</v>
      </c>
      <c r="D40" s="1" t="s">
        <v>2338</v>
      </c>
      <c r="E40" s="1" t="s">
        <v>17</v>
      </c>
      <c r="F40" s="1">
        <v>979618370</v>
      </c>
      <c r="G40" s="1" t="s">
        <v>2339</v>
      </c>
      <c r="H40" s="1" t="s">
        <v>2135</v>
      </c>
      <c r="I40" s="1" t="str">
        <f t="shared" si="0"/>
        <v>F</v>
      </c>
      <c r="J40" s="1" t="s">
        <v>2127</v>
      </c>
      <c r="K40" s="1" t="s">
        <v>919</v>
      </c>
      <c r="L40" s="1" t="s">
        <v>919</v>
      </c>
      <c r="M40" s="1" t="s">
        <v>2340</v>
      </c>
      <c r="N40" s="1" t="s">
        <v>2130</v>
      </c>
      <c r="O40" s="1" t="s">
        <v>9</v>
      </c>
      <c r="P40" s="1" t="s">
        <v>10</v>
      </c>
      <c r="Q40" s="1" t="s">
        <v>2341</v>
      </c>
    </row>
    <row r="41" spans="1:17" x14ac:dyDescent="0.25">
      <c r="A41" s="38" t="s">
        <v>4709</v>
      </c>
      <c r="B41" s="1">
        <v>40</v>
      </c>
      <c r="C41" s="1" t="s">
        <v>1483</v>
      </c>
      <c r="D41" s="1" t="s">
        <v>2342</v>
      </c>
      <c r="E41" s="1" t="s">
        <v>317</v>
      </c>
      <c r="F41" s="1">
        <v>961586454</v>
      </c>
      <c r="G41" s="1" t="s">
        <v>2343</v>
      </c>
      <c r="H41" s="1" t="s">
        <v>2135</v>
      </c>
      <c r="I41" s="1" t="str">
        <f t="shared" si="0"/>
        <v>F</v>
      </c>
      <c r="J41" s="1" t="s">
        <v>2127</v>
      </c>
      <c r="K41" s="1" t="s">
        <v>919</v>
      </c>
      <c r="L41" s="1" t="s">
        <v>2232</v>
      </c>
      <c r="M41" s="1" t="s">
        <v>2344</v>
      </c>
      <c r="N41" s="1" t="s">
        <v>2130</v>
      </c>
      <c r="O41" s="1" t="s">
        <v>90</v>
      </c>
      <c r="P41" s="1" t="s">
        <v>272</v>
      </c>
      <c r="Q41" s="1" t="s">
        <v>2345</v>
      </c>
    </row>
    <row r="42" spans="1:17" x14ac:dyDescent="0.25">
      <c r="A42" s="38" t="s">
        <v>4638</v>
      </c>
      <c r="B42" s="1">
        <v>41</v>
      </c>
      <c r="C42" s="1" t="s">
        <v>1414</v>
      </c>
      <c r="D42" s="1" t="s">
        <v>2346</v>
      </c>
      <c r="E42" s="1" t="s">
        <v>550</v>
      </c>
      <c r="F42" s="1">
        <v>942890881</v>
      </c>
      <c r="G42" s="1" t="s">
        <v>2347</v>
      </c>
      <c r="H42" s="1" t="s">
        <v>2135</v>
      </c>
      <c r="I42" s="1" t="str">
        <f t="shared" si="0"/>
        <v>F</v>
      </c>
      <c r="J42" s="1" t="s">
        <v>2156</v>
      </c>
      <c r="K42" s="1" t="s">
        <v>2157</v>
      </c>
      <c r="L42" s="1" t="s">
        <v>2348</v>
      </c>
      <c r="M42" s="1" t="s">
        <v>2349</v>
      </c>
      <c r="N42" s="1" t="s">
        <v>2150</v>
      </c>
      <c r="O42" s="1" t="s">
        <v>90</v>
      </c>
      <c r="P42" s="1" t="s">
        <v>532</v>
      </c>
      <c r="Q42" s="1" t="s">
        <v>2350</v>
      </c>
    </row>
    <row r="43" spans="1:17" x14ac:dyDescent="0.25">
      <c r="A43" s="38" t="s">
        <v>4805</v>
      </c>
      <c r="B43" s="1">
        <v>42</v>
      </c>
      <c r="C43" s="1" t="s">
        <v>1573</v>
      </c>
      <c r="D43" s="1" t="s">
        <v>2351</v>
      </c>
      <c r="E43" s="1" t="s">
        <v>45</v>
      </c>
      <c r="F43" s="1">
        <v>994782648</v>
      </c>
      <c r="G43" s="1" t="s">
        <v>2352</v>
      </c>
      <c r="H43" s="1" t="s">
        <v>2126</v>
      </c>
      <c r="I43" s="1" t="str">
        <f t="shared" si="0"/>
        <v>M</v>
      </c>
      <c r="J43" s="1" t="s">
        <v>2127</v>
      </c>
      <c r="K43" s="1" t="s">
        <v>2127</v>
      </c>
      <c r="L43" s="1" t="s">
        <v>2127</v>
      </c>
      <c r="M43" s="1" t="s">
        <v>2353</v>
      </c>
      <c r="N43" s="1" t="s">
        <v>2130</v>
      </c>
      <c r="O43" s="1" t="s">
        <v>9</v>
      </c>
      <c r="P43" s="1" t="s">
        <v>10</v>
      </c>
      <c r="Q43" s="1" t="s">
        <v>2354</v>
      </c>
    </row>
    <row r="44" spans="1:17" x14ac:dyDescent="0.25">
      <c r="A44" s="38" t="s">
        <v>4913</v>
      </c>
      <c r="B44" s="1">
        <v>43</v>
      </c>
      <c r="C44" s="1" t="s">
        <v>2355</v>
      </c>
      <c r="D44" s="1" t="s">
        <v>2356</v>
      </c>
      <c r="E44" s="1" t="s">
        <v>269</v>
      </c>
      <c r="F44" s="1">
        <v>950165344</v>
      </c>
      <c r="G44" s="1" t="s">
        <v>2357</v>
      </c>
      <c r="H44" s="1" t="s">
        <v>2126</v>
      </c>
      <c r="I44" s="1" t="str">
        <f t="shared" si="0"/>
        <v>M</v>
      </c>
      <c r="J44" s="1" t="s">
        <v>2127</v>
      </c>
      <c r="K44" s="1" t="s">
        <v>919</v>
      </c>
      <c r="L44" s="1" t="s">
        <v>2300</v>
      </c>
      <c r="M44" s="1" t="s">
        <v>2358</v>
      </c>
      <c r="N44" s="1" t="s">
        <v>2140</v>
      </c>
      <c r="O44" s="1" t="s">
        <v>90</v>
      </c>
      <c r="P44" s="1" t="s">
        <v>223</v>
      </c>
      <c r="Q44" s="1" t="s">
        <v>2359</v>
      </c>
    </row>
    <row r="45" spans="1:17" x14ac:dyDescent="0.25">
      <c r="A45" s="38" t="s">
        <v>4766</v>
      </c>
      <c r="B45" s="1">
        <v>44</v>
      </c>
      <c r="C45" s="1" t="s">
        <v>1539</v>
      </c>
      <c r="D45" s="1" t="s">
        <v>2360</v>
      </c>
      <c r="E45" s="1" t="s">
        <v>367</v>
      </c>
      <c r="F45" s="1">
        <v>942154806</v>
      </c>
      <c r="G45" s="1" t="s">
        <v>2361</v>
      </c>
      <c r="H45" s="1" t="s">
        <v>2126</v>
      </c>
      <c r="I45" s="1" t="str">
        <f t="shared" si="0"/>
        <v>M</v>
      </c>
      <c r="J45" s="1" t="s">
        <v>2156</v>
      </c>
      <c r="K45" s="1" t="s">
        <v>2274</v>
      </c>
      <c r="L45" s="1" t="s">
        <v>2274</v>
      </c>
      <c r="M45" s="1" t="s">
        <v>2362</v>
      </c>
      <c r="N45" s="1" t="s">
        <v>2130</v>
      </c>
      <c r="O45" s="1" t="s">
        <v>90</v>
      </c>
      <c r="P45" s="1" t="s">
        <v>368</v>
      </c>
      <c r="Q45" s="1" t="s">
        <v>2363</v>
      </c>
    </row>
    <row r="46" spans="1:17" x14ac:dyDescent="0.25">
      <c r="A46" s="38" t="s">
        <v>4793</v>
      </c>
      <c r="B46" s="1">
        <v>45</v>
      </c>
      <c r="C46" s="1" t="s">
        <v>1564</v>
      </c>
      <c r="D46" s="1" t="s">
        <v>2364</v>
      </c>
      <c r="E46" s="1" t="s">
        <v>21</v>
      </c>
      <c r="F46" s="1">
        <v>949529017</v>
      </c>
      <c r="G46" s="1" t="s">
        <v>2365</v>
      </c>
      <c r="H46" s="1" t="s">
        <v>2135</v>
      </c>
      <c r="I46" s="1" t="str">
        <f t="shared" si="0"/>
        <v>F</v>
      </c>
      <c r="J46" s="1" t="s">
        <v>2127</v>
      </c>
      <c r="K46" s="1" t="s">
        <v>2127</v>
      </c>
      <c r="L46" s="1" t="s">
        <v>2366</v>
      </c>
      <c r="M46" s="1" t="s">
        <v>2367</v>
      </c>
      <c r="N46" s="1" t="s">
        <v>2130</v>
      </c>
      <c r="O46" s="1" t="s">
        <v>9</v>
      </c>
      <c r="P46" s="1" t="s">
        <v>10</v>
      </c>
      <c r="Q46" s="1" t="s">
        <v>2368</v>
      </c>
    </row>
    <row r="47" spans="1:17" x14ac:dyDescent="0.25">
      <c r="A47" s="38" t="s">
        <v>4914</v>
      </c>
      <c r="B47" s="1">
        <v>46</v>
      </c>
      <c r="C47" s="1" t="s">
        <v>2369</v>
      </c>
      <c r="D47" s="1" t="s">
        <v>2370</v>
      </c>
      <c r="E47" s="1" t="s">
        <v>809</v>
      </c>
      <c r="F47" s="1">
        <v>989935201</v>
      </c>
      <c r="G47" s="1" t="s">
        <v>2371</v>
      </c>
      <c r="H47" s="1" t="s">
        <v>2126</v>
      </c>
      <c r="I47" s="1" t="str">
        <f t="shared" si="0"/>
        <v>M</v>
      </c>
      <c r="J47" s="1" t="s">
        <v>2127</v>
      </c>
      <c r="K47" s="1" t="s">
        <v>919</v>
      </c>
      <c r="L47" s="1" t="s">
        <v>2192</v>
      </c>
      <c r="M47" s="1" t="s">
        <v>2372</v>
      </c>
      <c r="N47" s="1" t="s">
        <v>2194</v>
      </c>
      <c r="O47" s="1" t="s">
        <v>90</v>
      </c>
      <c r="P47" s="1" t="s">
        <v>769</v>
      </c>
      <c r="Q47" s="1" t="s">
        <v>2373</v>
      </c>
    </row>
    <row r="48" spans="1:17" x14ac:dyDescent="0.25">
      <c r="A48" s="38" t="s">
        <v>4775</v>
      </c>
      <c r="B48" s="1">
        <v>47</v>
      </c>
      <c r="C48" s="1" t="s">
        <v>1548</v>
      </c>
      <c r="D48" s="1" t="s">
        <v>2374</v>
      </c>
      <c r="E48" s="1" t="s">
        <v>386</v>
      </c>
      <c r="F48" s="1">
        <v>929717847</v>
      </c>
      <c r="G48" s="1" t="s">
        <v>2375</v>
      </c>
      <c r="H48" s="1" t="s">
        <v>2135</v>
      </c>
      <c r="I48" s="1" t="str">
        <f t="shared" si="0"/>
        <v>F</v>
      </c>
      <c r="J48" s="1" t="s">
        <v>2127</v>
      </c>
      <c r="K48" s="1" t="s">
        <v>2376</v>
      </c>
      <c r="L48" s="1" t="s">
        <v>2377</v>
      </c>
      <c r="M48" s="1" t="s">
        <v>2378</v>
      </c>
      <c r="N48" s="1" t="s">
        <v>2130</v>
      </c>
      <c r="O48" s="1" t="s">
        <v>90</v>
      </c>
      <c r="P48" s="1" t="s">
        <v>368</v>
      </c>
      <c r="Q48" s="1" t="s">
        <v>2379</v>
      </c>
    </row>
    <row r="49" spans="1:17" x14ac:dyDescent="0.25">
      <c r="A49" s="38" t="s">
        <v>4655</v>
      </c>
      <c r="B49" s="1">
        <v>90</v>
      </c>
      <c r="C49" s="1" t="s">
        <v>1431</v>
      </c>
      <c r="D49" s="1" t="s">
        <v>2380</v>
      </c>
      <c r="E49" s="1" t="s">
        <v>584</v>
      </c>
      <c r="F49" s="1">
        <v>981602489</v>
      </c>
      <c r="G49" s="1" t="s">
        <v>2381</v>
      </c>
      <c r="H49" s="1" t="s">
        <v>2126</v>
      </c>
      <c r="I49" s="1" t="str">
        <f t="shared" si="0"/>
        <v>M</v>
      </c>
      <c r="J49" s="1" t="s">
        <v>2127</v>
      </c>
      <c r="K49" s="1" t="s">
        <v>2127</v>
      </c>
      <c r="L49" s="1" t="s">
        <v>2382</v>
      </c>
      <c r="M49" s="1" t="s">
        <v>2383</v>
      </c>
      <c r="N49" s="1" t="s">
        <v>2150</v>
      </c>
      <c r="O49" s="1" t="s">
        <v>90</v>
      </c>
      <c r="P49" s="1" t="s">
        <v>532</v>
      </c>
      <c r="Q49" s="1" t="s">
        <v>2384</v>
      </c>
    </row>
    <row r="50" spans="1:17" x14ac:dyDescent="0.25">
      <c r="A50" s="38" t="s">
        <v>4790</v>
      </c>
      <c r="B50" s="1">
        <v>48</v>
      </c>
      <c r="C50" s="1" t="s">
        <v>1374</v>
      </c>
      <c r="D50" s="1" t="s">
        <v>2385</v>
      </c>
      <c r="E50" s="1" t="s">
        <v>15</v>
      </c>
      <c r="F50" s="1">
        <v>951538062</v>
      </c>
      <c r="G50" s="1" t="s">
        <v>2386</v>
      </c>
      <c r="H50" s="1" t="s">
        <v>2126</v>
      </c>
      <c r="I50" s="1" t="str">
        <f t="shared" si="0"/>
        <v>M</v>
      </c>
      <c r="J50" s="1" t="s">
        <v>2127</v>
      </c>
      <c r="K50" s="1" t="s">
        <v>919</v>
      </c>
      <c r="L50" s="1" t="s">
        <v>919</v>
      </c>
      <c r="M50" s="1" t="s">
        <v>2387</v>
      </c>
      <c r="N50" s="1" t="s">
        <v>2130</v>
      </c>
      <c r="O50" s="1" t="s">
        <v>9</v>
      </c>
      <c r="P50" s="1" t="s">
        <v>10</v>
      </c>
      <c r="Q50" s="1" t="s">
        <v>2388</v>
      </c>
    </row>
    <row r="51" spans="1:17" x14ac:dyDescent="0.25">
      <c r="A51" s="38" t="s">
        <v>4616</v>
      </c>
      <c r="B51" s="1">
        <v>49</v>
      </c>
      <c r="C51" s="1" t="s">
        <v>1393</v>
      </c>
      <c r="D51" s="1" t="s">
        <v>2389</v>
      </c>
      <c r="E51" s="1" t="s">
        <v>736</v>
      </c>
      <c r="F51" s="1">
        <v>954908813</v>
      </c>
      <c r="G51" s="1" t="s">
        <v>2390</v>
      </c>
      <c r="H51" s="1" t="s">
        <v>2126</v>
      </c>
      <c r="I51" s="1" t="str">
        <f t="shared" si="0"/>
        <v>M</v>
      </c>
      <c r="J51" s="1" t="s">
        <v>2127</v>
      </c>
      <c r="K51" s="1" t="s">
        <v>919</v>
      </c>
      <c r="L51" s="1" t="s">
        <v>2192</v>
      </c>
      <c r="M51" s="1" t="s">
        <v>2391</v>
      </c>
      <c r="N51" s="1" t="s">
        <v>2140</v>
      </c>
      <c r="O51" s="1" t="s">
        <v>90</v>
      </c>
      <c r="P51" s="1" t="s">
        <v>730</v>
      </c>
      <c r="Q51" s="1" t="s">
        <v>2392</v>
      </c>
    </row>
    <row r="52" spans="1:17" x14ac:dyDescent="0.25">
      <c r="A52" s="38" t="s">
        <v>4822</v>
      </c>
      <c r="B52" s="1">
        <v>50</v>
      </c>
      <c r="C52" s="1" t="s">
        <v>1589</v>
      </c>
      <c r="D52" s="1" t="s">
        <v>2393</v>
      </c>
      <c r="E52" s="1" t="s">
        <v>843</v>
      </c>
      <c r="F52" s="1">
        <v>942954525</v>
      </c>
      <c r="G52" s="1" t="s">
        <v>2394</v>
      </c>
      <c r="H52" s="1" t="s">
        <v>2135</v>
      </c>
      <c r="I52" s="1" t="str">
        <f t="shared" si="0"/>
        <v>F</v>
      </c>
      <c r="J52" s="1" t="s">
        <v>2127</v>
      </c>
      <c r="K52" s="1" t="s">
        <v>919</v>
      </c>
      <c r="L52" s="1" t="s">
        <v>2395</v>
      </c>
      <c r="M52" s="1" t="s">
        <v>2396</v>
      </c>
      <c r="N52" s="1" t="s">
        <v>2176</v>
      </c>
      <c r="O52" s="1" t="s">
        <v>812</v>
      </c>
      <c r="P52" s="1" t="s">
        <v>813</v>
      </c>
      <c r="Q52" s="1" t="s">
        <v>2397</v>
      </c>
    </row>
    <row r="53" spans="1:17" x14ac:dyDescent="0.25">
      <c r="A53" s="38" t="s">
        <v>4915</v>
      </c>
      <c r="B53" s="1">
        <v>51</v>
      </c>
      <c r="C53" s="1" t="s">
        <v>2398</v>
      </c>
      <c r="D53" s="1" t="s">
        <v>2399</v>
      </c>
      <c r="E53" s="1" t="s">
        <v>2400</v>
      </c>
      <c r="F53" s="1">
        <v>977216347</v>
      </c>
      <c r="G53" s="1" t="s">
        <v>2401</v>
      </c>
      <c r="H53" s="1" t="s">
        <v>2135</v>
      </c>
      <c r="I53" s="1" t="str">
        <f t="shared" si="0"/>
        <v>F</v>
      </c>
      <c r="J53" s="1" t="s">
        <v>2127</v>
      </c>
      <c r="K53" s="1" t="s">
        <v>919</v>
      </c>
      <c r="L53" s="1" t="s">
        <v>919</v>
      </c>
      <c r="M53" s="1" t="s">
        <v>2402</v>
      </c>
      <c r="N53" s="1" t="s">
        <v>2403</v>
      </c>
      <c r="O53" s="1" t="s">
        <v>90</v>
      </c>
      <c r="P53" s="1" t="s">
        <v>2404</v>
      </c>
      <c r="Q53" s="1" t="s">
        <v>2405</v>
      </c>
    </row>
    <row r="54" spans="1:17" x14ac:dyDescent="0.25">
      <c r="A54" s="38" t="s">
        <v>4916</v>
      </c>
      <c r="B54" s="1">
        <v>52</v>
      </c>
      <c r="C54" s="1" t="s">
        <v>2406</v>
      </c>
      <c r="D54" s="1" t="s">
        <v>2407</v>
      </c>
      <c r="E54" s="1" t="s">
        <v>2408</v>
      </c>
      <c r="F54" s="1">
        <v>928867430</v>
      </c>
      <c r="G54" s="1" t="s">
        <v>2409</v>
      </c>
      <c r="H54" s="1" t="s">
        <v>2126</v>
      </c>
      <c r="I54" s="1" t="str">
        <f t="shared" si="0"/>
        <v>M</v>
      </c>
      <c r="J54" s="1" t="s">
        <v>2127</v>
      </c>
      <c r="K54" s="1" t="s">
        <v>2127</v>
      </c>
      <c r="L54" s="1" t="s">
        <v>2127</v>
      </c>
      <c r="M54" s="1" t="s">
        <v>2410</v>
      </c>
      <c r="N54" s="1" t="s">
        <v>2315</v>
      </c>
      <c r="O54" s="1" t="s">
        <v>90</v>
      </c>
      <c r="P54" s="1" t="s">
        <v>2316</v>
      </c>
      <c r="Q54" s="1" t="s">
        <v>2411</v>
      </c>
    </row>
    <row r="55" spans="1:17" x14ac:dyDescent="0.25">
      <c r="A55" s="38" t="s">
        <v>4832</v>
      </c>
      <c r="B55" s="1">
        <v>53</v>
      </c>
      <c r="C55" s="1" t="s">
        <v>1598</v>
      </c>
      <c r="D55" s="1" t="s">
        <v>2412</v>
      </c>
      <c r="E55" s="1" t="s">
        <v>505</v>
      </c>
      <c r="F55" s="1">
        <v>968043708</v>
      </c>
      <c r="G55" s="1" t="s">
        <v>2413</v>
      </c>
      <c r="H55" s="1" t="s">
        <v>2126</v>
      </c>
      <c r="I55" s="1" t="str">
        <f t="shared" si="0"/>
        <v>M</v>
      </c>
      <c r="J55" s="1" t="s">
        <v>2127</v>
      </c>
      <c r="K55" s="1" t="s">
        <v>919</v>
      </c>
      <c r="L55" s="1" t="s">
        <v>919</v>
      </c>
      <c r="M55" s="1" t="s">
        <v>2414</v>
      </c>
      <c r="N55" s="1" t="s">
        <v>2329</v>
      </c>
      <c r="O55" s="1" t="s">
        <v>90</v>
      </c>
      <c r="P55" s="1" t="s">
        <v>493</v>
      </c>
      <c r="Q55" s="1" t="s">
        <v>2415</v>
      </c>
    </row>
    <row r="56" spans="1:17" x14ac:dyDescent="0.25">
      <c r="A56" s="38" t="s">
        <v>4595</v>
      </c>
      <c r="B56" s="1">
        <v>54</v>
      </c>
      <c r="C56" s="1" t="s">
        <v>1374</v>
      </c>
      <c r="D56" s="1" t="s">
        <v>2416</v>
      </c>
      <c r="E56" s="1" t="s">
        <v>685</v>
      </c>
      <c r="F56" s="1">
        <v>978761783</v>
      </c>
      <c r="G56" s="1" t="s">
        <v>2417</v>
      </c>
      <c r="H56" s="1" t="s">
        <v>2126</v>
      </c>
      <c r="I56" s="1" t="str">
        <f t="shared" si="0"/>
        <v>M</v>
      </c>
      <c r="J56" s="1" t="s">
        <v>2127</v>
      </c>
      <c r="K56" s="1" t="s">
        <v>919</v>
      </c>
      <c r="L56" s="1" t="s">
        <v>2418</v>
      </c>
      <c r="M56" s="1" t="s">
        <v>2419</v>
      </c>
      <c r="N56" s="1" t="s">
        <v>2140</v>
      </c>
      <c r="O56" s="1" t="s">
        <v>90</v>
      </c>
      <c r="P56" s="1" t="s">
        <v>619</v>
      </c>
      <c r="Q56" s="1" t="s">
        <v>2420</v>
      </c>
    </row>
    <row r="57" spans="1:17" x14ac:dyDescent="0.25">
      <c r="A57" s="38" t="s">
        <v>4917</v>
      </c>
      <c r="B57" s="1">
        <v>55</v>
      </c>
      <c r="C57" s="1" t="s">
        <v>2421</v>
      </c>
      <c r="D57" s="1" t="s">
        <v>2422</v>
      </c>
      <c r="E57" s="1" t="s">
        <v>490</v>
      </c>
      <c r="F57" s="1">
        <v>942361058</v>
      </c>
      <c r="G57" s="1" t="s">
        <v>2423</v>
      </c>
      <c r="H57" s="1" t="s">
        <v>2126</v>
      </c>
      <c r="I57" s="1" t="str">
        <f t="shared" si="0"/>
        <v>M</v>
      </c>
      <c r="J57" s="1" t="s">
        <v>2127</v>
      </c>
      <c r="K57" s="1" t="s">
        <v>919</v>
      </c>
      <c r="L57" s="1" t="s">
        <v>919</v>
      </c>
      <c r="M57" s="1" t="s">
        <v>2424</v>
      </c>
      <c r="N57" s="1" t="s">
        <v>2130</v>
      </c>
      <c r="O57" s="1" t="s">
        <v>90</v>
      </c>
      <c r="P57" s="1" t="s">
        <v>418</v>
      </c>
      <c r="Q57" s="1" t="s">
        <v>2425</v>
      </c>
    </row>
    <row r="58" spans="1:17" x14ac:dyDescent="0.25">
      <c r="A58" s="38" t="s">
        <v>4808</v>
      </c>
      <c r="B58" s="1">
        <v>56</v>
      </c>
      <c r="C58" s="1" t="s">
        <v>1576</v>
      </c>
      <c r="D58" s="1" t="s">
        <v>2426</v>
      </c>
      <c r="E58" s="1" t="s">
        <v>815</v>
      </c>
      <c r="F58" s="1">
        <v>941987804</v>
      </c>
      <c r="G58" s="1" t="s">
        <v>2427</v>
      </c>
      <c r="H58" s="1" t="s">
        <v>2135</v>
      </c>
      <c r="I58" s="1" t="str">
        <f t="shared" si="0"/>
        <v>F</v>
      </c>
      <c r="J58" s="1" t="s">
        <v>2127</v>
      </c>
      <c r="K58" s="1" t="s">
        <v>919</v>
      </c>
      <c r="L58" s="1" t="s">
        <v>919</v>
      </c>
      <c r="M58" s="1" t="s">
        <v>2428</v>
      </c>
      <c r="N58" s="1" t="s">
        <v>2176</v>
      </c>
      <c r="O58" s="1" t="s">
        <v>812</v>
      </c>
      <c r="P58" s="1" t="s">
        <v>813</v>
      </c>
      <c r="Q58" s="1" t="s">
        <v>2429</v>
      </c>
    </row>
    <row r="59" spans="1:17" x14ac:dyDescent="0.25">
      <c r="A59" s="38" t="s">
        <v>4918</v>
      </c>
      <c r="B59" s="1">
        <v>57</v>
      </c>
      <c r="C59" s="1" t="s">
        <v>1356</v>
      </c>
      <c r="D59" s="1" t="s">
        <v>2430</v>
      </c>
      <c r="E59" s="1" t="s">
        <v>2431</v>
      </c>
      <c r="F59" s="1">
        <v>932547871</v>
      </c>
      <c r="G59" s="1" t="s">
        <v>2432</v>
      </c>
      <c r="H59" s="1" t="s">
        <v>2126</v>
      </c>
      <c r="I59" s="1" t="str">
        <f t="shared" si="0"/>
        <v>M</v>
      </c>
      <c r="J59" s="1" t="s">
        <v>2127</v>
      </c>
      <c r="K59" s="1" t="s">
        <v>919</v>
      </c>
      <c r="L59" s="1" t="s">
        <v>919</v>
      </c>
      <c r="M59" s="1" t="s">
        <v>2433</v>
      </c>
      <c r="N59" s="1" t="s">
        <v>2212</v>
      </c>
      <c r="O59" s="1" t="s">
        <v>90</v>
      </c>
      <c r="P59" s="1" t="s">
        <v>2213</v>
      </c>
      <c r="Q59" s="1" t="s">
        <v>2434</v>
      </c>
    </row>
    <row r="60" spans="1:17" x14ac:dyDescent="0.25">
      <c r="A60" s="38" t="s">
        <v>4919</v>
      </c>
      <c r="B60" s="1">
        <v>58</v>
      </c>
      <c r="C60" s="1" t="s">
        <v>2435</v>
      </c>
      <c r="D60" s="1" t="s">
        <v>2436</v>
      </c>
      <c r="E60" s="1" t="s">
        <v>2437</v>
      </c>
      <c r="F60" s="1">
        <v>991704716</v>
      </c>
      <c r="G60" s="1" t="s">
        <v>2438</v>
      </c>
      <c r="H60" s="1" t="s">
        <v>2135</v>
      </c>
      <c r="I60" s="1" t="str">
        <f t="shared" si="0"/>
        <v>F</v>
      </c>
      <c r="J60" s="1" t="s">
        <v>2127</v>
      </c>
      <c r="K60" s="1" t="s">
        <v>919</v>
      </c>
      <c r="L60" s="1" t="s">
        <v>919</v>
      </c>
      <c r="M60" s="1" t="s">
        <v>2439</v>
      </c>
      <c r="N60" s="1" t="s">
        <v>2403</v>
      </c>
      <c r="O60" s="1" t="s">
        <v>90</v>
      </c>
      <c r="P60" s="1" t="s">
        <v>2404</v>
      </c>
      <c r="Q60" s="1" t="s">
        <v>2440</v>
      </c>
    </row>
    <row r="61" spans="1:17" x14ac:dyDescent="0.25">
      <c r="A61" s="38" t="s">
        <v>4920</v>
      </c>
      <c r="B61" s="1">
        <v>59</v>
      </c>
      <c r="C61" s="1" t="s">
        <v>2441</v>
      </c>
      <c r="D61" s="1" t="s">
        <v>2442</v>
      </c>
      <c r="E61" s="1" t="s">
        <v>2443</v>
      </c>
      <c r="F61" s="1">
        <v>935290177</v>
      </c>
      <c r="G61" s="1" t="s">
        <v>2444</v>
      </c>
      <c r="H61" s="1" t="s">
        <v>2135</v>
      </c>
      <c r="I61" s="1" t="str">
        <f t="shared" si="0"/>
        <v>F</v>
      </c>
      <c r="J61" s="1" t="s">
        <v>2127</v>
      </c>
      <c r="K61" s="1" t="s">
        <v>919</v>
      </c>
      <c r="L61" s="1" t="s">
        <v>2192</v>
      </c>
      <c r="M61" s="1" t="s">
        <v>2445</v>
      </c>
      <c r="N61" s="1" t="s">
        <v>2140</v>
      </c>
      <c r="O61" s="1" t="s">
        <v>9</v>
      </c>
      <c r="P61" s="1" t="s">
        <v>2446</v>
      </c>
      <c r="Q61" s="1" t="s">
        <v>2447</v>
      </c>
    </row>
    <row r="62" spans="1:17" x14ac:dyDescent="0.25">
      <c r="A62" s="38" t="s">
        <v>4921</v>
      </c>
      <c r="B62" s="1">
        <v>60</v>
      </c>
      <c r="C62" s="1" t="s">
        <v>2448</v>
      </c>
      <c r="D62" s="1" t="s">
        <v>2449</v>
      </c>
      <c r="E62" s="1" t="s">
        <v>2450</v>
      </c>
      <c r="F62" s="1">
        <v>988771461</v>
      </c>
      <c r="G62" s="1" t="s">
        <v>2451</v>
      </c>
      <c r="H62" s="1" t="s">
        <v>2126</v>
      </c>
      <c r="I62" s="1" t="str">
        <f t="shared" si="0"/>
        <v>M</v>
      </c>
      <c r="J62" s="1" t="s">
        <v>2127</v>
      </c>
      <c r="K62" s="1" t="s">
        <v>919</v>
      </c>
      <c r="L62" s="1" t="s">
        <v>2452</v>
      </c>
      <c r="M62" s="1" t="s">
        <v>2453</v>
      </c>
      <c r="N62" s="1" t="s">
        <v>2150</v>
      </c>
      <c r="O62" s="1" t="s">
        <v>90</v>
      </c>
      <c r="P62" s="1" t="s">
        <v>2160</v>
      </c>
      <c r="Q62" s="1" t="s">
        <v>2454</v>
      </c>
    </row>
    <row r="63" spans="1:17" x14ac:dyDescent="0.25">
      <c r="A63" s="38" t="s">
        <v>4751</v>
      </c>
      <c r="B63" s="1">
        <v>61</v>
      </c>
      <c r="C63" s="1" t="s">
        <v>1524</v>
      </c>
      <c r="D63" s="1" t="s">
        <v>2455</v>
      </c>
      <c r="E63" s="1" t="s">
        <v>458</v>
      </c>
      <c r="F63" s="1">
        <v>907396390</v>
      </c>
      <c r="G63" s="1" t="s">
        <v>2456</v>
      </c>
      <c r="H63" s="1" t="s">
        <v>2126</v>
      </c>
      <c r="I63" s="1" t="str">
        <f t="shared" si="0"/>
        <v>M</v>
      </c>
      <c r="J63" s="1" t="s">
        <v>2127</v>
      </c>
      <c r="K63" s="1" t="s">
        <v>919</v>
      </c>
      <c r="L63" s="1" t="s">
        <v>2457</v>
      </c>
      <c r="M63" s="1" t="s">
        <v>2458</v>
      </c>
      <c r="N63" s="1" t="s">
        <v>2130</v>
      </c>
      <c r="O63" s="1" t="s">
        <v>90</v>
      </c>
      <c r="P63" s="1" t="s">
        <v>418</v>
      </c>
      <c r="Q63" s="1" t="s">
        <v>2459</v>
      </c>
    </row>
    <row r="64" spans="1:17" x14ac:dyDescent="0.25">
      <c r="A64" s="38" t="s">
        <v>4922</v>
      </c>
      <c r="B64" s="1">
        <v>62</v>
      </c>
      <c r="C64" s="1" t="s">
        <v>2460</v>
      </c>
      <c r="D64" s="1" t="s">
        <v>2461</v>
      </c>
      <c r="E64" s="1" t="s">
        <v>2462</v>
      </c>
      <c r="F64" s="1">
        <v>987301838</v>
      </c>
      <c r="G64" s="1" t="s">
        <v>2463</v>
      </c>
      <c r="H64" s="1" t="s">
        <v>2126</v>
      </c>
      <c r="I64" s="1" t="str">
        <f t="shared" si="0"/>
        <v>M</v>
      </c>
      <c r="J64" s="1" t="s">
        <v>2127</v>
      </c>
      <c r="K64" s="1" t="s">
        <v>919</v>
      </c>
      <c r="L64" s="1" t="s">
        <v>2300</v>
      </c>
      <c r="M64" s="1" t="s">
        <v>2464</v>
      </c>
      <c r="N64" s="1" t="s">
        <v>2167</v>
      </c>
      <c r="O64" s="1" t="s">
        <v>90</v>
      </c>
      <c r="P64" s="1" t="s">
        <v>2168</v>
      </c>
      <c r="Q64" s="1" t="s">
        <v>2465</v>
      </c>
    </row>
    <row r="65" spans="1:17" x14ac:dyDescent="0.25">
      <c r="A65" s="38" t="s">
        <v>4608</v>
      </c>
      <c r="B65" s="1">
        <v>63</v>
      </c>
      <c r="C65" s="1" t="s">
        <v>1386</v>
      </c>
      <c r="D65" s="1" t="s">
        <v>2466</v>
      </c>
      <c r="E65" s="1" t="s">
        <v>711</v>
      </c>
      <c r="F65" s="1">
        <v>998892711</v>
      </c>
      <c r="G65" s="1" t="s">
        <v>2467</v>
      </c>
      <c r="H65" s="1" t="s">
        <v>2126</v>
      </c>
      <c r="I65" s="1" t="str">
        <f t="shared" si="0"/>
        <v>M</v>
      </c>
      <c r="J65" s="1" t="s">
        <v>2136</v>
      </c>
      <c r="K65" s="1" t="s">
        <v>2137</v>
      </c>
      <c r="L65" s="1" t="s">
        <v>2138</v>
      </c>
      <c r="M65" s="1" t="s">
        <v>2468</v>
      </c>
      <c r="N65" s="1" t="s">
        <v>2140</v>
      </c>
      <c r="O65" s="1" t="s">
        <v>90</v>
      </c>
      <c r="P65" s="1" t="s">
        <v>619</v>
      </c>
      <c r="Q65" s="1" t="s">
        <v>2469</v>
      </c>
    </row>
    <row r="66" spans="1:17" x14ac:dyDescent="0.25">
      <c r="A66" s="38" t="s">
        <v>4923</v>
      </c>
      <c r="B66" s="1">
        <v>64</v>
      </c>
      <c r="C66" s="1" t="s">
        <v>2470</v>
      </c>
      <c r="D66" s="1" t="s">
        <v>2471</v>
      </c>
      <c r="E66" s="1" t="s">
        <v>2472</v>
      </c>
      <c r="F66" s="1">
        <v>985700084</v>
      </c>
      <c r="G66" s="1" t="s">
        <v>2473</v>
      </c>
      <c r="H66" s="1" t="s">
        <v>2126</v>
      </c>
      <c r="I66" s="1" t="str">
        <f t="shared" si="0"/>
        <v>M</v>
      </c>
      <c r="J66" s="1" t="s">
        <v>2156</v>
      </c>
      <c r="K66" s="1" t="s">
        <v>2274</v>
      </c>
      <c r="L66" s="1" t="s">
        <v>2274</v>
      </c>
      <c r="M66" s="1" t="s">
        <v>2474</v>
      </c>
      <c r="N66" s="1" t="s">
        <v>2150</v>
      </c>
      <c r="O66" s="1" t="s">
        <v>90</v>
      </c>
      <c r="P66" s="1" t="s">
        <v>2475</v>
      </c>
      <c r="Q66" s="1" t="s">
        <v>2476</v>
      </c>
    </row>
    <row r="67" spans="1:17" x14ac:dyDescent="0.25">
      <c r="A67" s="38" t="s">
        <v>4859</v>
      </c>
      <c r="B67" s="1">
        <v>65</v>
      </c>
      <c r="C67" s="1" t="s">
        <v>1624</v>
      </c>
      <c r="D67" s="1" t="s">
        <v>2477</v>
      </c>
      <c r="E67" s="1" t="s">
        <v>122</v>
      </c>
      <c r="F67" s="1">
        <v>968408629</v>
      </c>
      <c r="G67" s="1" t="s">
        <v>2478</v>
      </c>
      <c r="H67" s="1" t="s">
        <v>2126</v>
      </c>
      <c r="I67" s="1" t="str">
        <f t="shared" ref="I67:I130" si="1">IF(H67="MaSculino","M","F")</f>
        <v>M</v>
      </c>
      <c r="J67" s="1" t="s">
        <v>2127</v>
      </c>
      <c r="K67" s="1" t="s">
        <v>2127</v>
      </c>
      <c r="L67" s="1" t="s">
        <v>2479</v>
      </c>
      <c r="M67" s="1" t="s">
        <v>2480</v>
      </c>
      <c r="N67" s="1" t="s">
        <v>2194</v>
      </c>
      <c r="O67" s="1" t="s">
        <v>90</v>
      </c>
      <c r="P67" s="1" t="s">
        <v>91</v>
      </c>
      <c r="Q67" s="1" t="s">
        <v>2481</v>
      </c>
    </row>
    <row r="68" spans="1:17" x14ac:dyDescent="0.25">
      <c r="A68" s="38" t="s">
        <v>4903</v>
      </c>
      <c r="B68" s="1">
        <v>66</v>
      </c>
      <c r="C68" s="1" t="s">
        <v>1661</v>
      </c>
      <c r="D68" s="1" t="s">
        <v>2482</v>
      </c>
      <c r="E68" s="1" t="s">
        <v>216</v>
      </c>
      <c r="F68" s="1">
        <v>930162153</v>
      </c>
      <c r="G68" s="1" t="s">
        <v>2483</v>
      </c>
      <c r="H68" s="1" t="s">
        <v>2135</v>
      </c>
      <c r="I68" s="1" t="str">
        <f t="shared" si="1"/>
        <v>F</v>
      </c>
      <c r="J68" s="1" t="s">
        <v>2127</v>
      </c>
      <c r="K68" s="1" t="s">
        <v>919</v>
      </c>
      <c r="L68" s="1" t="s">
        <v>2457</v>
      </c>
      <c r="M68" s="1" t="s">
        <v>2484</v>
      </c>
      <c r="N68" s="1" t="s">
        <v>2194</v>
      </c>
      <c r="O68" s="1" t="s">
        <v>90</v>
      </c>
      <c r="P68" s="1" t="s">
        <v>176</v>
      </c>
      <c r="Q68" s="1" t="s">
        <v>2485</v>
      </c>
    </row>
    <row r="69" spans="1:17" x14ac:dyDescent="0.25">
      <c r="A69" s="38" t="s">
        <v>4924</v>
      </c>
      <c r="B69" s="1">
        <v>67</v>
      </c>
      <c r="C69" s="1" t="s">
        <v>2486</v>
      </c>
      <c r="D69" s="1" t="s">
        <v>2487</v>
      </c>
      <c r="E69" s="1" t="s">
        <v>2488</v>
      </c>
      <c r="F69" s="1">
        <v>956497939</v>
      </c>
      <c r="G69" s="1" t="s">
        <v>2489</v>
      </c>
      <c r="H69" s="1" t="s">
        <v>2135</v>
      </c>
      <c r="I69" s="1" t="str">
        <f t="shared" si="1"/>
        <v>F</v>
      </c>
      <c r="J69" s="1" t="s">
        <v>2127</v>
      </c>
      <c r="K69" s="1" t="s">
        <v>919</v>
      </c>
      <c r="L69" s="1" t="s">
        <v>2210</v>
      </c>
      <c r="M69" s="1" t="s">
        <v>2490</v>
      </c>
      <c r="N69" s="1" t="s">
        <v>2167</v>
      </c>
      <c r="O69" s="1" t="s">
        <v>9</v>
      </c>
      <c r="P69" s="1" t="s">
        <v>2188</v>
      </c>
      <c r="Q69" s="1" t="s">
        <v>2491</v>
      </c>
    </row>
    <row r="70" spans="1:17" x14ac:dyDescent="0.25">
      <c r="A70" s="38" t="s">
        <v>4687</v>
      </c>
      <c r="B70" s="1">
        <v>68</v>
      </c>
      <c r="C70" s="1" t="s">
        <v>1463</v>
      </c>
      <c r="D70" s="1" t="s">
        <v>2492</v>
      </c>
      <c r="E70" s="1" t="s">
        <v>271</v>
      </c>
      <c r="F70" s="1">
        <v>951908018</v>
      </c>
      <c r="G70" s="1" t="s">
        <v>2493</v>
      </c>
      <c r="H70" s="1" t="s">
        <v>2135</v>
      </c>
      <c r="I70" s="1" t="str">
        <f t="shared" si="1"/>
        <v>F</v>
      </c>
      <c r="J70" s="1" t="s">
        <v>2127</v>
      </c>
      <c r="K70" s="1" t="s">
        <v>919</v>
      </c>
      <c r="L70" s="1" t="s">
        <v>2128</v>
      </c>
      <c r="M70" s="1" t="s">
        <v>2494</v>
      </c>
      <c r="N70" s="1" t="s">
        <v>2130</v>
      </c>
      <c r="O70" s="1" t="s">
        <v>90</v>
      </c>
      <c r="P70" s="1" t="s">
        <v>272</v>
      </c>
      <c r="Q70" s="1" t="s">
        <v>2495</v>
      </c>
    </row>
    <row r="71" spans="1:17" x14ac:dyDescent="0.25">
      <c r="A71" s="38" t="s">
        <v>4609</v>
      </c>
      <c r="B71" s="1">
        <v>69</v>
      </c>
      <c r="C71" s="1" t="s">
        <v>1387</v>
      </c>
      <c r="D71" s="1" t="s">
        <v>2496</v>
      </c>
      <c r="E71" s="1" t="s">
        <v>713</v>
      </c>
      <c r="F71" s="1">
        <v>948401236</v>
      </c>
      <c r="G71" s="1" t="s">
        <v>2497</v>
      </c>
      <c r="H71" s="1" t="s">
        <v>2126</v>
      </c>
      <c r="I71" s="1" t="str">
        <f t="shared" si="1"/>
        <v>M</v>
      </c>
      <c r="J71" s="1" t="s">
        <v>2127</v>
      </c>
      <c r="K71" s="1" t="s">
        <v>2376</v>
      </c>
      <c r="L71" s="1" t="s">
        <v>2498</v>
      </c>
      <c r="M71" s="1" t="s">
        <v>2499</v>
      </c>
      <c r="N71" s="1" t="s">
        <v>2140</v>
      </c>
      <c r="O71" s="1" t="s">
        <v>90</v>
      </c>
      <c r="P71" s="1" t="s">
        <v>619</v>
      </c>
      <c r="Q71" s="1" t="s">
        <v>2500</v>
      </c>
    </row>
    <row r="72" spans="1:17" x14ac:dyDescent="0.25">
      <c r="A72" s="38" t="s">
        <v>4761</v>
      </c>
      <c r="B72" s="1">
        <v>70</v>
      </c>
      <c r="C72" s="1" t="s">
        <v>1534</v>
      </c>
      <c r="D72" s="1" t="s">
        <v>2501</v>
      </c>
      <c r="E72" s="1" t="s">
        <v>478</v>
      </c>
      <c r="F72" s="1">
        <v>932444370</v>
      </c>
      <c r="G72" s="1" t="s">
        <v>2502</v>
      </c>
      <c r="H72" s="1" t="s">
        <v>2135</v>
      </c>
      <c r="I72" s="1" t="str">
        <f t="shared" si="1"/>
        <v>F</v>
      </c>
      <c r="J72" s="1" t="s">
        <v>2127</v>
      </c>
      <c r="K72" s="1" t="s">
        <v>2127</v>
      </c>
      <c r="L72" s="1" t="s">
        <v>2127</v>
      </c>
      <c r="M72" s="1" t="s">
        <v>2503</v>
      </c>
      <c r="N72" s="1" t="s">
        <v>2130</v>
      </c>
      <c r="O72" s="1" t="s">
        <v>90</v>
      </c>
      <c r="P72" s="1" t="s">
        <v>418</v>
      </c>
      <c r="Q72" s="1" t="s">
        <v>2504</v>
      </c>
    </row>
    <row r="73" spans="1:17" x14ac:dyDescent="0.25">
      <c r="A73" s="38" t="s">
        <v>4771</v>
      </c>
      <c r="B73" s="1">
        <v>71</v>
      </c>
      <c r="C73" s="1" t="s">
        <v>2505</v>
      </c>
      <c r="D73" s="1" t="s">
        <v>2506</v>
      </c>
      <c r="E73" s="1" t="s">
        <v>378</v>
      </c>
      <c r="F73" s="1">
        <v>923507346</v>
      </c>
      <c r="G73" s="1" t="s">
        <v>2507</v>
      </c>
      <c r="H73" s="1" t="s">
        <v>2135</v>
      </c>
      <c r="I73" s="1" t="str">
        <f t="shared" si="1"/>
        <v>F</v>
      </c>
      <c r="J73" s="1" t="s">
        <v>2127</v>
      </c>
      <c r="K73" s="1" t="s">
        <v>919</v>
      </c>
      <c r="L73" s="1" t="s">
        <v>2192</v>
      </c>
      <c r="M73" s="1" t="s">
        <v>2508</v>
      </c>
      <c r="N73" s="1" t="s">
        <v>2130</v>
      </c>
      <c r="O73" s="1" t="s">
        <v>90</v>
      </c>
      <c r="P73" s="1" t="s">
        <v>368</v>
      </c>
      <c r="Q73" s="1" t="s">
        <v>2509</v>
      </c>
    </row>
    <row r="74" spans="1:17" x14ac:dyDescent="0.25">
      <c r="A74" s="38" t="s">
        <v>4925</v>
      </c>
      <c r="B74" s="1">
        <v>72</v>
      </c>
      <c r="C74" s="1" t="s">
        <v>2510</v>
      </c>
      <c r="D74" s="1" t="s">
        <v>2511</v>
      </c>
      <c r="E74" s="1" t="s">
        <v>2512</v>
      </c>
      <c r="F74" s="1">
        <v>952572432</v>
      </c>
      <c r="G74" s="1" t="s">
        <v>2513</v>
      </c>
      <c r="H74" s="1" t="s">
        <v>2126</v>
      </c>
      <c r="I74" s="1" t="str">
        <f t="shared" si="1"/>
        <v>M</v>
      </c>
      <c r="J74" s="1" t="s">
        <v>2156</v>
      </c>
      <c r="K74" s="1" t="s">
        <v>2274</v>
      </c>
      <c r="L74" s="1" t="s">
        <v>2274</v>
      </c>
      <c r="M74" s="1" t="s">
        <v>2514</v>
      </c>
      <c r="N74" s="1" t="s">
        <v>2150</v>
      </c>
      <c r="O74" s="1" t="s">
        <v>90</v>
      </c>
      <c r="P74" s="1" t="s">
        <v>2475</v>
      </c>
      <c r="Q74" s="1" t="s">
        <v>2515</v>
      </c>
    </row>
    <row r="75" spans="1:17" x14ac:dyDescent="0.25">
      <c r="A75" s="38" t="s">
        <v>4574</v>
      </c>
      <c r="B75" s="1">
        <v>73</v>
      </c>
      <c r="C75" s="1" t="s">
        <v>1353</v>
      </c>
      <c r="D75" s="1" t="s">
        <v>2516</v>
      </c>
      <c r="E75" s="1" t="s">
        <v>643</v>
      </c>
      <c r="F75" s="1">
        <v>970401965</v>
      </c>
      <c r="G75" s="1" t="s">
        <v>2517</v>
      </c>
      <c r="H75" s="1" t="s">
        <v>2126</v>
      </c>
      <c r="I75" s="1" t="str">
        <f t="shared" si="1"/>
        <v>M</v>
      </c>
      <c r="J75" s="1" t="s">
        <v>2127</v>
      </c>
      <c r="K75" s="1" t="s">
        <v>919</v>
      </c>
      <c r="L75" s="1" t="s">
        <v>919</v>
      </c>
      <c r="M75" s="1" t="s">
        <v>2518</v>
      </c>
      <c r="N75" s="1" t="s">
        <v>2140</v>
      </c>
      <c r="O75" s="1" t="s">
        <v>90</v>
      </c>
      <c r="P75" s="1" t="s">
        <v>619</v>
      </c>
      <c r="Q75" s="1" t="s">
        <v>2519</v>
      </c>
    </row>
    <row r="76" spans="1:17" x14ac:dyDescent="0.25">
      <c r="A76" s="38" t="s">
        <v>4858</v>
      </c>
      <c r="B76" s="1">
        <v>74</v>
      </c>
      <c r="C76" s="1" t="s">
        <v>2520</v>
      </c>
      <c r="D76" s="1" t="s">
        <v>2521</v>
      </c>
      <c r="E76" s="1" t="s">
        <v>120</v>
      </c>
      <c r="F76" s="1">
        <v>976003092</v>
      </c>
      <c r="G76" s="1" t="s">
        <v>2522</v>
      </c>
      <c r="H76" s="1" t="s">
        <v>2126</v>
      </c>
      <c r="I76" s="1" t="str">
        <f t="shared" si="1"/>
        <v>M</v>
      </c>
      <c r="J76" s="1" t="s">
        <v>2156</v>
      </c>
      <c r="K76" s="1" t="s">
        <v>2157</v>
      </c>
      <c r="L76" s="1" t="s">
        <v>2523</v>
      </c>
      <c r="M76" s="1" t="s">
        <v>2524</v>
      </c>
      <c r="N76" s="1" t="s">
        <v>2194</v>
      </c>
      <c r="O76" s="1" t="s">
        <v>90</v>
      </c>
      <c r="P76" s="1" t="s">
        <v>91</v>
      </c>
      <c r="Q76" s="1" t="s">
        <v>2525</v>
      </c>
    </row>
    <row r="77" spans="1:17" x14ac:dyDescent="0.25">
      <c r="A77" s="38" t="s">
        <v>4721</v>
      </c>
      <c r="B77" s="1">
        <v>75</v>
      </c>
      <c r="C77" s="1" t="s">
        <v>1495</v>
      </c>
      <c r="D77" s="1" t="s">
        <v>2526</v>
      </c>
      <c r="E77" s="1" t="s">
        <v>341</v>
      </c>
      <c r="F77" s="1">
        <v>900786652</v>
      </c>
      <c r="G77" s="1" t="s">
        <v>2527</v>
      </c>
      <c r="H77" s="1" t="s">
        <v>2135</v>
      </c>
      <c r="I77" s="1" t="str">
        <f t="shared" si="1"/>
        <v>F</v>
      </c>
      <c r="J77" s="1" t="s">
        <v>2127</v>
      </c>
      <c r="K77" s="1" t="s">
        <v>919</v>
      </c>
      <c r="L77" s="1" t="s">
        <v>2192</v>
      </c>
      <c r="M77" s="1" t="s">
        <v>2528</v>
      </c>
      <c r="N77" s="1" t="s">
        <v>2130</v>
      </c>
      <c r="O77" s="1" t="s">
        <v>90</v>
      </c>
      <c r="P77" s="1" t="s">
        <v>272</v>
      </c>
      <c r="Q77" s="1" t="s">
        <v>2529</v>
      </c>
    </row>
    <row r="78" spans="1:17" x14ac:dyDescent="0.25">
      <c r="A78" s="38" t="s">
        <v>4662</v>
      </c>
      <c r="B78" s="1">
        <v>76</v>
      </c>
      <c r="C78" s="1" t="s">
        <v>1438</v>
      </c>
      <c r="D78" s="1" t="s">
        <v>2530</v>
      </c>
      <c r="E78" s="1" t="s">
        <v>598</v>
      </c>
      <c r="F78" s="1">
        <v>938996626</v>
      </c>
      <c r="G78" s="1" t="s">
        <v>2531</v>
      </c>
      <c r="H78" s="1" t="s">
        <v>2135</v>
      </c>
      <c r="I78" s="1" t="str">
        <f t="shared" si="1"/>
        <v>F</v>
      </c>
      <c r="J78" s="1" t="s">
        <v>2127</v>
      </c>
      <c r="K78" s="1" t="s">
        <v>919</v>
      </c>
      <c r="L78" s="1" t="s">
        <v>2128</v>
      </c>
      <c r="M78" s="1" t="s">
        <v>2532</v>
      </c>
      <c r="N78" s="1" t="s">
        <v>2150</v>
      </c>
      <c r="O78" s="1" t="s">
        <v>90</v>
      </c>
      <c r="P78" s="1" t="s">
        <v>532</v>
      </c>
      <c r="Q78" s="1" t="s">
        <v>2533</v>
      </c>
    </row>
    <row r="79" spans="1:17" x14ac:dyDescent="0.25">
      <c r="A79" s="38" t="s">
        <v>4744</v>
      </c>
      <c r="B79" s="1">
        <v>77</v>
      </c>
      <c r="C79" s="1" t="s">
        <v>1517</v>
      </c>
      <c r="D79" s="1" t="s">
        <v>2534</v>
      </c>
      <c r="E79" s="1" t="s">
        <v>444</v>
      </c>
      <c r="F79" s="1">
        <v>929723804</v>
      </c>
      <c r="G79" s="1" t="s">
        <v>2535</v>
      </c>
      <c r="H79" s="1" t="s">
        <v>2135</v>
      </c>
      <c r="I79" s="1" t="str">
        <f t="shared" si="1"/>
        <v>F</v>
      </c>
      <c r="J79" s="1" t="s">
        <v>2127</v>
      </c>
      <c r="K79" s="1" t="s">
        <v>919</v>
      </c>
      <c r="L79" s="1" t="s">
        <v>919</v>
      </c>
      <c r="M79" s="1" t="s">
        <v>2536</v>
      </c>
      <c r="N79" s="1" t="s">
        <v>2130</v>
      </c>
      <c r="O79" s="1" t="s">
        <v>90</v>
      </c>
      <c r="P79" s="1" t="s">
        <v>418</v>
      </c>
      <c r="Q79" s="1" t="s">
        <v>2537</v>
      </c>
    </row>
    <row r="80" spans="1:17" x14ac:dyDescent="0.25">
      <c r="A80" s="38" t="s">
        <v>4926</v>
      </c>
      <c r="B80" s="1">
        <v>78</v>
      </c>
      <c r="C80" s="1" t="s">
        <v>2538</v>
      </c>
      <c r="D80" s="1" t="s">
        <v>2539</v>
      </c>
      <c r="E80" s="1" t="s">
        <v>2540</v>
      </c>
      <c r="F80" s="1">
        <v>936255702</v>
      </c>
      <c r="G80" s="1" t="s">
        <v>2541</v>
      </c>
      <c r="H80" s="1" t="s">
        <v>2135</v>
      </c>
      <c r="I80" s="1" t="str">
        <f t="shared" si="1"/>
        <v>F</v>
      </c>
      <c r="J80" s="1" t="s">
        <v>2127</v>
      </c>
      <c r="K80" s="1" t="s">
        <v>919</v>
      </c>
      <c r="L80" s="1" t="s">
        <v>919</v>
      </c>
      <c r="M80" s="1" t="s">
        <v>2542</v>
      </c>
      <c r="N80" s="1" t="s">
        <v>2150</v>
      </c>
      <c r="O80" s="1" t="s">
        <v>90</v>
      </c>
      <c r="P80" s="1" t="s">
        <v>2160</v>
      </c>
      <c r="Q80" s="1" t="s">
        <v>2543</v>
      </c>
    </row>
    <row r="81" spans="1:17" x14ac:dyDescent="0.25">
      <c r="A81" s="38" t="s">
        <v>4927</v>
      </c>
      <c r="B81" s="1">
        <v>79</v>
      </c>
      <c r="C81" s="1" t="s">
        <v>2544</v>
      </c>
      <c r="D81" s="1" t="s">
        <v>2545</v>
      </c>
      <c r="E81" s="1" t="s">
        <v>2546</v>
      </c>
      <c r="F81" s="1">
        <v>935126770</v>
      </c>
      <c r="G81" s="1" t="s">
        <v>2547</v>
      </c>
      <c r="H81" s="1" t="s">
        <v>2135</v>
      </c>
      <c r="I81" s="1" t="str">
        <f t="shared" si="1"/>
        <v>F</v>
      </c>
      <c r="J81" s="1" t="s">
        <v>2127</v>
      </c>
      <c r="K81" s="1" t="s">
        <v>2376</v>
      </c>
      <c r="L81" s="1" t="s">
        <v>2376</v>
      </c>
      <c r="M81" s="1" t="s">
        <v>2548</v>
      </c>
      <c r="N81" s="1" t="s">
        <v>2150</v>
      </c>
      <c r="O81" s="1" t="s">
        <v>90</v>
      </c>
      <c r="P81" s="1" t="s">
        <v>2160</v>
      </c>
      <c r="Q81" s="1" t="s">
        <v>2549</v>
      </c>
    </row>
    <row r="82" spans="1:17" x14ac:dyDescent="0.25">
      <c r="A82" s="38" t="s">
        <v>4551</v>
      </c>
      <c r="B82" s="1">
        <v>80</v>
      </c>
      <c r="C82" s="1" t="s">
        <v>1329</v>
      </c>
      <c r="D82" s="1" t="s">
        <v>2550</v>
      </c>
      <c r="E82" s="1" t="s">
        <v>243</v>
      </c>
      <c r="F82" s="1">
        <v>955641956</v>
      </c>
      <c r="G82" s="1" t="s">
        <v>2551</v>
      </c>
      <c r="H82" s="1" t="s">
        <v>2135</v>
      </c>
      <c r="I82" s="1" t="str">
        <f t="shared" si="1"/>
        <v>F</v>
      </c>
      <c r="J82" s="1" t="s">
        <v>2127</v>
      </c>
      <c r="K82" s="1" t="s">
        <v>2127</v>
      </c>
      <c r="L82" s="1" t="s">
        <v>2127</v>
      </c>
      <c r="M82" s="1" t="s">
        <v>2552</v>
      </c>
      <c r="N82" s="1" t="s">
        <v>2140</v>
      </c>
      <c r="O82" s="1" t="s">
        <v>90</v>
      </c>
      <c r="P82" s="1" t="s">
        <v>223</v>
      </c>
      <c r="Q82" s="1" t="s">
        <v>2553</v>
      </c>
    </row>
    <row r="83" spans="1:17" x14ac:dyDescent="0.25">
      <c r="A83" s="38" t="s">
        <v>4643</v>
      </c>
      <c r="B83" s="1">
        <v>81</v>
      </c>
      <c r="C83" s="1" t="s">
        <v>1419</v>
      </c>
      <c r="D83" s="1" t="s">
        <v>2554</v>
      </c>
      <c r="E83" s="1" t="s">
        <v>560</v>
      </c>
      <c r="F83" s="1">
        <v>960785256</v>
      </c>
      <c r="G83" s="1" t="s">
        <v>2555</v>
      </c>
      <c r="H83" s="1" t="s">
        <v>2126</v>
      </c>
      <c r="I83" s="1" t="str">
        <f t="shared" si="1"/>
        <v>M</v>
      </c>
      <c r="J83" s="1" t="s">
        <v>2127</v>
      </c>
      <c r="K83" s="1" t="s">
        <v>919</v>
      </c>
      <c r="L83" s="1" t="s">
        <v>919</v>
      </c>
      <c r="M83" s="1" t="s">
        <v>2556</v>
      </c>
      <c r="N83" s="1" t="s">
        <v>2150</v>
      </c>
      <c r="O83" s="1" t="s">
        <v>90</v>
      </c>
      <c r="P83" s="1" t="s">
        <v>532</v>
      </c>
      <c r="Q83" s="1" t="s">
        <v>2557</v>
      </c>
    </row>
    <row r="84" spans="1:17" x14ac:dyDescent="0.25">
      <c r="A84" s="38" t="s">
        <v>4928</v>
      </c>
      <c r="B84" s="1">
        <v>82</v>
      </c>
      <c r="C84" s="1" t="s">
        <v>2558</v>
      </c>
      <c r="D84" s="1" t="s">
        <v>2559</v>
      </c>
      <c r="E84" s="1" t="s">
        <v>616</v>
      </c>
      <c r="F84" s="1">
        <v>996348245</v>
      </c>
      <c r="G84" s="1" t="s">
        <v>2560</v>
      </c>
      <c r="H84" s="1" t="s">
        <v>2126</v>
      </c>
      <c r="I84" s="1" t="str">
        <f t="shared" si="1"/>
        <v>M</v>
      </c>
      <c r="J84" s="1" t="s">
        <v>2156</v>
      </c>
      <c r="K84" s="1" t="s">
        <v>2274</v>
      </c>
      <c r="L84" s="1" t="s">
        <v>2274</v>
      </c>
      <c r="M84" s="1" t="s">
        <v>2561</v>
      </c>
      <c r="N84" s="1" t="s">
        <v>2150</v>
      </c>
      <c r="O84" s="1" t="s">
        <v>90</v>
      </c>
      <c r="P84" s="1" t="s">
        <v>532</v>
      </c>
      <c r="Q84" s="1" t="s">
        <v>2562</v>
      </c>
    </row>
    <row r="85" spans="1:17" x14ac:dyDescent="0.25">
      <c r="A85" s="38" t="s">
        <v>4731</v>
      </c>
      <c r="B85" s="1">
        <v>83</v>
      </c>
      <c r="C85" s="1" t="s">
        <v>1504</v>
      </c>
      <c r="D85" s="1" t="s">
        <v>2563</v>
      </c>
      <c r="E85" s="1" t="s">
        <v>417</v>
      </c>
      <c r="F85" s="1">
        <v>983846148</v>
      </c>
      <c r="G85" s="1" t="s">
        <v>2564</v>
      </c>
      <c r="H85" s="1" t="s">
        <v>2126</v>
      </c>
      <c r="I85" s="1" t="str">
        <f t="shared" si="1"/>
        <v>M</v>
      </c>
      <c r="J85" s="1" t="s">
        <v>2127</v>
      </c>
      <c r="K85" s="1" t="s">
        <v>919</v>
      </c>
      <c r="L85" s="1" t="s">
        <v>919</v>
      </c>
      <c r="M85" s="1" t="s">
        <v>2565</v>
      </c>
      <c r="N85" s="1" t="s">
        <v>2130</v>
      </c>
      <c r="O85" s="1" t="s">
        <v>90</v>
      </c>
      <c r="P85" s="1" t="s">
        <v>418</v>
      </c>
      <c r="Q85" s="1" t="s">
        <v>2566</v>
      </c>
    </row>
    <row r="86" spans="1:17" x14ac:dyDescent="0.25">
      <c r="A86" s="38" t="s">
        <v>4675</v>
      </c>
      <c r="B86" s="1">
        <v>84</v>
      </c>
      <c r="C86" s="1" t="s">
        <v>1451</v>
      </c>
      <c r="D86" s="1" t="s">
        <v>2567</v>
      </c>
      <c r="E86" s="1" t="s">
        <v>61</v>
      </c>
      <c r="F86" s="1">
        <v>966296132</v>
      </c>
      <c r="G86" s="1" t="s">
        <v>2568</v>
      </c>
      <c r="H86" s="1" t="s">
        <v>2135</v>
      </c>
      <c r="I86" s="1" t="str">
        <f t="shared" si="1"/>
        <v>F</v>
      </c>
      <c r="J86" s="1" t="s">
        <v>2127</v>
      </c>
      <c r="K86" s="1" t="s">
        <v>919</v>
      </c>
      <c r="L86" s="1" t="s">
        <v>919</v>
      </c>
      <c r="M86" s="1" t="s">
        <v>2569</v>
      </c>
      <c r="N86" s="1" t="s">
        <v>2150</v>
      </c>
      <c r="O86" s="1" t="s">
        <v>9</v>
      </c>
      <c r="P86" s="1" t="s">
        <v>53</v>
      </c>
      <c r="Q86" s="1" t="s">
        <v>2570</v>
      </c>
    </row>
    <row r="87" spans="1:17" x14ac:dyDescent="0.25">
      <c r="A87" s="38" t="s">
        <v>4653</v>
      </c>
      <c r="B87" s="1">
        <v>85</v>
      </c>
      <c r="C87" s="1" t="s">
        <v>1429</v>
      </c>
      <c r="D87" s="1" t="s">
        <v>2571</v>
      </c>
      <c r="E87" s="1" t="s">
        <v>580</v>
      </c>
      <c r="F87" s="1">
        <v>954733874</v>
      </c>
      <c r="G87" s="1" t="s">
        <v>2572</v>
      </c>
      <c r="H87" s="1" t="s">
        <v>2126</v>
      </c>
      <c r="I87" s="1" t="str">
        <f t="shared" si="1"/>
        <v>M</v>
      </c>
      <c r="J87" s="1" t="s">
        <v>2127</v>
      </c>
      <c r="K87" s="1" t="s">
        <v>919</v>
      </c>
      <c r="L87" s="1" t="s">
        <v>919</v>
      </c>
      <c r="M87" s="1" t="s">
        <v>2573</v>
      </c>
      <c r="N87" s="1" t="s">
        <v>2150</v>
      </c>
      <c r="O87" s="1" t="s">
        <v>90</v>
      </c>
      <c r="P87" s="1" t="s">
        <v>532</v>
      </c>
      <c r="Q87" s="1" t="s">
        <v>2574</v>
      </c>
    </row>
    <row r="88" spans="1:17" x14ac:dyDescent="0.25">
      <c r="A88" s="38" t="s">
        <v>4584</v>
      </c>
      <c r="B88" s="1">
        <v>86</v>
      </c>
      <c r="C88" s="1" t="s">
        <v>1363</v>
      </c>
      <c r="D88" s="1" t="s">
        <v>2575</v>
      </c>
      <c r="E88" s="1" t="s">
        <v>663</v>
      </c>
      <c r="F88" s="1">
        <v>996271288</v>
      </c>
      <c r="G88" s="1" t="s">
        <v>2576</v>
      </c>
      <c r="H88" s="1" t="s">
        <v>2126</v>
      </c>
      <c r="I88" s="1" t="str">
        <f t="shared" si="1"/>
        <v>M</v>
      </c>
      <c r="J88" s="1" t="s">
        <v>2156</v>
      </c>
      <c r="K88" s="1" t="s">
        <v>2577</v>
      </c>
      <c r="L88" s="1" t="s">
        <v>2578</v>
      </c>
      <c r="M88" s="1" t="s">
        <v>2579</v>
      </c>
      <c r="N88" s="1" t="s">
        <v>2140</v>
      </c>
      <c r="O88" s="1" t="s">
        <v>90</v>
      </c>
      <c r="P88" s="1" t="s">
        <v>619</v>
      </c>
      <c r="Q88" s="1" t="s">
        <v>2580</v>
      </c>
    </row>
    <row r="89" spans="1:17" x14ac:dyDescent="0.25">
      <c r="A89" s="38" t="s">
        <v>4929</v>
      </c>
      <c r="B89" s="1">
        <v>87</v>
      </c>
      <c r="C89" s="1" t="s">
        <v>2581</v>
      </c>
      <c r="D89" s="1" t="s">
        <v>2582</v>
      </c>
      <c r="E89" s="1" t="s">
        <v>2583</v>
      </c>
      <c r="F89" s="1">
        <v>999752983</v>
      </c>
      <c r="G89" s="1" t="s">
        <v>2584</v>
      </c>
      <c r="H89" s="1" t="s">
        <v>2135</v>
      </c>
      <c r="I89" s="1" t="str">
        <f t="shared" si="1"/>
        <v>F</v>
      </c>
      <c r="J89" s="1" t="s">
        <v>2127</v>
      </c>
      <c r="K89" s="1" t="s">
        <v>919</v>
      </c>
      <c r="L89" s="1" t="s">
        <v>919</v>
      </c>
      <c r="M89" s="1" t="s">
        <v>2585</v>
      </c>
      <c r="N89" s="1" t="s">
        <v>2130</v>
      </c>
      <c r="O89" s="1" t="s">
        <v>90</v>
      </c>
      <c r="P89" s="1" t="s">
        <v>2586</v>
      </c>
      <c r="Q89" s="1" t="s">
        <v>2587</v>
      </c>
    </row>
    <row r="90" spans="1:17" x14ac:dyDescent="0.25">
      <c r="A90" s="38" t="s">
        <v>4685</v>
      </c>
      <c r="B90" s="1">
        <v>88</v>
      </c>
      <c r="C90" s="1" t="s">
        <v>2588</v>
      </c>
      <c r="D90" s="1" t="s">
        <v>2589</v>
      </c>
      <c r="E90" s="1" t="s">
        <v>81</v>
      </c>
      <c r="F90" s="1">
        <v>938278187</v>
      </c>
      <c r="G90" s="1" t="s">
        <v>2590</v>
      </c>
      <c r="H90" s="1" t="s">
        <v>2135</v>
      </c>
      <c r="I90" s="1" t="str">
        <f t="shared" si="1"/>
        <v>F</v>
      </c>
      <c r="J90" s="1" t="s">
        <v>2127</v>
      </c>
      <c r="K90" s="1" t="s">
        <v>919</v>
      </c>
      <c r="L90" s="1" t="s">
        <v>2300</v>
      </c>
      <c r="M90" s="1" t="s">
        <v>2591</v>
      </c>
      <c r="N90" s="1" t="s">
        <v>2150</v>
      </c>
      <c r="O90" s="1" t="s">
        <v>9</v>
      </c>
      <c r="P90" s="1" t="s">
        <v>53</v>
      </c>
      <c r="Q90" s="1" t="s">
        <v>2592</v>
      </c>
    </row>
    <row r="91" spans="1:17" x14ac:dyDescent="0.25">
      <c r="A91" s="38" t="s">
        <v>4730</v>
      </c>
      <c r="B91" s="1">
        <v>89</v>
      </c>
      <c r="C91" s="1" t="s">
        <v>1503</v>
      </c>
      <c r="D91" s="1" t="s">
        <v>2593</v>
      </c>
      <c r="E91" s="1" t="s">
        <v>361</v>
      </c>
      <c r="F91" s="1">
        <v>962179687</v>
      </c>
      <c r="G91" s="1" t="s">
        <v>2594</v>
      </c>
      <c r="H91" s="1" t="s">
        <v>2135</v>
      </c>
      <c r="I91" s="1" t="str">
        <f t="shared" si="1"/>
        <v>F</v>
      </c>
      <c r="J91" s="1" t="s">
        <v>2127</v>
      </c>
      <c r="K91" s="1" t="s">
        <v>919</v>
      </c>
      <c r="L91" s="1" t="s">
        <v>2452</v>
      </c>
      <c r="M91" s="1" t="s">
        <v>2595</v>
      </c>
      <c r="N91" s="1" t="s">
        <v>2130</v>
      </c>
      <c r="O91" s="1" t="s">
        <v>90</v>
      </c>
      <c r="P91" s="1" t="s">
        <v>272</v>
      </c>
      <c r="Q91" s="1" t="s">
        <v>2596</v>
      </c>
    </row>
    <row r="92" spans="1:17" x14ac:dyDescent="0.25">
      <c r="A92" s="38" t="s">
        <v>4600</v>
      </c>
      <c r="B92" s="1">
        <v>91</v>
      </c>
      <c r="C92" s="1" t="s">
        <v>1378</v>
      </c>
      <c r="D92" s="1" t="s">
        <v>2597</v>
      </c>
      <c r="E92" s="1" t="s">
        <v>695</v>
      </c>
      <c r="F92" s="1">
        <v>900531365</v>
      </c>
      <c r="G92" s="1" t="s">
        <v>2598</v>
      </c>
      <c r="H92" s="1" t="s">
        <v>2126</v>
      </c>
      <c r="I92" s="1" t="str">
        <f t="shared" si="1"/>
        <v>M</v>
      </c>
      <c r="J92" s="1" t="s">
        <v>2127</v>
      </c>
      <c r="K92" s="1" t="s">
        <v>2127</v>
      </c>
      <c r="L92" s="1" t="s">
        <v>2382</v>
      </c>
      <c r="M92" s="1" t="s">
        <v>2599</v>
      </c>
      <c r="N92" s="1" t="s">
        <v>2140</v>
      </c>
      <c r="O92" s="1" t="s">
        <v>90</v>
      </c>
      <c r="P92" s="1" t="s">
        <v>619</v>
      </c>
      <c r="Q92" s="1" t="s">
        <v>2600</v>
      </c>
    </row>
    <row r="93" spans="1:17" x14ac:dyDescent="0.25">
      <c r="A93" s="38" t="s">
        <v>4636</v>
      </c>
      <c r="B93" s="1">
        <v>92</v>
      </c>
      <c r="C93" s="1" t="s">
        <v>1412</v>
      </c>
      <c r="D93" s="1" t="s">
        <v>2601</v>
      </c>
      <c r="E93" s="1" t="s">
        <v>546</v>
      </c>
      <c r="F93" s="1">
        <v>947868827</v>
      </c>
      <c r="G93" s="1" t="s">
        <v>2602</v>
      </c>
      <c r="H93" s="1" t="s">
        <v>2126</v>
      </c>
      <c r="I93" s="1" t="str">
        <f t="shared" si="1"/>
        <v>M</v>
      </c>
      <c r="J93" s="1" t="s">
        <v>2127</v>
      </c>
      <c r="K93" s="1" t="s">
        <v>919</v>
      </c>
      <c r="L93" s="1" t="s">
        <v>2128</v>
      </c>
      <c r="M93" s="1" t="s">
        <v>2603</v>
      </c>
      <c r="N93" s="1" t="s">
        <v>2150</v>
      </c>
      <c r="O93" s="1" t="s">
        <v>90</v>
      </c>
      <c r="P93" s="1" t="s">
        <v>532</v>
      </c>
      <c r="Q93" s="1" t="s">
        <v>2604</v>
      </c>
    </row>
    <row r="94" spans="1:17" x14ac:dyDescent="0.25">
      <c r="A94" s="38" t="s">
        <v>4764</v>
      </c>
      <c r="B94" s="1">
        <v>93</v>
      </c>
      <c r="C94" s="1" t="s">
        <v>2605</v>
      </c>
      <c r="D94" s="1" t="s">
        <v>2606</v>
      </c>
      <c r="E94" s="1" t="s">
        <v>484</v>
      </c>
      <c r="F94" s="1">
        <v>973015765</v>
      </c>
      <c r="G94" s="1" t="s">
        <v>2607</v>
      </c>
      <c r="H94" s="1" t="s">
        <v>2126</v>
      </c>
      <c r="I94" s="1" t="str">
        <f t="shared" si="1"/>
        <v>M</v>
      </c>
      <c r="J94" s="1" t="s">
        <v>2127</v>
      </c>
      <c r="K94" s="1" t="s">
        <v>919</v>
      </c>
      <c r="L94" s="1" t="s">
        <v>919</v>
      </c>
      <c r="M94" s="1" t="s">
        <v>2608</v>
      </c>
      <c r="N94" s="1" t="s">
        <v>2130</v>
      </c>
      <c r="O94" s="1" t="s">
        <v>90</v>
      </c>
      <c r="P94" s="1" t="s">
        <v>418</v>
      </c>
      <c r="Q94" s="1" t="s">
        <v>2609</v>
      </c>
    </row>
    <row r="95" spans="1:17" x14ac:dyDescent="0.25">
      <c r="A95" s="38" t="s">
        <v>4656</v>
      </c>
      <c r="B95" s="1">
        <v>94</v>
      </c>
      <c r="C95" s="1" t="s">
        <v>1432</v>
      </c>
      <c r="D95" s="1" t="s">
        <v>2610</v>
      </c>
      <c r="E95" s="1" t="s">
        <v>586</v>
      </c>
      <c r="F95" s="1">
        <v>927639299</v>
      </c>
      <c r="G95" s="1" t="s">
        <v>2611</v>
      </c>
      <c r="H95" s="1" t="s">
        <v>2135</v>
      </c>
      <c r="I95" s="1" t="str">
        <f t="shared" si="1"/>
        <v>F</v>
      </c>
      <c r="J95" s="1" t="s">
        <v>2127</v>
      </c>
      <c r="K95" s="1" t="s">
        <v>919</v>
      </c>
      <c r="L95" s="1" t="s">
        <v>2418</v>
      </c>
      <c r="M95" s="1" t="s">
        <v>2612</v>
      </c>
      <c r="N95" s="1" t="s">
        <v>2150</v>
      </c>
      <c r="O95" s="1" t="s">
        <v>90</v>
      </c>
      <c r="P95" s="1" t="s">
        <v>532</v>
      </c>
      <c r="Q95" s="1" t="s">
        <v>2613</v>
      </c>
    </row>
    <row r="96" spans="1:17" x14ac:dyDescent="0.25">
      <c r="A96" s="38" t="s">
        <v>4930</v>
      </c>
      <c r="B96" s="1">
        <v>95</v>
      </c>
      <c r="C96" s="1" t="s">
        <v>2614</v>
      </c>
      <c r="D96" s="1" t="s">
        <v>2615</v>
      </c>
      <c r="E96" s="1" t="s">
        <v>2616</v>
      </c>
      <c r="F96" s="1">
        <v>979537074</v>
      </c>
      <c r="G96" s="1" t="s">
        <v>2617</v>
      </c>
      <c r="H96" s="1" t="s">
        <v>2126</v>
      </c>
      <c r="I96" s="1" t="str">
        <f t="shared" si="1"/>
        <v>M</v>
      </c>
      <c r="J96" s="1" t="s">
        <v>2127</v>
      </c>
      <c r="K96" s="1" t="s">
        <v>919</v>
      </c>
      <c r="L96" s="1" t="s">
        <v>2128</v>
      </c>
      <c r="M96" s="1" t="s">
        <v>2618</v>
      </c>
      <c r="N96" s="1" t="s">
        <v>2140</v>
      </c>
      <c r="O96" s="1" t="s">
        <v>9</v>
      </c>
      <c r="P96" s="1" t="s">
        <v>2446</v>
      </c>
      <c r="Q96" s="1" t="s">
        <v>2619</v>
      </c>
    </row>
    <row r="97" spans="1:17" x14ac:dyDescent="0.25">
      <c r="A97" s="38" t="s">
        <v>4931</v>
      </c>
      <c r="B97" s="1">
        <v>96</v>
      </c>
      <c r="C97" s="1" t="s">
        <v>2620</v>
      </c>
      <c r="D97" s="1" t="s">
        <v>2621</v>
      </c>
      <c r="E97" s="1" t="s">
        <v>807</v>
      </c>
      <c r="F97" s="1">
        <v>947521209</v>
      </c>
      <c r="G97" s="1" t="s">
        <v>2622</v>
      </c>
      <c r="H97" s="1" t="s">
        <v>2126</v>
      </c>
      <c r="I97" s="1" t="str">
        <f t="shared" si="1"/>
        <v>M</v>
      </c>
      <c r="J97" s="1" t="s">
        <v>2127</v>
      </c>
      <c r="K97" s="1" t="s">
        <v>919</v>
      </c>
      <c r="L97" s="1" t="s">
        <v>2300</v>
      </c>
      <c r="M97" s="1" t="s">
        <v>2623</v>
      </c>
      <c r="N97" s="1" t="s">
        <v>2194</v>
      </c>
      <c r="O97" s="1" t="s">
        <v>90</v>
      </c>
      <c r="P97" s="1" t="s">
        <v>769</v>
      </c>
      <c r="Q97" s="1" t="s">
        <v>2624</v>
      </c>
    </row>
    <row r="98" spans="1:17" x14ac:dyDescent="0.25">
      <c r="A98" s="38" t="s">
        <v>4594</v>
      </c>
      <c r="B98" s="1">
        <v>97</v>
      </c>
      <c r="C98" s="1" t="s">
        <v>1373</v>
      </c>
      <c r="D98" s="1" t="s">
        <v>2625</v>
      </c>
      <c r="E98" s="1" t="s">
        <v>683</v>
      </c>
      <c r="F98" s="1">
        <v>971517579</v>
      </c>
      <c r="G98" s="1" t="s">
        <v>2626</v>
      </c>
      <c r="H98" s="1" t="s">
        <v>2126</v>
      </c>
      <c r="I98" s="1" t="str">
        <f t="shared" si="1"/>
        <v>M</v>
      </c>
      <c r="J98" s="1" t="s">
        <v>2156</v>
      </c>
      <c r="K98" s="1" t="s">
        <v>2627</v>
      </c>
      <c r="L98" s="1" t="s">
        <v>2628</v>
      </c>
      <c r="M98" s="1" t="s">
        <v>2629</v>
      </c>
      <c r="N98" s="1" t="s">
        <v>2140</v>
      </c>
      <c r="O98" s="1" t="s">
        <v>90</v>
      </c>
      <c r="P98" s="1" t="s">
        <v>619</v>
      </c>
      <c r="Q98" s="1" t="s">
        <v>2630</v>
      </c>
    </row>
    <row r="99" spans="1:17" x14ac:dyDescent="0.25">
      <c r="A99" s="38" t="s">
        <v>4757</v>
      </c>
      <c r="B99" s="1">
        <v>98</v>
      </c>
      <c r="C99" s="1" t="s">
        <v>1530</v>
      </c>
      <c r="D99" s="1" t="s">
        <v>2631</v>
      </c>
      <c r="E99" s="1" t="s">
        <v>470</v>
      </c>
      <c r="F99" s="1">
        <v>947030976</v>
      </c>
      <c r="G99" s="1" t="s">
        <v>2632</v>
      </c>
      <c r="H99" s="1" t="s">
        <v>2135</v>
      </c>
      <c r="I99" s="1" t="str">
        <f t="shared" si="1"/>
        <v>F</v>
      </c>
      <c r="J99" s="1" t="s">
        <v>2127</v>
      </c>
      <c r="K99" s="1" t="s">
        <v>919</v>
      </c>
      <c r="L99" s="1" t="s">
        <v>919</v>
      </c>
      <c r="M99" s="1" t="s">
        <v>2633</v>
      </c>
      <c r="N99" s="1" t="s">
        <v>2130</v>
      </c>
      <c r="O99" s="1" t="s">
        <v>90</v>
      </c>
      <c r="P99" s="1" t="s">
        <v>418</v>
      </c>
      <c r="Q99" s="1" t="s">
        <v>2634</v>
      </c>
    </row>
    <row r="100" spans="1:17" x14ac:dyDescent="0.25">
      <c r="A100" s="38" t="s">
        <v>4932</v>
      </c>
      <c r="B100" s="1">
        <v>99</v>
      </c>
      <c r="C100" s="1" t="s">
        <v>1390</v>
      </c>
      <c r="D100" s="1" t="s">
        <v>2635</v>
      </c>
      <c r="E100" s="1" t="s">
        <v>2636</v>
      </c>
      <c r="F100" s="1">
        <v>912003854</v>
      </c>
      <c r="G100" s="1" t="s">
        <v>2637</v>
      </c>
      <c r="H100" s="1" t="s">
        <v>2126</v>
      </c>
      <c r="I100" s="1" t="str">
        <f t="shared" si="1"/>
        <v>M</v>
      </c>
      <c r="J100" s="1" t="s">
        <v>2268</v>
      </c>
      <c r="K100" s="1" t="s">
        <v>2268</v>
      </c>
      <c r="L100" s="1" t="s">
        <v>2638</v>
      </c>
      <c r="M100" s="1" t="s">
        <v>2639</v>
      </c>
      <c r="N100" s="1" t="s">
        <v>2315</v>
      </c>
      <c r="O100" s="1" t="s">
        <v>90</v>
      </c>
      <c r="P100" s="1" t="s">
        <v>2316</v>
      </c>
      <c r="Q100" s="1" t="s">
        <v>2640</v>
      </c>
    </row>
    <row r="101" spans="1:17" x14ac:dyDescent="0.25">
      <c r="A101" s="38" t="s">
        <v>4541</v>
      </c>
      <c r="B101" s="1">
        <v>100</v>
      </c>
      <c r="C101" s="1" t="s">
        <v>1319</v>
      </c>
      <c r="D101" s="1" t="s">
        <v>2641</v>
      </c>
      <c r="E101" s="1" t="s">
        <v>222</v>
      </c>
      <c r="F101" s="1">
        <v>973086900</v>
      </c>
      <c r="G101" s="1" t="s">
        <v>2642</v>
      </c>
      <c r="H101" s="1" t="s">
        <v>2126</v>
      </c>
      <c r="I101" s="1" t="str">
        <f t="shared" si="1"/>
        <v>M</v>
      </c>
      <c r="J101" s="1" t="s">
        <v>2127</v>
      </c>
      <c r="K101" s="1" t="s">
        <v>919</v>
      </c>
      <c r="L101" s="1" t="s">
        <v>919</v>
      </c>
      <c r="M101" s="1" t="s">
        <v>2643</v>
      </c>
      <c r="N101" s="1" t="s">
        <v>2140</v>
      </c>
      <c r="O101" s="1" t="s">
        <v>90</v>
      </c>
      <c r="P101" s="1" t="s">
        <v>223</v>
      </c>
      <c r="Q101" s="1" t="s">
        <v>2644</v>
      </c>
    </row>
    <row r="102" spans="1:17" x14ac:dyDescent="0.25">
      <c r="A102" s="38" t="s">
        <v>4933</v>
      </c>
      <c r="B102" s="1">
        <v>101</v>
      </c>
      <c r="C102" s="1" t="s">
        <v>2645</v>
      </c>
      <c r="D102" s="1" t="s">
        <v>2646</v>
      </c>
      <c r="E102" s="1" t="s">
        <v>2647</v>
      </c>
      <c r="F102" s="1">
        <v>979421037</v>
      </c>
      <c r="G102" s="1" t="s">
        <v>2648</v>
      </c>
      <c r="H102" s="1" t="s">
        <v>2126</v>
      </c>
      <c r="I102" s="1" t="str">
        <f t="shared" si="1"/>
        <v>M</v>
      </c>
      <c r="J102" s="1" t="s">
        <v>2127</v>
      </c>
      <c r="K102" s="1" t="s">
        <v>919</v>
      </c>
      <c r="L102" s="1" t="s">
        <v>919</v>
      </c>
      <c r="M102" s="1" t="s">
        <v>2649</v>
      </c>
      <c r="N102" s="1" t="s">
        <v>2167</v>
      </c>
      <c r="O102" s="1" t="s">
        <v>90</v>
      </c>
      <c r="P102" s="1" t="s">
        <v>2168</v>
      </c>
      <c r="Q102" s="1" t="s">
        <v>2650</v>
      </c>
    </row>
    <row r="103" spans="1:17" x14ac:dyDescent="0.25">
      <c r="A103" s="38" t="s">
        <v>4934</v>
      </c>
      <c r="B103" s="1">
        <v>102</v>
      </c>
      <c r="C103" s="1" t="s">
        <v>2651</v>
      </c>
      <c r="D103" s="1" t="s">
        <v>2652</v>
      </c>
      <c r="E103" s="1" t="s">
        <v>2653</v>
      </c>
      <c r="F103" s="1">
        <v>945373070</v>
      </c>
      <c r="G103" s="1" t="s">
        <v>2654</v>
      </c>
      <c r="H103" s="1" t="s">
        <v>2126</v>
      </c>
      <c r="I103" s="1" t="str">
        <f t="shared" si="1"/>
        <v>M</v>
      </c>
      <c r="J103" s="1" t="s">
        <v>2127</v>
      </c>
      <c r="K103" s="1" t="s">
        <v>919</v>
      </c>
      <c r="L103" s="1" t="s">
        <v>919</v>
      </c>
      <c r="M103" s="1" t="s">
        <v>2655</v>
      </c>
      <c r="N103" s="1" t="s">
        <v>2176</v>
      </c>
      <c r="O103" s="1" t="s">
        <v>9</v>
      </c>
      <c r="P103" s="1" t="s">
        <v>2283</v>
      </c>
      <c r="Q103" s="1" t="s">
        <v>2656</v>
      </c>
    </row>
    <row r="104" spans="1:17" x14ac:dyDescent="0.25">
      <c r="A104" s="38" t="s">
        <v>4812</v>
      </c>
      <c r="B104" s="1">
        <v>103</v>
      </c>
      <c r="C104" s="1" t="s">
        <v>1580</v>
      </c>
      <c r="D104" s="1" t="s">
        <v>2657</v>
      </c>
      <c r="E104" s="1" t="s">
        <v>823</v>
      </c>
      <c r="F104" s="1">
        <v>920530961</v>
      </c>
      <c r="G104" s="1" t="s">
        <v>2658</v>
      </c>
      <c r="H104" s="1" t="s">
        <v>2126</v>
      </c>
      <c r="I104" s="1" t="str">
        <f t="shared" si="1"/>
        <v>M</v>
      </c>
      <c r="J104" s="1" t="s">
        <v>2268</v>
      </c>
      <c r="K104" s="1" t="s">
        <v>2268</v>
      </c>
      <c r="L104" s="1" t="s">
        <v>2638</v>
      </c>
      <c r="M104" s="1" t="s">
        <v>2659</v>
      </c>
      <c r="N104" s="1" t="s">
        <v>2176</v>
      </c>
      <c r="O104" s="1" t="s">
        <v>812</v>
      </c>
      <c r="P104" s="1" t="s">
        <v>813</v>
      </c>
      <c r="Q104" s="1" t="s">
        <v>2660</v>
      </c>
    </row>
    <row r="105" spans="1:17" x14ac:dyDescent="0.25">
      <c r="A105" s="38" t="s">
        <v>4575</v>
      </c>
      <c r="B105" s="1">
        <v>104</v>
      </c>
      <c r="C105" s="1" t="s">
        <v>1354</v>
      </c>
      <c r="D105" s="1" t="s">
        <v>2661</v>
      </c>
      <c r="E105" s="1" t="s">
        <v>645</v>
      </c>
      <c r="F105" s="1">
        <v>966977049</v>
      </c>
      <c r="G105" s="1" t="s">
        <v>2662</v>
      </c>
      <c r="H105" s="1" t="s">
        <v>2126</v>
      </c>
      <c r="I105" s="1" t="str">
        <f t="shared" si="1"/>
        <v>M</v>
      </c>
      <c r="J105" s="1" t="s">
        <v>2127</v>
      </c>
      <c r="K105" s="1" t="s">
        <v>2127</v>
      </c>
      <c r="L105" s="1" t="s">
        <v>2127</v>
      </c>
      <c r="M105" s="1" t="s">
        <v>2663</v>
      </c>
      <c r="N105" s="1" t="s">
        <v>2140</v>
      </c>
      <c r="O105" s="1" t="s">
        <v>90</v>
      </c>
      <c r="P105" s="1" t="s">
        <v>619</v>
      </c>
      <c r="Q105" s="1" t="s">
        <v>2664</v>
      </c>
    </row>
    <row r="106" spans="1:17" x14ac:dyDescent="0.25">
      <c r="A106" s="38" t="s">
        <v>4695</v>
      </c>
      <c r="B106" s="1">
        <v>105</v>
      </c>
      <c r="C106" s="1" t="s">
        <v>1470</v>
      </c>
      <c r="D106" s="1" t="s">
        <v>2665</v>
      </c>
      <c r="E106" s="1" t="s">
        <v>289</v>
      </c>
      <c r="F106" s="1">
        <v>943749457</v>
      </c>
      <c r="G106" s="1" t="s">
        <v>2666</v>
      </c>
      <c r="H106" s="1" t="s">
        <v>2135</v>
      </c>
      <c r="I106" s="1" t="str">
        <f t="shared" si="1"/>
        <v>F</v>
      </c>
      <c r="J106" s="1" t="s">
        <v>2127</v>
      </c>
      <c r="K106" s="1" t="s">
        <v>919</v>
      </c>
      <c r="L106" s="1" t="s">
        <v>919</v>
      </c>
      <c r="M106" s="1" t="s">
        <v>2667</v>
      </c>
      <c r="N106" s="1" t="s">
        <v>2130</v>
      </c>
      <c r="O106" s="1" t="s">
        <v>90</v>
      </c>
      <c r="P106" s="1" t="s">
        <v>272</v>
      </c>
      <c r="Q106" s="1" t="s">
        <v>2668</v>
      </c>
    </row>
    <row r="107" spans="1:17" x14ac:dyDescent="0.25">
      <c r="A107" s="38" t="s">
        <v>4819</v>
      </c>
      <c r="B107" s="1">
        <v>106</v>
      </c>
      <c r="C107" s="1" t="s">
        <v>1586</v>
      </c>
      <c r="D107" s="1" t="s">
        <v>2669</v>
      </c>
      <c r="E107" s="1" t="s">
        <v>837</v>
      </c>
      <c r="F107" s="1">
        <v>968529122</v>
      </c>
      <c r="G107" s="1" t="s">
        <v>2670</v>
      </c>
      <c r="H107" s="1" t="s">
        <v>2126</v>
      </c>
      <c r="I107" s="1" t="str">
        <f t="shared" si="1"/>
        <v>M</v>
      </c>
      <c r="J107" s="1" t="s">
        <v>2268</v>
      </c>
      <c r="K107" s="1" t="s">
        <v>2268</v>
      </c>
      <c r="L107" s="1" t="s">
        <v>2268</v>
      </c>
      <c r="M107" s="1" t="s">
        <v>2671</v>
      </c>
      <c r="N107" s="1" t="s">
        <v>2176</v>
      </c>
      <c r="O107" s="1" t="s">
        <v>812</v>
      </c>
      <c r="P107" s="1" t="s">
        <v>813</v>
      </c>
      <c r="Q107" s="1" t="s">
        <v>2672</v>
      </c>
    </row>
    <row r="108" spans="1:17" x14ac:dyDescent="0.25">
      <c r="A108" s="38" t="s">
        <v>4821</v>
      </c>
      <c r="B108" s="1">
        <v>107</v>
      </c>
      <c r="C108" s="1" t="s">
        <v>1588</v>
      </c>
      <c r="D108" s="1" t="s">
        <v>2673</v>
      </c>
      <c r="E108" s="1" t="s">
        <v>841</v>
      </c>
      <c r="F108" s="1">
        <v>948720491</v>
      </c>
      <c r="G108" s="1" t="s">
        <v>2674</v>
      </c>
      <c r="H108" s="1" t="s">
        <v>2135</v>
      </c>
      <c r="I108" s="1" t="str">
        <f t="shared" si="1"/>
        <v>F</v>
      </c>
      <c r="J108" s="1" t="s">
        <v>2127</v>
      </c>
      <c r="K108" s="1" t="s">
        <v>919</v>
      </c>
      <c r="L108" s="1" t="s">
        <v>2675</v>
      </c>
      <c r="M108" s="1" t="s">
        <v>2676</v>
      </c>
      <c r="N108" s="1" t="s">
        <v>2176</v>
      </c>
      <c r="O108" s="1" t="s">
        <v>812</v>
      </c>
      <c r="P108" s="1" t="s">
        <v>813</v>
      </c>
      <c r="Q108" s="1" t="s">
        <v>2677</v>
      </c>
    </row>
    <row r="109" spans="1:17" x14ac:dyDescent="0.25">
      <c r="A109" s="38" t="s">
        <v>4688</v>
      </c>
      <c r="B109" s="1">
        <v>108</v>
      </c>
      <c r="C109" s="1" t="s">
        <v>1464</v>
      </c>
      <c r="D109" s="1" t="s">
        <v>2678</v>
      </c>
      <c r="E109" s="1" t="s">
        <v>274</v>
      </c>
      <c r="F109" s="1">
        <v>910201305</v>
      </c>
      <c r="G109" s="1" t="s">
        <v>2679</v>
      </c>
      <c r="H109" s="1" t="s">
        <v>2126</v>
      </c>
      <c r="I109" s="1" t="str">
        <f t="shared" si="1"/>
        <v>M</v>
      </c>
      <c r="J109" s="1" t="s">
        <v>2127</v>
      </c>
      <c r="K109" s="1" t="s">
        <v>2127</v>
      </c>
      <c r="L109" s="1" t="s">
        <v>2127</v>
      </c>
      <c r="M109" s="1" t="s">
        <v>2680</v>
      </c>
      <c r="N109" s="1" t="s">
        <v>2130</v>
      </c>
      <c r="O109" s="1" t="s">
        <v>90</v>
      </c>
      <c r="P109" s="1" t="s">
        <v>272</v>
      </c>
      <c r="Q109" s="1" t="s">
        <v>2681</v>
      </c>
    </row>
    <row r="110" spans="1:17" x14ac:dyDescent="0.25">
      <c r="A110" s="38" t="s">
        <v>4796</v>
      </c>
      <c r="B110" s="1">
        <v>109</v>
      </c>
      <c r="C110" s="1" t="s">
        <v>2682</v>
      </c>
      <c r="D110" s="1" t="s">
        <v>2683</v>
      </c>
      <c r="E110" s="1" t="s">
        <v>27</v>
      </c>
      <c r="F110" s="1">
        <v>979784034</v>
      </c>
      <c r="G110" s="1" t="s">
        <v>2684</v>
      </c>
      <c r="H110" s="1" t="s">
        <v>2126</v>
      </c>
      <c r="I110" s="1" t="str">
        <f t="shared" si="1"/>
        <v>M</v>
      </c>
      <c r="J110" s="1" t="s">
        <v>2127</v>
      </c>
      <c r="K110" s="1" t="s">
        <v>919</v>
      </c>
      <c r="L110" s="1" t="s">
        <v>919</v>
      </c>
      <c r="M110" s="1" t="s">
        <v>2685</v>
      </c>
      <c r="N110" s="1" t="s">
        <v>2130</v>
      </c>
      <c r="O110" s="1" t="s">
        <v>9</v>
      </c>
      <c r="P110" s="1" t="s">
        <v>10</v>
      </c>
      <c r="Q110" s="1" t="s">
        <v>2686</v>
      </c>
    </row>
    <row r="111" spans="1:17" x14ac:dyDescent="0.25">
      <c r="A111" s="38" t="s">
        <v>4818</v>
      </c>
      <c r="B111" s="1">
        <v>110</v>
      </c>
      <c r="C111" s="1" t="s">
        <v>1585</v>
      </c>
      <c r="D111" s="1" t="s">
        <v>2687</v>
      </c>
      <c r="E111" s="1" t="s">
        <v>835</v>
      </c>
      <c r="F111" s="1">
        <v>948949910</v>
      </c>
      <c r="G111" s="1" t="s">
        <v>2688</v>
      </c>
      <c r="H111" s="1" t="s">
        <v>2126</v>
      </c>
      <c r="I111" s="1" t="str">
        <f t="shared" si="1"/>
        <v>M</v>
      </c>
      <c r="J111" s="1" t="s">
        <v>2268</v>
      </c>
      <c r="K111" s="1" t="s">
        <v>2689</v>
      </c>
      <c r="L111" s="1" t="s">
        <v>2689</v>
      </c>
      <c r="M111" s="1" t="s">
        <v>2690</v>
      </c>
      <c r="N111" s="1" t="s">
        <v>2176</v>
      </c>
      <c r="O111" s="1" t="s">
        <v>812</v>
      </c>
      <c r="P111" s="1" t="s">
        <v>813</v>
      </c>
      <c r="Q111" s="1" t="s">
        <v>2691</v>
      </c>
    </row>
    <row r="112" spans="1:17" x14ac:dyDescent="0.25">
      <c r="A112" s="38" t="s">
        <v>4935</v>
      </c>
      <c r="B112" s="1">
        <v>111</v>
      </c>
      <c r="C112" s="1" t="s">
        <v>2692</v>
      </c>
      <c r="D112" s="1" t="s">
        <v>2693</v>
      </c>
      <c r="E112" s="1" t="s">
        <v>2694</v>
      </c>
      <c r="F112" s="1">
        <v>932821239</v>
      </c>
      <c r="G112" s="1" t="s">
        <v>2695</v>
      </c>
      <c r="H112" s="1" t="s">
        <v>2135</v>
      </c>
      <c r="I112" s="1" t="str">
        <f t="shared" si="1"/>
        <v>F</v>
      </c>
      <c r="J112" s="1" t="s">
        <v>2127</v>
      </c>
      <c r="K112" s="1" t="s">
        <v>2127</v>
      </c>
      <c r="L112" s="1" t="s">
        <v>2696</v>
      </c>
      <c r="M112" s="1" t="s">
        <v>2697</v>
      </c>
      <c r="N112" s="1" t="s">
        <v>2698</v>
      </c>
      <c r="O112" s="1" t="s">
        <v>90</v>
      </c>
      <c r="P112" s="1" t="s">
        <v>2699</v>
      </c>
      <c r="Q112" s="1" t="s">
        <v>2700</v>
      </c>
    </row>
    <row r="113" spans="1:17" x14ac:dyDescent="0.25">
      <c r="A113" s="38" t="s">
        <v>4633</v>
      </c>
      <c r="B113" s="1">
        <v>112</v>
      </c>
      <c r="C113" s="1" t="s">
        <v>1409</v>
      </c>
      <c r="D113" s="1" t="s">
        <v>2701</v>
      </c>
      <c r="E113" s="1" t="s">
        <v>540</v>
      </c>
      <c r="F113" s="1">
        <v>978158802</v>
      </c>
      <c r="G113" s="1" t="s">
        <v>2702</v>
      </c>
      <c r="H113" s="1" t="s">
        <v>2135</v>
      </c>
      <c r="I113" s="1" t="str">
        <f t="shared" si="1"/>
        <v>F</v>
      </c>
      <c r="J113" s="1" t="s">
        <v>2127</v>
      </c>
      <c r="K113" s="1" t="s">
        <v>919</v>
      </c>
      <c r="L113" s="1" t="s">
        <v>2192</v>
      </c>
      <c r="M113" s="1" t="s">
        <v>2703</v>
      </c>
      <c r="N113" s="1" t="s">
        <v>2150</v>
      </c>
      <c r="O113" s="1" t="s">
        <v>90</v>
      </c>
      <c r="P113" s="1" t="s">
        <v>532</v>
      </c>
      <c r="Q113" s="1" t="s">
        <v>2704</v>
      </c>
    </row>
    <row r="114" spans="1:17" x14ac:dyDescent="0.25">
      <c r="A114" s="38" t="s">
        <v>4936</v>
      </c>
      <c r="B114" s="1">
        <v>113</v>
      </c>
      <c r="C114" s="1" t="s">
        <v>2705</v>
      </c>
      <c r="D114" s="1" t="s">
        <v>2706</v>
      </c>
      <c r="E114" s="1" t="s">
        <v>2707</v>
      </c>
      <c r="F114" s="1">
        <v>981882791</v>
      </c>
      <c r="G114" s="1" t="s">
        <v>2708</v>
      </c>
      <c r="H114" s="1" t="s">
        <v>2126</v>
      </c>
      <c r="I114" s="1" t="str">
        <f t="shared" si="1"/>
        <v>M</v>
      </c>
      <c r="J114" s="1" t="s">
        <v>2127</v>
      </c>
      <c r="K114" s="1" t="s">
        <v>919</v>
      </c>
      <c r="L114" s="1" t="s">
        <v>2192</v>
      </c>
      <c r="M114" s="1" t="s">
        <v>2709</v>
      </c>
      <c r="N114" s="1" t="s">
        <v>2167</v>
      </c>
      <c r="O114" s="1" t="s">
        <v>90</v>
      </c>
      <c r="P114" s="1" t="s">
        <v>2710</v>
      </c>
      <c r="Q114" s="1" t="s">
        <v>2711</v>
      </c>
    </row>
    <row r="115" spans="1:17" x14ac:dyDescent="0.25">
      <c r="A115" s="38" t="s">
        <v>4580</v>
      </c>
      <c r="B115" s="1">
        <v>114</v>
      </c>
      <c r="C115" s="1" t="s">
        <v>1359</v>
      </c>
      <c r="D115" s="1" t="s">
        <v>2712</v>
      </c>
      <c r="E115" s="1" t="s">
        <v>655</v>
      </c>
      <c r="F115" s="1">
        <v>974055052</v>
      </c>
      <c r="G115" s="1" t="s">
        <v>2713</v>
      </c>
      <c r="H115" s="1" t="s">
        <v>2126</v>
      </c>
      <c r="I115" s="1" t="str">
        <f t="shared" si="1"/>
        <v>M</v>
      </c>
      <c r="J115" s="1" t="s">
        <v>2127</v>
      </c>
      <c r="K115" s="1" t="s">
        <v>919</v>
      </c>
      <c r="L115" s="1" t="s">
        <v>919</v>
      </c>
      <c r="M115" s="1" t="s">
        <v>2714</v>
      </c>
      <c r="N115" s="1" t="s">
        <v>2140</v>
      </c>
      <c r="O115" s="1" t="s">
        <v>90</v>
      </c>
      <c r="P115" s="1" t="s">
        <v>619</v>
      </c>
      <c r="Q115" s="1" t="s">
        <v>2715</v>
      </c>
    </row>
    <row r="116" spans="1:17" x14ac:dyDescent="0.25">
      <c r="A116" s="38" t="s">
        <v>4937</v>
      </c>
      <c r="B116" s="1">
        <v>115</v>
      </c>
      <c r="C116" s="1" t="s">
        <v>2716</v>
      </c>
      <c r="D116" s="1" t="s">
        <v>2717</v>
      </c>
      <c r="E116" s="1" t="s">
        <v>2718</v>
      </c>
      <c r="F116" s="1">
        <v>986178237</v>
      </c>
      <c r="G116" s="1" t="s">
        <v>2719</v>
      </c>
      <c r="H116" s="1" t="s">
        <v>2135</v>
      </c>
      <c r="I116" s="1" t="str">
        <f t="shared" si="1"/>
        <v>F</v>
      </c>
      <c r="J116" s="1" t="s">
        <v>2127</v>
      </c>
      <c r="K116" s="1" t="s">
        <v>2127</v>
      </c>
      <c r="L116" s="1" t="s">
        <v>2127</v>
      </c>
      <c r="M116" s="1" t="s">
        <v>2720</v>
      </c>
      <c r="N116" s="1" t="s">
        <v>2130</v>
      </c>
      <c r="O116" s="1" t="s">
        <v>90</v>
      </c>
      <c r="P116" s="1" t="s">
        <v>2586</v>
      </c>
      <c r="Q116" s="1" t="s">
        <v>2721</v>
      </c>
    </row>
    <row r="117" spans="1:17" x14ac:dyDescent="0.25">
      <c r="A117" s="38" t="s">
        <v>4817</v>
      </c>
      <c r="B117" s="1">
        <v>116</v>
      </c>
      <c r="C117" s="1" t="s">
        <v>1584</v>
      </c>
      <c r="D117" s="1" t="s">
        <v>2722</v>
      </c>
      <c r="E117" s="1" t="s">
        <v>833</v>
      </c>
      <c r="F117" s="1">
        <v>977727216</v>
      </c>
      <c r="G117" s="1" t="s">
        <v>2723</v>
      </c>
      <c r="H117" s="1" t="s">
        <v>2135</v>
      </c>
      <c r="I117" s="1" t="str">
        <f t="shared" si="1"/>
        <v>F</v>
      </c>
      <c r="J117" s="1" t="s">
        <v>2127</v>
      </c>
      <c r="K117" s="1" t="s">
        <v>919</v>
      </c>
      <c r="L117" s="1" t="s">
        <v>919</v>
      </c>
      <c r="M117" s="1" t="s">
        <v>2724</v>
      </c>
      <c r="N117" s="1" t="s">
        <v>2176</v>
      </c>
      <c r="O117" s="1" t="s">
        <v>812</v>
      </c>
      <c r="P117" s="1" t="s">
        <v>813</v>
      </c>
      <c r="Q117" s="1" t="s">
        <v>2725</v>
      </c>
    </row>
    <row r="118" spans="1:17" x14ac:dyDescent="0.25">
      <c r="A118" s="38" t="s">
        <v>4938</v>
      </c>
      <c r="B118" s="1">
        <v>117</v>
      </c>
      <c r="C118" s="1" t="s">
        <v>2726</v>
      </c>
      <c r="D118" s="1" t="s">
        <v>2727</v>
      </c>
      <c r="E118" s="1" t="s">
        <v>488</v>
      </c>
      <c r="F118" s="1">
        <v>937672570</v>
      </c>
      <c r="G118" s="1" t="s">
        <v>2728</v>
      </c>
      <c r="H118" s="1" t="s">
        <v>2135</v>
      </c>
      <c r="I118" s="1" t="str">
        <f t="shared" si="1"/>
        <v>F</v>
      </c>
      <c r="J118" s="1" t="s">
        <v>2156</v>
      </c>
      <c r="K118" s="1" t="s">
        <v>2627</v>
      </c>
      <c r="L118" s="1" t="s">
        <v>2729</v>
      </c>
      <c r="M118" s="1" t="s">
        <v>2730</v>
      </c>
      <c r="N118" s="1" t="s">
        <v>2130</v>
      </c>
      <c r="O118" s="1" t="s">
        <v>90</v>
      </c>
      <c r="P118" s="1" t="s">
        <v>418</v>
      </c>
      <c r="Q118" s="1" t="s">
        <v>2731</v>
      </c>
    </row>
    <row r="119" spans="1:17" x14ac:dyDescent="0.25">
      <c r="A119" s="38" t="s">
        <v>4939</v>
      </c>
      <c r="B119" s="1">
        <v>118</v>
      </c>
      <c r="C119" s="1" t="s">
        <v>1327</v>
      </c>
      <c r="D119" s="1" t="s">
        <v>2732</v>
      </c>
      <c r="E119" s="1" t="s">
        <v>2733</v>
      </c>
      <c r="F119" s="1">
        <v>978923479</v>
      </c>
      <c r="G119" s="1" t="s">
        <v>2734</v>
      </c>
      <c r="H119" s="1" t="s">
        <v>2126</v>
      </c>
      <c r="I119" s="1" t="str">
        <f t="shared" si="1"/>
        <v>M</v>
      </c>
      <c r="J119" s="1" t="s">
        <v>2127</v>
      </c>
      <c r="K119" s="1" t="s">
        <v>919</v>
      </c>
      <c r="L119" s="1" t="s">
        <v>919</v>
      </c>
      <c r="M119" s="1" t="s">
        <v>2735</v>
      </c>
      <c r="N119" s="1" t="s">
        <v>2167</v>
      </c>
      <c r="O119" s="1" t="s">
        <v>9</v>
      </c>
      <c r="P119" s="1" t="s">
        <v>2188</v>
      </c>
      <c r="Q119" s="1" t="s">
        <v>2736</v>
      </c>
    </row>
    <row r="120" spans="1:17" x14ac:dyDescent="0.25">
      <c r="A120" s="38" t="s">
        <v>4940</v>
      </c>
      <c r="B120" s="1">
        <v>119</v>
      </c>
      <c r="C120" s="1" t="s">
        <v>2737</v>
      </c>
      <c r="D120" s="1" t="s">
        <v>2738</v>
      </c>
      <c r="E120" s="1" t="s">
        <v>2739</v>
      </c>
      <c r="F120" s="1">
        <v>961813934</v>
      </c>
      <c r="G120" s="1" t="s">
        <v>2740</v>
      </c>
      <c r="H120" s="1" t="s">
        <v>2135</v>
      </c>
      <c r="I120" s="1" t="str">
        <f t="shared" si="1"/>
        <v>F</v>
      </c>
      <c r="J120" s="1" t="s">
        <v>2127</v>
      </c>
      <c r="K120" s="1" t="s">
        <v>919</v>
      </c>
      <c r="L120" s="1" t="s">
        <v>919</v>
      </c>
      <c r="M120" s="1" t="s">
        <v>2741</v>
      </c>
      <c r="N120" s="1" t="s">
        <v>2150</v>
      </c>
      <c r="O120" s="1" t="s">
        <v>90</v>
      </c>
      <c r="P120" s="1" t="s">
        <v>2475</v>
      </c>
      <c r="Q120" s="1" t="s">
        <v>2742</v>
      </c>
    </row>
    <row r="121" spans="1:17" x14ac:dyDescent="0.25">
      <c r="A121" s="38" t="s">
        <v>4729</v>
      </c>
      <c r="B121" s="1">
        <v>120</v>
      </c>
      <c r="C121" s="1" t="s">
        <v>1502</v>
      </c>
      <c r="D121" s="1" t="s">
        <v>2743</v>
      </c>
      <c r="E121" s="1" t="s">
        <v>359</v>
      </c>
      <c r="F121" s="1">
        <v>936244503</v>
      </c>
      <c r="G121" s="1" t="s">
        <v>2744</v>
      </c>
      <c r="H121" s="1" t="s">
        <v>2135</v>
      </c>
      <c r="I121" s="1" t="str">
        <f t="shared" si="1"/>
        <v>F</v>
      </c>
      <c r="J121" s="1" t="s">
        <v>2127</v>
      </c>
      <c r="K121" s="1" t="s">
        <v>919</v>
      </c>
      <c r="L121" s="1" t="s">
        <v>919</v>
      </c>
      <c r="M121" s="1" t="s">
        <v>2745</v>
      </c>
      <c r="N121" s="1" t="s">
        <v>2130</v>
      </c>
      <c r="O121" s="1" t="s">
        <v>90</v>
      </c>
      <c r="P121" s="1" t="s">
        <v>272</v>
      </c>
      <c r="Q121" s="1" t="s">
        <v>2746</v>
      </c>
    </row>
    <row r="122" spans="1:17" x14ac:dyDescent="0.25">
      <c r="A122" s="38" t="s">
        <v>4557</v>
      </c>
      <c r="B122" s="1">
        <v>121</v>
      </c>
      <c r="C122" s="1" t="s">
        <v>1336</v>
      </c>
      <c r="D122" s="1" t="s">
        <v>2747</v>
      </c>
      <c r="E122" s="1" t="s">
        <v>257</v>
      </c>
      <c r="F122" s="1">
        <v>997645512</v>
      </c>
      <c r="G122" s="1" t="s">
        <v>2748</v>
      </c>
      <c r="H122" s="1" t="s">
        <v>2126</v>
      </c>
      <c r="I122" s="1" t="str">
        <f t="shared" si="1"/>
        <v>M</v>
      </c>
      <c r="J122" s="1" t="s">
        <v>2156</v>
      </c>
      <c r="K122" s="1" t="s">
        <v>2156</v>
      </c>
      <c r="L122" s="1" t="s">
        <v>2156</v>
      </c>
      <c r="M122" s="1" t="s">
        <v>2749</v>
      </c>
      <c r="N122" s="1" t="s">
        <v>2140</v>
      </c>
      <c r="O122" s="1" t="s">
        <v>90</v>
      </c>
      <c r="P122" s="1" t="s">
        <v>223</v>
      </c>
      <c r="Q122" s="1" t="s">
        <v>2750</v>
      </c>
    </row>
    <row r="123" spans="1:17" x14ac:dyDescent="0.25">
      <c r="A123" s="38" t="s">
        <v>4835</v>
      </c>
      <c r="B123" s="1">
        <v>122</v>
      </c>
      <c r="C123" s="1" t="s">
        <v>1601</v>
      </c>
      <c r="D123" s="1" t="s">
        <v>2751</v>
      </c>
      <c r="E123" s="1" t="s">
        <v>511</v>
      </c>
      <c r="F123" s="1">
        <v>943732547</v>
      </c>
      <c r="G123" s="1" t="s">
        <v>2752</v>
      </c>
      <c r="H123" s="1" t="s">
        <v>2126</v>
      </c>
      <c r="I123" s="1" t="str">
        <f t="shared" si="1"/>
        <v>M</v>
      </c>
      <c r="J123" s="1" t="s">
        <v>2753</v>
      </c>
      <c r="K123" s="1" t="s">
        <v>2753</v>
      </c>
      <c r="L123" s="1" t="s">
        <v>2753</v>
      </c>
      <c r="M123" s="1" t="s">
        <v>2754</v>
      </c>
      <c r="N123" s="1" t="s">
        <v>2329</v>
      </c>
      <c r="O123" s="1" t="s">
        <v>90</v>
      </c>
      <c r="P123" s="1" t="s">
        <v>493</v>
      </c>
      <c r="Q123" s="1" t="s">
        <v>2755</v>
      </c>
    </row>
    <row r="124" spans="1:17" x14ac:dyDescent="0.25">
      <c r="A124" s="38" t="s">
        <v>4772</v>
      </c>
      <c r="B124" s="1">
        <v>123</v>
      </c>
      <c r="C124" s="1" t="s">
        <v>1545</v>
      </c>
      <c r="D124" s="1" t="s">
        <v>2756</v>
      </c>
      <c r="E124" s="1" t="s">
        <v>380</v>
      </c>
      <c r="F124" s="1">
        <v>955282059</v>
      </c>
      <c r="G124" s="1" t="s">
        <v>2757</v>
      </c>
      <c r="H124" s="1" t="s">
        <v>2126</v>
      </c>
      <c r="I124" s="1" t="str">
        <f t="shared" si="1"/>
        <v>M</v>
      </c>
      <c r="J124" s="1" t="s">
        <v>2127</v>
      </c>
      <c r="K124" s="1" t="s">
        <v>919</v>
      </c>
      <c r="L124" s="1" t="s">
        <v>2192</v>
      </c>
      <c r="M124" s="1" t="s">
        <v>2758</v>
      </c>
      <c r="N124" s="1" t="s">
        <v>2130</v>
      </c>
      <c r="O124" s="1" t="s">
        <v>90</v>
      </c>
      <c r="P124" s="1" t="s">
        <v>368</v>
      </c>
      <c r="Q124" s="1" t="s">
        <v>2759</v>
      </c>
    </row>
    <row r="125" spans="1:17" x14ac:dyDescent="0.25">
      <c r="A125" s="38" t="s">
        <v>4760</v>
      </c>
      <c r="B125" s="1">
        <v>124</v>
      </c>
      <c r="C125" s="1" t="s">
        <v>1533</v>
      </c>
      <c r="D125" s="1" t="s">
        <v>2760</v>
      </c>
      <c r="E125" s="1" t="s">
        <v>476</v>
      </c>
      <c r="F125" s="1">
        <v>953897427</v>
      </c>
      <c r="G125" s="1" t="s">
        <v>2761</v>
      </c>
      <c r="H125" s="1" t="s">
        <v>2135</v>
      </c>
      <c r="I125" s="1" t="str">
        <f t="shared" si="1"/>
        <v>F</v>
      </c>
      <c r="J125" s="1" t="s">
        <v>2127</v>
      </c>
      <c r="K125" s="1" t="s">
        <v>919</v>
      </c>
      <c r="L125" s="1" t="s">
        <v>2192</v>
      </c>
      <c r="M125" s="1" t="s">
        <v>2762</v>
      </c>
      <c r="N125" s="1" t="s">
        <v>2130</v>
      </c>
      <c r="O125" s="1" t="s">
        <v>90</v>
      </c>
      <c r="P125" s="1" t="s">
        <v>418</v>
      </c>
      <c r="Q125" s="1" t="s">
        <v>2763</v>
      </c>
    </row>
    <row r="126" spans="1:17" x14ac:dyDescent="0.25">
      <c r="A126" s="38" t="s">
        <v>4671</v>
      </c>
      <c r="B126" s="1">
        <v>125</v>
      </c>
      <c r="C126" s="1" t="s">
        <v>2764</v>
      </c>
      <c r="D126" s="1" t="s">
        <v>2765</v>
      </c>
      <c r="E126" s="1" t="s">
        <v>52</v>
      </c>
      <c r="F126" s="1">
        <v>916947134</v>
      </c>
      <c r="G126" s="1" t="s">
        <v>2766</v>
      </c>
      <c r="H126" s="1" t="s">
        <v>2126</v>
      </c>
      <c r="I126" s="1" t="str">
        <f t="shared" si="1"/>
        <v>M</v>
      </c>
      <c r="J126" s="1" t="s">
        <v>2156</v>
      </c>
      <c r="K126" s="1" t="s">
        <v>2157</v>
      </c>
      <c r="L126" s="1" t="s">
        <v>2348</v>
      </c>
      <c r="M126" s="1" t="s">
        <v>2767</v>
      </c>
      <c r="N126" s="1" t="s">
        <v>2150</v>
      </c>
      <c r="O126" s="1" t="s">
        <v>9</v>
      </c>
      <c r="P126" s="1" t="s">
        <v>53</v>
      </c>
      <c r="Q126" s="1" t="s">
        <v>2768</v>
      </c>
    </row>
    <row r="127" spans="1:17" x14ac:dyDescent="0.25">
      <c r="A127" s="38" t="s">
        <v>4733</v>
      </c>
      <c r="B127" s="1">
        <v>126</v>
      </c>
      <c r="C127" s="1" t="s">
        <v>1506</v>
      </c>
      <c r="D127" s="1" t="s">
        <v>2769</v>
      </c>
      <c r="E127" s="1" t="s">
        <v>422</v>
      </c>
      <c r="F127" s="1">
        <v>996617036</v>
      </c>
      <c r="G127" s="1" t="s">
        <v>2770</v>
      </c>
      <c r="H127" s="1" t="s">
        <v>2135</v>
      </c>
      <c r="I127" s="1" t="str">
        <f t="shared" si="1"/>
        <v>F</v>
      </c>
      <c r="J127" s="1" t="s">
        <v>2127</v>
      </c>
      <c r="K127" s="1" t="s">
        <v>919</v>
      </c>
      <c r="L127" s="1" t="s">
        <v>919</v>
      </c>
      <c r="M127" s="1" t="s">
        <v>2771</v>
      </c>
      <c r="N127" s="1" t="s">
        <v>2130</v>
      </c>
      <c r="O127" s="1" t="s">
        <v>90</v>
      </c>
      <c r="P127" s="1" t="s">
        <v>418</v>
      </c>
      <c r="Q127" s="1" t="s">
        <v>2772</v>
      </c>
    </row>
    <row r="128" spans="1:17" x14ac:dyDescent="0.25">
      <c r="A128" s="38" t="s">
        <v>4533</v>
      </c>
      <c r="B128" s="1">
        <v>127</v>
      </c>
      <c r="C128" s="1" t="s">
        <v>2773</v>
      </c>
      <c r="D128" s="1" t="s">
        <v>2774</v>
      </c>
      <c r="E128" s="1" t="s">
        <v>155</v>
      </c>
      <c r="F128" s="1">
        <v>925882492</v>
      </c>
      <c r="G128" s="1" t="s">
        <v>2775</v>
      </c>
      <c r="H128" s="1" t="s">
        <v>2126</v>
      </c>
      <c r="I128" s="1" t="str">
        <f t="shared" si="1"/>
        <v>M</v>
      </c>
      <c r="J128" s="1" t="s">
        <v>2127</v>
      </c>
      <c r="K128" s="1" t="s">
        <v>2376</v>
      </c>
      <c r="L128" s="1" t="s">
        <v>2776</v>
      </c>
      <c r="M128" s="1" t="s">
        <v>2777</v>
      </c>
      <c r="N128" s="1" t="s">
        <v>2140</v>
      </c>
      <c r="O128" s="1" t="s">
        <v>90</v>
      </c>
      <c r="P128" s="1" t="s">
        <v>135</v>
      </c>
      <c r="Q128" s="1" t="s">
        <v>2778</v>
      </c>
    </row>
    <row r="129" spans="1:17" x14ac:dyDescent="0.25">
      <c r="A129" s="38" t="s">
        <v>4582</v>
      </c>
      <c r="B129" s="1">
        <v>128</v>
      </c>
      <c r="C129" s="1" t="s">
        <v>1361</v>
      </c>
      <c r="D129" s="1" t="s">
        <v>2779</v>
      </c>
      <c r="E129" s="1" t="s">
        <v>659</v>
      </c>
      <c r="F129" s="1">
        <v>965043594</v>
      </c>
      <c r="G129" s="1" t="s">
        <v>2642</v>
      </c>
      <c r="H129" s="1" t="s">
        <v>2126</v>
      </c>
      <c r="I129" s="1" t="str">
        <f t="shared" si="1"/>
        <v>M</v>
      </c>
      <c r="J129" s="1" t="s">
        <v>2127</v>
      </c>
      <c r="K129" s="1" t="s">
        <v>919</v>
      </c>
      <c r="L129" s="1" t="s">
        <v>2418</v>
      </c>
      <c r="M129" s="1" t="s">
        <v>2780</v>
      </c>
      <c r="N129" s="1" t="s">
        <v>2140</v>
      </c>
      <c r="O129" s="1" t="s">
        <v>90</v>
      </c>
      <c r="P129" s="1" t="s">
        <v>619</v>
      </c>
      <c r="Q129" s="1" t="s">
        <v>2781</v>
      </c>
    </row>
    <row r="130" spans="1:17" x14ac:dyDescent="0.25">
      <c r="A130" s="38" t="s">
        <v>4569</v>
      </c>
      <c r="B130" s="1">
        <v>129</v>
      </c>
      <c r="C130" s="1" t="s">
        <v>1348</v>
      </c>
      <c r="D130" s="1" t="s">
        <v>2782</v>
      </c>
      <c r="E130" s="1" t="s">
        <v>633</v>
      </c>
      <c r="F130" s="1">
        <v>957156436</v>
      </c>
      <c r="G130" s="1" t="s">
        <v>2783</v>
      </c>
      <c r="H130" s="1" t="s">
        <v>2126</v>
      </c>
      <c r="I130" s="1" t="str">
        <f t="shared" si="1"/>
        <v>M</v>
      </c>
      <c r="J130" s="1" t="s">
        <v>2127</v>
      </c>
      <c r="K130" s="1" t="s">
        <v>919</v>
      </c>
      <c r="L130" s="1" t="s">
        <v>919</v>
      </c>
      <c r="M130" s="1" t="s">
        <v>2784</v>
      </c>
      <c r="N130" s="1" t="s">
        <v>2140</v>
      </c>
      <c r="O130" s="1" t="s">
        <v>90</v>
      </c>
      <c r="P130" s="1" t="s">
        <v>619</v>
      </c>
      <c r="Q130" s="1" t="s">
        <v>2785</v>
      </c>
    </row>
    <row r="131" spans="1:17" x14ac:dyDescent="0.25">
      <c r="A131" s="38" t="s">
        <v>4579</v>
      </c>
      <c r="B131" s="1">
        <v>130</v>
      </c>
      <c r="C131" s="1" t="s">
        <v>1358</v>
      </c>
      <c r="D131" s="1" t="s">
        <v>2786</v>
      </c>
      <c r="E131" s="1" t="s">
        <v>653</v>
      </c>
      <c r="F131" s="1">
        <v>901800994</v>
      </c>
      <c r="G131" s="1" t="s">
        <v>2787</v>
      </c>
      <c r="H131" s="1" t="s">
        <v>2135</v>
      </c>
      <c r="I131" s="1" t="str">
        <f t="shared" ref="I131:I194" si="2">IF(H131="MaSculino","M","F")</f>
        <v>F</v>
      </c>
      <c r="J131" s="1" t="s">
        <v>2127</v>
      </c>
      <c r="K131" s="1" t="s">
        <v>919</v>
      </c>
      <c r="L131" s="1" t="s">
        <v>2300</v>
      </c>
      <c r="M131" s="1" t="s">
        <v>2788</v>
      </c>
      <c r="N131" s="1" t="s">
        <v>2140</v>
      </c>
      <c r="O131" s="1" t="s">
        <v>90</v>
      </c>
      <c r="P131" s="1" t="s">
        <v>619</v>
      </c>
      <c r="Q131" s="1" t="s">
        <v>2789</v>
      </c>
    </row>
    <row r="132" spans="1:17" x14ac:dyDescent="0.25">
      <c r="A132" s="38" t="s">
        <v>4941</v>
      </c>
      <c r="B132" s="1">
        <v>131</v>
      </c>
      <c r="C132" s="1" t="s">
        <v>2790</v>
      </c>
      <c r="D132" s="1" t="s">
        <v>2791</v>
      </c>
      <c r="E132" s="1" t="s">
        <v>762</v>
      </c>
      <c r="F132" s="1">
        <v>991978332</v>
      </c>
      <c r="G132" s="1" t="s">
        <v>2792</v>
      </c>
      <c r="H132" s="1" t="s">
        <v>2126</v>
      </c>
      <c r="I132" s="1" t="str">
        <f t="shared" si="2"/>
        <v>M</v>
      </c>
      <c r="J132" s="1" t="s">
        <v>2127</v>
      </c>
      <c r="K132" s="1" t="s">
        <v>919</v>
      </c>
      <c r="L132" s="1" t="s">
        <v>2793</v>
      </c>
      <c r="M132" s="1" t="s">
        <v>2794</v>
      </c>
      <c r="N132" s="1" t="s">
        <v>2140</v>
      </c>
      <c r="O132" s="1" t="s">
        <v>90</v>
      </c>
      <c r="P132" s="1" t="s">
        <v>730</v>
      </c>
      <c r="Q132" s="1" t="s">
        <v>2795</v>
      </c>
    </row>
    <row r="133" spans="1:17" x14ac:dyDescent="0.25">
      <c r="A133" s="38" t="s">
        <v>4627</v>
      </c>
      <c r="B133" s="1">
        <v>132</v>
      </c>
      <c r="C133" s="1" t="s">
        <v>1403</v>
      </c>
      <c r="D133" s="1" t="s">
        <v>2796</v>
      </c>
      <c r="E133" s="1" t="s">
        <v>758</v>
      </c>
      <c r="F133" s="1">
        <v>978090860</v>
      </c>
      <c r="G133" s="1" t="s">
        <v>2797</v>
      </c>
      <c r="H133" s="1" t="s">
        <v>2135</v>
      </c>
      <c r="I133" s="1" t="str">
        <f t="shared" si="2"/>
        <v>F</v>
      </c>
      <c r="J133" s="1" t="s">
        <v>2127</v>
      </c>
      <c r="K133" s="1" t="s">
        <v>919</v>
      </c>
      <c r="L133" s="1" t="s">
        <v>919</v>
      </c>
      <c r="M133" s="1" t="s">
        <v>2798</v>
      </c>
      <c r="N133" s="1" t="s">
        <v>2140</v>
      </c>
      <c r="O133" s="1" t="s">
        <v>90</v>
      </c>
      <c r="P133" s="1" t="s">
        <v>730</v>
      </c>
      <c r="Q133" s="1" t="s">
        <v>2799</v>
      </c>
    </row>
    <row r="134" spans="1:17" x14ac:dyDescent="0.25">
      <c r="A134" s="38" t="s">
        <v>4942</v>
      </c>
      <c r="B134" s="1">
        <v>133</v>
      </c>
      <c r="C134" s="1" t="s">
        <v>2800</v>
      </c>
      <c r="D134" s="1" t="s">
        <v>2801</v>
      </c>
      <c r="E134" s="1" t="s">
        <v>529</v>
      </c>
      <c r="F134" s="1">
        <v>995446821</v>
      </c>
      <c r="G134" s="1" t="s">
        <v>2802</v>
      </c>
      <c r="H134" s="1" t="s">
        <v>2135</v>
      </c>
      <c r="I134" s="1" t="str">
        <f t="shared" si="2"/>
        <v>F</v>
      </c>
      <c r="J134" s="1" t="s">
        <v>2127</v>
      </c>
      <c r="K134" s="1" t="s">
        <v>2127</v>
      </c>
      <c r="L134" s="1" t="s">
        <v>2803</v>
      </c>
      <c r="M134" s="1" t="s">
        <v>2804</v>
      </c>
      <c r="N134" s="1" t="s">
        <v>2329</v>
      </c>
      <c r="O134" s="1" t="s">
        <v>90</v>
      </c>
      <c r="P134" s="1" t="s">
        <v>493</v>
      </c>
      <c r="Q134" s="1" t="s">
        <v>2805</v>
      </c>
    </row>
    <row r="135" spans="1:17" x14ac:dyDescent="0.25">
      <c r="A135" s="38" t="s">
        <v>4840</v>
      </c>
      <c r="B135" s="1">
        <v>134</v>
      </c>
      <c r="C135" s="1" t="s">
        <v>1605</v>
      </c>
      <c r="D135" s="1" t="s">
        <v>2806</v>
      </c>
      <c r="E135" s="1" t="s">
        <v>521</v>
      </c>
      <c r="F135" s="1">
        <v>999235588</v>
      </c>
      <c r="G135" s="1" t="s">
        <v>2807</v>
      </c>
      <c r="H135" s="1" t="s">
        <v>2126</v>
      </c>
      <c r="I135" s="1" t="str">
        <f t="shared" si="2"/>
        <v>M</v>
      </c>
      <c r="J135" s="1" t="s">
        <v>1276</v>
      </c>
      <c r="K135" s="1" t="s">
        <v>1276</v>
      </c>
      <c r="L135" s="1" t="s">
        <v>2808</v>
      </c>
      <c r="M135" s="1" t="s">
        <v>2809</v>
      </c>
      <c r="N135" s="1" t="s">
        <v>2329</v>
      </c>
      <c r="O135" s="1" t="s">
        <v>90</v>
      </c>
      <c r="P135" s="1" t="s">
        <v>493</v>
      </c>
      <c r="Q135" s="1" t="s">
        <v>2810</v>
      </c>
    </row>
    <row r="136" spans="1:17" x14ac:dyDescent="0.25">
      <c r="A136" s="38" t="s">
        <v>4587</v>
      </c>
      <c r="B136" s="1">
        <v>135</v>
      </c>
      <c r="C136" s="1" t="s">
        <v>1366</v>
      </c>
      <c r="D136" s="1" t="s">
        <v>2811</v>
      </c>
      <c r="E136" s="1" t="s">
        <v>669</v>
      </c>
      <c r="F136" s="1">
        <v>973668917</v>
      </c>
      <c r="G136" s="1" t="s">
        <v>2812</v>
      </c>
      <c r="H136" s="1" t="s">
        <v>2126</v>
      </c>
      <c r="I136" s="1" t="str">
        <f t="shared" si="2"/>
        <v>M</v>
      </c>
      <c r="J136" s="1" t="s">
        <v>2127</v>
      </c>
      <c r="K136" s="1" t="s">
        <v>919</v>
      </c>
      <c r="L136" s="1" t="s">
        <v>919</v>
      </c>
      <c r="M136" s="1" t="s">
        <v>2813</v>
      </c>
      <c r="N136" s="1" t="s">
        <v>2140</v>
      </c>
      <c r="O136" s="1" t="s">
        <v>90</v>
      </c>
      <c r="P136" s="1" t="s">
        <v>619</v>
      </c>
      <c r="Q136" s="1" t="s">
        <v>2814</v>
      </c>
    </row>
    <row r="137" spans="1:17" x14ac:dyDescent="0.25">
      <c r="A137" s="38" t="s">
        <v>4768</v>
      </c>
      <c r="B137" s="1">
        <v>136</v>
      </c>
      <c r="C137" s="1" t="s">
        <v>1541</v>
      </c>
      <c r="D137" s="1" t="s">
        <v>2815</v>
      </c>
      <c r="E137" s="1" t="s">
        <v>372</v>
      </c>
      <c r="F137" s="1">
        <v>918771107</v>
      </c>
      <c r="G137" s="1" t="s">
        <v>2816</v>
      </c>
      <c r="H137" s="1" t="s">
        <v>2126</v>
      </c>
      <c r="I137" s="1" t="str">
        <f t="shared" si="2"/>
        <v>M</v>
      </c>
      <c r="J137" s="1" t="s">
        <v>2156</v>
      </c>
      <c r="K137" s="1" t="s">
        <v>2274</v>
      </c>
      <c r="L137" s="1" t="s">
        <v>2817</v>
      </c>
      <c r="M137" s="1" t="s">
        <v>2818</v>
      </c>
      <c r="N137" s="1" t="s">
        <v>2130</v>
      </c>
      <c r="O137" s="1" t="s">
        <v>90</v>
      </c>
      <c r="P137" s="1" t="s">
        <v>368</v>
      </c>
      <c r="Q137" s="1" t="s">
        <v>2819</v>
      </c>
    </row>
    <row r="138" spans="1:17" x14ac:dyDescent="0.25">
      <c r="A138" s="38" t="s">
        <v>4637</v>
      </c>
      <c r="B138" s="1">
        <v>137</v>
      </c>
      <c r="C138" s="1" t="s">
        <v>1413</v>
      </c>
      <c r="D138" s="1" t="s">
        <v>2820</v>
      </c>
      <c r="E138" s="1" t="s">
        <v>548</v>
      </c>
      <c r="F138" s="1">
        <v>991102426</v>
      </c>
      <c r="G138" s="1" t="s">
        <v>2821</v>
      </c>
      <c r="H138" s="1" t="s">
        <v>2135</v>
      </c>
      <c r="I138" s="1" t="str">
        <f t="shared" si="2"/>
        <v>F</v>
      </c>
      <c r="J138" s="1" t="s">
        <v>2127</v>
      </c>
      <c r="K138" s="1" t="s">
        <v>2127</v>
      </c>
      <c r="L138" s="1" t="s">
        <v>2127</v>
      </c>
      <c r="M138" s="1" t="s">
        <v>2822</v>
      </c>
      <c r="N138" s="1" t="s">
        <v>2150</v>
      </c>
      <c r="O138" s="1" t="s">
        <v>90</v>
      </c>
      <c r="P138" s="1" t="s">
        <v>532</v>
      </c>
      <c r="Q138" s="1" t="s">
        <v>2823</v>
      </c>
    </row>
    <row r="139" spans="1:17" x14ac:dyDescent="0.25">
      <c r="A139" s="38" t="s">
        <v>4734</v>
      </c>
      <c r="B139" s="1">
        <v>138</v>
      </c>
      <c r="C139" s="1" t="s">
        <v>1507</v>
      </c>
      <c r="D139" s="1" t="s">
        <v>2824</v>
      </c>
      <c r="E139" s="1" t="s">
        <v>424</v>
      </c>
      <c r="F139" s="1">
        <v>939080978</v>
      </c>
      <c r="G139" s="1" t="s">
        <v>2825</v>
      </c>
      <c r="H139" s="1" t="s">
        <v>2126</v>
      </c>
      <c r="I139" s="1" t="str">
        <f t="shared" si="2"/>
        <v>M</v>
      </c>
      <c r="J139" s="1" t="s">
        <v>2127</v>
      </c>
      <c r="K139" s="1" t="s">
        <v>919</v>
      </c>
      <c r="L139" s="1" t="s">
        <v>919</v>
      </c>
      <c r="M139" s="1" t="s">
        <v>2826</v>
      </c>
      <c r="N139" s="1" t="s">
        <v>2130</v>
      </c>
      <c r="O139" s="1" t="s">
        <v>90</v>
      </c>
      <c r="P139" s="1" t="s">
        <v>418</v>
      </c>
      <c r="Q139" s="1" t="s">
        <v>2827</v>
      </c>
    </row>
    <row r="140" spans="1:17" x14ac:dyDescent="0.25">
      <c r="A140" s="38" t="s">
        <v>4631</v>
      </c>
      <c r="B140" s="1">
        <v>139</v>
      </c>
      <c r="C140" s="1" t="s">
        <v>1407</v>
      </c>
      <c r="D140" s="1" t="s">
        <v>2828</v>
      </c>
      <c r="E140" s="1" t="s">
        <v>536</v>
      </c>
      <c r="F140" s="1">
        <v>927610620</v>
      </c>
      <c r="G140" s="1" t="s">
        <v>2829</v>
      </c>
      <c r="H140" s="1" t="s">
        <v>2135</v>
      </c>
      <c r="I140" s="1" t="str">
        <f t="shared" si="2"/>
        <v>F</v>
      </c>
      <c r="J140" s="1" t="s">
        <v>2127</v>
      </c>
      <c r="K140" s="1" t="s">
        <v>2127</v>
      </c>
      <c r="L140" s="1" t="s">
        <v>2127</v>
      </c>
      <c r="M140" s="1" t="s">
        <v>2830</v>
      </c>
      <c r="N140" s="1" t="s">
        <v>2150</v>
      </c>
      <c r="O140" s="1" t="s">
        <v>90</v>
      </c>
      <c r="P140" s="1" t="s">
        <v>532</v>
      </c>
      <c r="Q140" s="1" t="s">
        <v>2831</v>
      </c>
    </row>
    <row r="141" spans="1:17" x14ac:dyDescent="0.25">
      <c r="A141" s="38" t="s">
        <v>4711</v>
      </c>
      <c r="B141" s="1">
        <v>140</v>
      </c>
      <c r="C141" s="1" t="s">
        <v>1485</v>
      </c>
      <c r="D141" s="1" t="s">
        <v>2832</v>
      </c>
      <c r="E141" s="1" t="s">
        <v>321</v>
      </c>
      <c r="F141" s="1">
        <v>966328486</v>
      </c>
      <c r="G141" s="1" t="s">
        <v>2833</v>
      </c>
      <c r="H141" s="1" t="s">
        <v>2126</v>
      </c>
      <c r="I141" s="1" t="str">
        <f t="shared" si="2"/>
        <v>M</v>
      </c>
      <c r="J141" s="1" t="s">
        <v>2156</v>
      </c>
      <c r="K141" s="1" t="s">
        <v>2274</v>
      </c>
      <c r="L141" s="1" t="s">
        <v>2274</v>
      </c>
      <c r="M141" s="1" t="s">
        <v>2834</v>
      </c>
      <c r="N141" s="1" t="s">
        <v>2130</v>
      </c>
      <c r="O141" s="1" t="s">
        <v>90</v>
      </c>
      <c r="P141" s="1" t="s">
        <v>272</v>
      </c>
      <c r="Q141" s="1" t="s">
        <v>2835</v>
      </c>
    </row>
    <row r="142" spans="1:17" x14ac:dyDescent="0.25">
      <c r="A142" s="38" t="s">
        <v>4639</v>
      </c>
      <c r="B142" s="1">
        <v>141</v>
      </c>
      <c r="C142" s="1" t="s">
        <v>2836</v>
      </c>
      <c r="D142" s="1" t="s">
        <v>2837</v>
      </c>
      <c r="E142" s="1" t="s">
        <v>552</v>
      </c>
      <c r="F142" s="1">
        <v>912748022</v>
      </c>
      <c r="G142" s="1" t="s">
        <v>2838</v>
      </c>
      <c r="H142" s="1" t="s">
        <v>2135</v>
      </c>
      <c r="I142" s="1" t="str">
        <f t="shared" si="2"/>
        <v>F</v>
      </c>
      <c r="J142" s="1" t="s">
        <v>2127</v>
      </c>
      <c r="K142" s="1" t="s">
        <v>919</v>
      </c>
      <c r="L142" s="1" t="s">
        <v>2128</v>
      </c>
      <c r="M142" s="1" t="s">
        <v>2839</v>
      </c>
      <c r="N142" s="1" t="s">
        <v>2150</v>
      </c>
      <c r="O142" s="1" t="s">
        <v>90</v>
      </c>
      <c r="P142" s="1" t="s">
        <v>532</v>
      </c>
      <c r="Q142" s="1" t="s">
        <v>2840</v>
      </c>
    </row>
    <row r="143" spans="1:17" x14ac:dyDescent="0.25">
      <c r="A143" s="38" t="s">
        <v>4888</v>
      </c>
      <c r="B143" s="1">
        <v>142</v>
      </c>
      <c r="C143" s="1" t="s">
        <v>1650</v>
      </c>
      <c r="D143" s="1" t="s">
        <v>2841</v>
      </c>
      <c r="E143" s="1" t="s">
        <v>186</v>
      </c>
      <c r="F143" s="1">
        <v>954546987</v>
      </c>
      <c r="G143" s="1" t="s">
        <v>2842</v>
      </c>
      <c r="H143" s="1" t="s">
        <v>2135</v>
      </c>
      <c r="I143" s="1" t="str">
        <f t="shared" si="2"/>
        <v>F</v>
      </c>
      <c r="J143" s="1" t="s">
        <v>2127</v>
      </c>
      <c r="K143" s="1" t="s">
        <v>2127</v>
      </c>
      <c r="L143" s="1" t="s">
        <v>2843</v>
      </c>
      <c r="M143" s="1" t="s">
        <v>2844</v>
      </c>
      <c r="N143" s="1" t="s">
        <v>2194</v>
      </c>
      <c r="O143" s="1" t="s">
        <v>90</v>
      </c>
      <c r="P143" s="1" t="s">
        <v>176</v>
      </c>
      <c r="Q143" s="1" t="s">
        <v>2845</v>
      </c>
    </row>
    <row r="144" spans="1:17" x14ac:dyDescent="0.25">
      <c r="A144" s="38" t="s">
        <v>4566</v>
      </c>
      <c r="B144" s="1">
        <v>143</v>
      </c>
      <c r="C144" s="1" t="s">
        <v>2846</v>
      </c>
      <c r="D144" s="1" t="s">
        <v>2847</v>
      </c>
      <c r="E144" s="1" t="s">
        <v>627</v>
      </c>
      <c r="F144" s="1">
        <v>950251896</v>
      </c>
      <c r="G144" s="1" t="s">
        <v>2848</v>
      </c>
      <c r="H144" s="1" t="s">
        <v>2126</v>
      </c>
      <c r="I144" s="1" t="str">
        <f t="shared" si="2"/>
        <v>M</v>
      </c>
      <c r="J144" s="1" t="s">
        <v>2156</v>
      </c>
      <c r="K144" s="1" t="s">
        <v>2274</v>
      </c>
      <c r="L144" s="1" t="s">
        <v>2849</v>
      </c>
      <c r="M144" s="1" t="s">
        <v>2850</v>
      </c>
      <c r="N144" s="1" t="s">
        <v>2140</v>
      </c>
      <c r="O144" s="1" t="s">
        <v>90</v>
      </c>
      <c r="P144" s="1" t="s">
        <v>619</v>
      </c>
      <c r="Q144" s="1" t="s">
        <v>2851</v>
      </c>
    </row>
    <row r="145" spans="1:17" x14ac:dyDescent="0.25">
      <c r="A145" s="38" t="s">
        <v>4943</v>
      </c>
      <c r="B145" s="1">
        <v>144</v>
      </c>
      <c r="C145" s="1" t="s">
        <v>2852</v>
      </c>
      <c r="D145" s="1" t="s">
        <v>2853</v>
      </c>
      <c r="E145" s="1" t="s">
        <v>2854</v>
      </c>
      <c r="F145" s="1">
        <v>999831299</v>
      </c>
      <c r="G145" s="1" t="s">
        <v>2855</v>
      </c>
      <c r="H145" s="1" t="s">
        <v>2135</v>
      </c>
      <c r="I145" s="1" t="str">
        <f t="shared" si="2"/>
        <v>F</v>
      </c>
      <c r="J145" s="1" t="s">
        <v>2127</v>
      </c>
      <c r="K145" s="1" t="s">
        <v>919</v>
      </c>
      <c r="L145" s="1" t="s">
        <v>919</v>
      </c>
      <c r="M145" s="1" t="s">
        <v>2856</v>
      </c>
      <c r="N145" s="1" t="s">
        <v>2315</v>
      </c>
      <c r="O145" s="1" t="s">
        <v>90</v>
      </c>
      <c r="P145" s="1" t="s">
        <v>2316</v>
      </c>
      <c r="Q145" s="1" t="s">
        <v>2857</v>
      </c>
    </row>
    <row r="146" spans="1:17" x14ac:dyDescent="0.25">
      <c r="A146" s="38" t="s">
        <v>4769</v>
      </c>
      <c r="B146" s="1">
        <v>145</v>
      </c>
      <c r="C146" s="1" t="s">
        <v>1542</v>
      </c>
      <c r="D146" s="1" t="s">
        <v>2858</v>
      </c>
      <c r="E146" s="1" t="s">
        <v>374</v>
      </c>
      <c r="F146" s="1">
        <v>955474720</v>
      </c>
      <c r="G146" s="1" t="s">
        <v>2859</v>
      </c>
      <c r="H146" s="1" t="s">
        <v>2135</v>
      </c>
      <c r="I146" s="1" t="str">
        <f t="shared" si="2"/>
        <v>F</v>
      </c>
      <c r="J146" s="1" t="s">
        <v>2127</v>
      </c>
      <c r="K146" s="1" t="s">
        <v>919</v>
      </c>
      <c r="L146" s="1" t="s">
        <v>2192</v>
      </c>
      <c r="M146" s="1" t="s">
        <v>2860</v>
      </c>
      <c r="N146" s="1" t="s">
        <v>2130</v>
      </c>
      <c r="O146" s="1" t="s">
        <v>90</v>
      </c>
      <c r="P146" s="1" t="s">
        <v>368</v>
      </c>
      <c r="Q146" s="1" t="s">
        <v>2861</v>
      </c>
    </row>
    <row r="147" spans="1:17" x14ac:dyDescent="0.25">
      <c r="A147" s="38" t="s">
        <v>4712</v>
      </c>
      <c r="B147" s="1">
        <v>146</v>
      </c>
      <c r="C147" s="1" t="s">
        <v>1486</v>
      </c>
      <c r="D147" s="1" t="s">
        <v>2862</v>
      </c>
      <c r="E147" s="1" t="s">
        <v>323</v>
      </c>
      <c r="F147" s="1">
        <v>984524804</v>
      </c>
      <c r="G147" s="1" t="s">
        <v>2863</v>
      </c>
      <c r="H147" s="1" t="s">
        <v>2135</v>
      </c>
      <c r="I147" s="1" t="str">
        <f t="shared" si="2"/>
        <v>F</v>
      </c>
      <c r="J147" s="1" t="s">
        <v>2136</v>
      </c>
      <c r="K147" s="1" t="s">
        <v>2864</v>
      </c>
      <c r="L147" s="1" t="s">
        <v>2865</v>
      </c>
      <c r="M147" s="1" t="s">
        <v>2866</v>
      </c>
      <c r="N147" s="1" t="s">
        <v>2130</v>
      </c>
      <c r="O147" s="1" t="s">
        <v>90</v>
      </c>
      <c r="P147" s="1" t="s">
        <v>272</v>
      </c>
      <c r="Q147" s="1" t="s">
        <v>2867</v>
      </c>
    </row>
    <row r="148" spans="1:17" x14ac:dyDescent="0.25">
      <c r="A148" s="38" t="s">
        <v>4944</v>
      </c>
      <c r="B148" s="1">
        <v>147</v>
      </c>
      <c r="C148" s="1" t="s">
        <v>2868</v>
      </c>
      <c r="D148" s="1" t="s">
        <v>2869</v>
      </c>
      <c r="E148" s="1" t="s">
        <v>2870</v>
      </c>
      <c r="F148" s="1">
        <v>964095255</v>
      </c>
      <c r="G148" s="1" t="s">
        <v>2871</v>
      </c>
      <c r="H148" s="1" t="s">
        <v>2126</v>
      </c>
      <c r="I148" s="1" t="str">
        <f t="shared" si="2"/>
        <v>M</v>
      </c>
      <c r="J148" s="1" t="s">
        <v>2127</v>
      </c>
      <c r="K148" s="1" t="s">
        <v>919</v>
      </c>
      <c r="L148" s="1" t="s">
        <v>919</v>
      </c>
      <c r="M148" s="1" t="s">
        <v>2872</v>
      </c>
      <c r="N148" s="1" t="s">
        <v>2167</v>
      </c>
      <c r="O148" s="1" t="s">
        <v>9</v>
      </c>
      <c r="P148" s="1" t="s">
        <v>2188</v>
      </c>
      <c r="Q148" s="1" t="s">
        <v>2873</v>
      </c>
    </row>
    <row r="149" spans="1:17" x14ac:dyDescent="0.25">
      <c r="A149" s="38" t="s">
        <v>4778</v>
      </c>
      <c r="B149" s="1">
        <v>148</v>
      </c>
      <c r="C149" s="1" t="s">
        <v>1551</v>
      </c>
      <c r="D149" s="1" t="s">
        <v>2874</v>
      </c>
      <c r="E149" s="1" t="s">
        <v>392</v>
      </c>
      <c r="F149" s="1">
        <v>934930080</v>
      </c>
      <c r="G149" s="1" t="s">
        <v>2875</v>
      </c>
      <c r="H149" s="1" t="s">
        <v>2135</v>
      </c>
      <c r="I149" s="1" t="str">
        <f t="shared" si="2"/>
        <v>F</v>
      </c>
      <c r="J149" s="1" t="s">
        <v>2127</v>
      </c>
      <c r="K149" s="1" t="s">
        <v>919</v>
      </c>
      <c r="L149" s="1" t="s">
        <v>919</v>
      </c>
      <c r="M149" s="1" t="s">
        <v>2876</v>
      </c>
      <c r="N149" s="1" t="s">
        <v>2130</v>
      </c>
      <c r="O149" s="1" t="s">
        <v>90</v>
      </c>
      <c r="P149" s="1" t="s">
        <v>368</v>
      </c>
      <c r="Q149" s="1" t="s">
        <v>2877</v>
      </c>
    </row>
    <row r="150" spans="1:17" x14ac:dyDescent="0.25">
      <c r="A150" s="38" t="s">
        <v>4945</v>
      </c>
      <c r="B150" s="1">
        <v>149</v>
      </c>
      <c r="C150" s="1" t="s">
        <v>2878</v>
      </c>
      <c r="D150" s="1" t="s">
        <v>2879</v>
      </c>
      <c r="E150" s="1" t="s">
        <v>2880</v>
      </c>
      <c r="F150" s="1">
        <v>959219766</v>
      </c>
      <c r="G150" s="1" t="s">
        <v>2881</v>
      </c>
      <c r="H150" s="1" t="s">
        <v>2126</v>
      </c>
      <c r="I150" s="1" t="str">
        <f t="shared" si="2"/>
        <v>M</v>
      </c>
      <c r="J150" s="1" t="s">
        <v>2882</v>
      </c>
      <c r="K150" s="1" t="s">
        <v>2883</v>
      </c>
      <c r="L150" s="1" t="s">
        <v>2148</v>
      </c>
      <c r="M150" s="1" t="s">
        <v>2884</v>
      </c>
      <c r="N150" s="1" t="s">
        <v>2212</v>
      </c>
      <c r="O150" s="1" t="s">
        <v>90</v>
      </c>
      <c r="P150" s="1" t="s">
        <v>2213</v>
      </c>
      <c r="Q150" s="1" t="s">
        <v>2885</v>
      </c>
    </row>
    <row r="151" spans="1:17" x14ac:dyDescent="0.25">
      <c r="A151" s="38" t="s">
        <v>4834</v>
      </c>
      <c r="B151" s="1">
        <v>150</v>
      </c>
      <c r="C151" s="1" t="s">
        <v>1600</v>
      </c>
      <c r="D151" s="1" t="s">
        <v>2886</v>
      </c>
      <c r="E151" s="1" t="s">
        <v>509</v>
      </c>
      <c r="F151" s="1">
        <v>990935504</v>
      </c>
      <c r="G151" s="1" t="s">
        <v>2887</v>
      </c>
      <c r="H151" s="1" t="s">
        <v>2126</v>
      </c>
      <c r="I151" s="1" t="str">
        <f t="shared" si="2"/>
        <v>M</v>
      </c>
      <c r="J151" s="1" t="s">
        <v>2127</v>
      </c>
      <c r="K151" s="1" t="s">
        <v>919</v>
      </c>
      <c r="L151" s="1" t="s">
        <v>919</v>
      </c>
      <c r="M151" s="1" t="s">
        <v>2888</v>
      </c>
      <c r="N151" s="1" t="s">
        <v>2329</v>
      </c>
      <c r="O151" s="1" t="s">
        <v>90</v>
      </c>
      <c r="P151" s="1" t="s">
        <v>493</v>
      </c>
      <c r="Q151" s="1" t="s">
        <v>2889</v>
      </c>
    </row>
    <row r="152" spans="1:17" x14ac:dyDescent="0.25">
      <c r="A152" s="38" t="s">
        <v>4946</v>
      </c>
      <c r="B152" s="1">
        <v>151</v>
      </c>
      <c r="C152" s="1" t="s">
        <v>2890</v>
      </c>
      <c r="D152" s="1" t="s">
        <v>2891</v>
      </c>
      <c r="E152" s="1" t="s">
        <v>2892</v>
      </c>
      <c r="F152" s="1">
        <v>981451971</v>
      </c>
      <c r="G152" s="1" t="s">
        <v>2893</v>
      </c>
      <c r="H152" s="1" t="s">
        <v>2135</v>
      </c>
      <c r="I152" s="1" t="str">
        <f t="shared" si="2"/>
        <v>F</v>
      </c>
      <c r="J152" s="1" t="s">
        <v>2127</v>
      </c>
      <c r="K152" s="1" t="s">
        <v>919</v>
      </c>
      <c r="L152" s="1" t="s">
        <v>2128</v>
      </c>
      <c r="M152" s="1" t="s">
        <v>2894</v>
      </c>
      <c r="N152" s="1" t="s">
        <v>2698</v>
      </c>
      <c r="O152" s="1" t="s">
        <v>90</v>
      </c>
      <c r="P152" s="1" t="s">
        <v>2699</v>
      </c>
      <c r="Q152" s="1" t="s">
        <v>2895</v>
      </c>
    </row>
    <row r="153" spans="1:17" x14ac:dyDescent="0.25">
      <c r="A153" s="38" t="s">
        <v>4696</v>
      </c>
      <c r="B153" s="1">
        <v>152</v>
      </c>
      <c r="C153" s="1" t="s">
        <v>1471</v>
      </c>
      <c r="D153" s="1" t="s">
        <v>2896</v>
      </c>
      <c r="E153" s="1" t="s">
        <v>291</v>
      </c>
      <c r="F153" s="1">
        <v>969945719</v>
      </c>
      <c r="G153" s="1" t="s">
        <v>2897</v>
      </c>
      <c r="H153" s="1" t="s">
        <v>2135</v>
      </c>
      <c r="I153" s="1" t="str">
        <f t="shared" si="2"/>
        <v>F</v>
      </c>
      <c r="J153" s="1" t="s">
        <v>2156</v>
      </c>
      <c r="K153" s="1" t="s">
        <v>2627</v>
      </c>
      <c r="L153" s="1" t="s">
        <v>2898</v>
      </c>
      <c r="M153" s="1" t="s">
        <v>2899</v>
      </c>
      <c r="N153" s="1" t="s">
        <v>2130</v>
      </c>
      <c r="O153" s="1" t="s">
        <v>90</v>
      </c>
      <c r="P153" s="1" t="s">
        <v>272</v>
      </c>
      <c r="Q153" s="1" t="s">
        <v>2900</v>
      </c>
    </row>
    <row r="154" spans="1:17" x14ac:dyDescent="0.25">
      <c r="A154" s="38" t="s">
        <v>4884</v>
      </c>
      <c r="B154" s="1">
        <v>153</v>
      </c>
      <c r="C154" s="1" t="s">
        <v>2901</v>
      </c>
      <c r="D154" s="1" t="s">
        <v>2902</v>
      </c>
      <c r="E154" s="1" t="s">
        <v>178</v>
      </c>
      <c r="F154" s="1">
        <v>989866778</v>
      </c>
      <c r="G154" s="1" t="s">
        <v>2903</v>
      </c>
      <c r="H154" s="1" t="s">
        <v>2126</v>
      </c>
      <c r="I154" s="1" t="str">
        <f t="shared" si="2"/>
        <v>M</v>
      </c>
      <c r="J154" s="1" t="s">
        <v>2127</v>
      </c>
      <c r="K154" s="1" t="s">
        <v>2127</v>
      </c>
      <c r="L154" s="1" t="s">
        <v>2127</v>
      </c>
      <c r="M154" s="1" t="s">
        <v>2904</v>
      </c>
      <c r="N154" s="1" t="s">
        <v>2194</v>
      </c>
      <c r="O154" s="1" t="s">
        <v>90</v>
      </c>
      <c r="P154" s="1" t="s">
        <v>176</v>
      </c>
      <c r="Q154" s="1" t="s">
        <v>2905</v>
      </c>
    </row>
    <row r="155" spans="1:17" x14ac:dyDescent="0.25">
      <c r="A155" s="38" t="s">
        <v>4852</v>
      </c>
      <c r="B155" s="1">
        <v>154</v>
      </c>
      <c r="C155" s="1" t="s">
        <v>2906</v>
      </c>
      <c r="D155" s="1" t="s">
        <v>2907</v>
      </c>
      <c r="E155" s="1" t="s">
        <v>107</v>
      </c>
      <c r="F155" s="1">
        <v>953113423</v>
      </c>
      <c r="G155" s="1" t="s">
        <v>2908</v>
      </c>
      <c r="H155" s="1" t="s">
        <v>2126</v>
      </c>
      <c r="I155" s="1" t="str">
        <f t="shared" si="2"/>
        <v>M</v>
      </c>
      <c r="J155" s="1" t="s">
        <v>2127</v>
      </c>
      <c r="K155" s="1" t="s">
        <v>2127</v>
      </c>
      <c r="L155" s="1" t="s">
        <v>2843</v>
      </c>
      <c r="M155" s="1" t="s">
        <v>2909</v>
      </c>
      <c r="N155" s="1" t="s">
        <v>2194</v>
      </c>
      <c r="O155" s="1" t="s">
        <v>90</v>
      </c>
      <c r="P155" s="1" t="s">
        <v>91</v>
      </c>
      <c r="Q155" s="1" t="s">
        <v>2910</v>
      </c>
    </row>
    <row r="156" spans="1:17" x14ac:dyDescent="0.25">
      <c r="A156" s="38" t="s">
        <v>4850</v>
      </c>
      <c r="B156" s="1">
        <v>155</v>
      </c>
      <c r="C156" s="1" t="s">
        <v>1615</v>
      </c>
      <c r="D156" s="1" t="s">
        <v>2911</v>
      </c>
      <c r="E156" s="1" t="s">
        <v>103</v>
      </c>
      <c r="F156" s="1">
        <v>912893869</v>
      </c>
      <c r="G156" s="1" t="s">
        <v>2912</v>
      </c>
      <c r="H156" s="1" t="s">
        <v>2126</v>
      </c>
      <c r="I156" s="1" t="str">
        <f t="shared" si="2"/>
        <v>M</v>
      </c>
      <c r="J156" s="1" t="s">
        <v>2127</v>
      </c>
      <c r="K156" s="1" t="s">
        <v>919</v>
      </c>
      <c r="L156" s="1" t="s">
        <v>2128</v>
      </c>
      <c r="M156" s="1" t="s">
        <v>2913</v>
      </c>
      <c r="N156" s="1" t="s">
        <v>2194</v>
      </c>
      <c r="O156" s="1" t="s">
        <v>90</v>
      </c>
      <c r="P156" s="1" t="s">
        <v>91</v>
      </c>
      <c r="Q156" s="1" t="s">
        <v>2914</v>
      </c>
    </row>
    <row r="157" spans="1:17" x14ac:dyDescent="0.25">
      <c r="A157" s="38" t="s">
        <v>4947</v>
      </c>
      <c r="B157" s="1">
        <v>156</v>
      </c>
      <c r="C157" s="1" t="s">
        <v>2915</v>
      </c>
      <c r="D157" s="1" t="s">
        <v>2916</v>
      </c>
      <c r="E157" s="1" t="s">
        <v>2917</v>
      </c>
      <c r="F157" s="1">
        <v>931911145</v>
      </c>
      <c r="G157" s="1" t="s">
        <v>2918</v>
      </c>
      <c r="H157" s="1" t="s">
        <v>2135</v>
      </c>
      <c r="I157" s="1" t="str">
        <f t="shared" si="2"/>
        <v>F</v>
      </c>
      <c r="J157" s="1" t="s">
        <v>2127</v>
      </c>
      <c r="K157" s="1" t="s">
        <v>2127</v>
      </c>
      <c r="L157" s="1" t="s">
        <v>2127</v>
      </c>
      <c r="M157" s="1" t="s">
        <v>2919</v>
      </c>
      <c r="N157" s="1" t="s">
        <v>2130</v>
      </c>
      <c r="O157" s="1" t="s">
        <v>90</v>
      </c>
      <c r="P157" s="1" t="s">
        <v>2586</v>
      </c>
      <c r="Q157" s="1" t="s">
        <v>2920</v>
      </c>
    </row>
    <row r="158" spans="1:17" x14ac:dyDescent="0.25">
      <c r="A158" s="38" t="s">
        <v>4851</v>
      </c>
      <c r="B158" s="1">
        <v>157</v>
      </c>
      <c r="C158" s="1" t="s">
        <v>1616</v>
      </c>
      <c r="D158" s="1" t="s">
        <v>2921</v>
      </c>
      <c r="E158" s="1" t="s">
        <v>105</v>
      </c>
      <c r="F158" s="1">
        <v>939327384</v>
      </c>
      <c r="G158" s="1" t="s">
        <v>2922</v>
      </c>
      <c r="H158" s="1" t="s">
        <v>2135</v>
      </c>
      <c r="I158" s="1" t="str">
        <f t="shared" si="2"/>
        <v>F</v>
      </c>
      <c r="J158" s="1" t="s">
        <v>2127</v>
      </c>
      <c r="K158" s="1" t="s">
        <v>2127</v>
      </c>
      <c r="L158" s="1" t="s">
        <v>2127</v>
      </c>
      <c r="M158" s="1" t="s">
        <v>2923</v>
      </c>
      <c r="N158" s="1" t="s">
        <v>2194</v>
      </c>
      <c r="O158" s="1" t="s">
        <v>90</v>
      </c>
      <c r="P158" s="1" t="s">
        <v>91</v>
      </c>
      <c r="Q158" s="1" t="s">
        <v>2924</v>
      </c>
    </row>
    <row r="159" spans="1:17" x14ac:dyDescent="0.25">
      <c r="A159" s="38" t="s">
        <v>4586</v>
      </c>
      <c r="B159" s="1">
        <v>158</v>
      </c>
      <c r="C159" s="1" t="s">
        <v>1365</v>
      </c>
      <c r="D159" s="1" t="s">
        <v>2925</v>
      </c>
      <c r="E159" s="1" t="s">
        <v>667</v>
      </c>
      <c r="F159" s="1">
        <v>974520117</v>
      </c>
      <c r="G159" s="1" t="s">
        <v>2926</v>
      </c>
      <c r="H159" s="1" t="s">
        <v>2126</v>
      </c>
      <c r="I159" s="1" t="str">
        <f t="shared" si="2"/>
        <v>M</v>
      </c>
      <c r="J159" s="1" t="s">
        <v>2127</v>
      </c>
      <c r="K159" s="1" t="s">
        <v>2127</v>
      </c>
      <c r="L159" s="1" t="s">
        <v>2127</v>
      </c>
      <c r="M159" s="1" t="s">
        <v>2927</v>
      </c>
      <c r="N159" s="1" t="s">
        <v>2140</v>
      </c>
      <c r="O159" s="1" t="s">
        <v>90</v>
      </c>
      <c r="P159" s="1" t="s">
        <v>619</v>
      </c>
      <c r="Q159" s="1" t="s">
        <v>2928</v>
      </c>
    </row>
    <row r="160" spans="1:17" x14ac:dyDescent="0.25">
      <c r="A160" s="38" t="s">
        <v>4948</v>
      </c>
      <c r="B160" s="1">
        <v>159</v>
      </c>
      <c r="C160" s="1" t="s">
        <v>2929</v>
      </c>
      <c r="D160" s="1" t="s">
        <v>2930</v>
      </c>
      <c r="E160" s="1" t="s">
        <v>2931</v>
      </c>
      <c r="F160" s="1">
        <v>964349879</v>
      </c>
      <c r="G160" s="1" t="s">
        <v>2932</v>
      </c>
      <c r="H160" s="1" t="s">
        <v>2126</v>
      </c>
      <c r="I160" s="1" t="str">
        <f t="shared" si="2"/>
        <v>M</v>
      </c>
      <c r="J160" s="1" t="s">
        <v>2127</v>
      </c>
      <c r="K160" s="1" t="s">
        <v>919</v>
      </c>
      <c r="L160" s="1" t="s">
        <v>919</v>
      </c>
      <c r="M160" s="1" t="s">
        <v>2933</v>
      </c>
      <c r="N160" s="1" t="s">
        <v>2212</v>
      </c>
      <c r="O160" s="1" t="s">
        <v>90</v>
      </c>
      <c r="P160" s="1" t="s">
        <v>2213</v>
      </c>
      <c r="Q160" s="1" t="s">
        <v>2934</v>
      </c>
    </row>
    <row r="161" spans="1:17" x14ac:dyDescent="0.25">
      <c r="A161" s="38" t="s">
        <v>4716</v>
      </c>
      <c r="B161" s="1">
        <v>160</v>
      </c>
      <c r="C161" s="1" t="s">
        <v>1490</v>
      </c>
      <c r="D161" s="1" t="s">
        <v>2935</v>
      </c>
      <c r="E161" s="1" t="s">
        <v>331</v>
      </c>
      <c r="F161" s="1">
        <v>936816461</v>
      </c>
      <c r="G161" s="1" t="s">
        <v>2936</v>
      </c>
      <c r="H161" s="1" t="s">
        <v>2135</v>
      </c>
      <c r="I161" s="1" t="str">
        <f t="shared" si="2"/>
        <v>F</v>
      </c>
      <c r="J161" s="1" t="s">
        <v>2127</v>
      </c>
      <c r="K161" s="1" t="s">
        <v>2127</v>
      </c>
      <c r="L161" s="1" t="s">
        <v>2127</v>
      </c>
      <c r="M161" s="1" t="s">
        <v>2937</v>
      </c>
      <c r="N161" s="1" t="s">
        <v>2130</v>
      </c>
      <c r="O161" s="1" t="s">
        <v>90</v>
      </c>
      <c r="P161" s="1" t="s">
        <v>272</v>
      </c>
      <c r="Q161" s="1" t="s">
        <v>2938</v>
      </c>
    </row>
    <row r="162" spans="1:17" x14ac:dyDescent="0.25">
      <c r="A162" s="38" t="s">
        <v>4524</v>
      </c>
      <c r="B162" s="1">
        <v>161</v>
      </c>
      <c r="C162" s="1" t="s">
        <v>1303</v>
      </c>
      <c r="D162" s="1" t="s">
        <v>2939</v>
      </c>
      <c r="E162" s="1" t="s">
        <v>139</v>
      </c>
      <c r="F162" s="1">
        <v>968750910</v>
      </c>
      <c r="G162" s="1" t="s">
        <v>2940</v>
      </c>
      <c r="H162" s="1" t="s">
        <v>2126</v>
      </c>
      <c r="I162" s="1" t="str">
        <f t="shared" si="2"/>
        <v>M</v>
      </c>
      <c r="J162" s="1" t="s">
        <v>2127</v>
      </c>
      <c r="K162" s="1" t="s">
        <v>919</v>
      </c>
      <c r="L162" s="1" t="s">
        <v>2418</v>
      </c>
      <c r="M162" s="1" t="s">
        <v>2941</v>
      </c>
      <c r="N162" s="1" t="s">
        <v>2140</v>
      </c>
      <c r="O162" s="1" t="s">
        <v>90</v>
      </c>
      <c r="P162" s="1" t="s">
        <v>135</v>
      </c>
      <c r="Q162" s="1" t="s">
        <v>2942</v>
      </c>
    </row>
    <row r="163" spans="1:17" x14ac:dyDescent="0.25">
      <c r="A163" s="38" t="s">
        <v>4546</v>
      </c>
      <c r="B163" s="1">
        <v>162</v>
      </c>
      <c r="C163" s="1" t="s">
        <v>2285</v>
      </c>
      <c r="D163" s="1" t="s">
        <v>2943</v>
      </c>
      <c r="E163" s="1" t="s">
        <v>233</v>
      </c>
      <c r="F163" s="1">
        <v>940462464</v>
      </c>
      <c r="G163" s="1" t="s">
        <v>2944</v>
      </c>
      <c r="H163" s="1" t="s">
        <v>2126</v>
      </c>
      <c r="I163" s="1" t="str">
        <f t="shared" si="2"/>
        <v>M</v>
      </c>
      <c r="J163" s="1" t="s">
        <v>2127</v>
      </c>
      <c r="K163" s="1" t="s">
        <v>919</v>
      </c>
      <c r="L163" s="1" t="s">
        <v>919</v>
      </c>
      <c r="M163" s="1" t="s">
        <v>2945</v>
      </c>
      <c r="N163" s="1" t="s">
        <v>2140</v>
      </c>
      <c r="O163" s="1" t="s">
        <v>90</v>
      </c>
      <c r="P163" s="1" t="s">
        <v>223</v>
      </c>
      <c r="Q163" s="1" t="s">
        <v>2946</v>
      </c>
    </row>
    <row r="164" spans="1:17" x14ac:dyDescent="0.25">
      <c r="A164" s="38" t="s">
        <v>4949</v>
      </c>
      <c r="B164" s="1">
        <v>163</v>
      </c>
      <c r="C164" s="1" t="s">
        <v>2947</v>
      </c>
      <c r="D164" s="1" t="s">
        <v>2948</v>
      </c>
      <c r="E164" s="1" t="s">
        <v>218</v>
      </c>
      <c r="F164" s="1">
        <v>979261628</v>
      </c>
      <c r="G164" s="1" t="s">
        <v>2949</v>
      </c>
      <c r="H164" s="1" t="s">
        <v>2126</v>
      </c>
      <c r="I164" s="1" t="str">
        <f t="shared" si="2"/>
        <v>M</v>
      </c>
      <c r="J164" s="1" t="s">
        <v>2127</v>
      </c>
      <c r="K164" s="1" t="s">
        <v>919</v>
      </c>
      <c r="L164" s="1" t="s">
        <v>919</v>
      </c>
      <c r="M164" s="1" t="s">
        <v>2950</v>
      </c>
      <c r="N164" s="1" t="s">
        <v>2194</v>
      </c>
      <c r="O164" s="1" t="s">
        <v>90</v>
      </c>
      <c r="P164" s="1" t="s">
        <v>176</v>
      </c>
      <c r="Q164" s="1" t="s">
        <v>2951</v>
      </c>
    </row>
    <row r="165" spans="1:17" x14ac:dyDescent="0.25">
      <c r="A165" s="38" t="s">
        <v>4950</v>
      </c>
      <c r="B165" s="1">
        <v>164</v>
      </c>
      <c r="C165" s="1" t="s">
        <v>2952</v>
      </c>
      <c r="D165" s="1" t="s">
        <v>2953</v>
      </c>
      <c r="E165" s="1" t="s">
        <v>220</v>
      </c>
      <c r="F165" s="1">
        <v>956670863</v>
      </c>
      <c r="G165" s="1" t="s">
        <v>2954</v>
      </c>
      <c r="H165" s="1" t="s">
        <v>2126</v>
      </c>
      <c r="I165" s="1" t="str">
        <f t="shared" si="2"/>
        <v>M</v>
      </c>
      <c r="J165" s="1" t="s">
        <v>2127</v>
      </c>
      <c r="K165" s="1" t="s">
        <v>919</v>
      </c>
      <c r="L165" s="1" t="s">
        <v>2128</v>
      </c>
      <c r="M165" s="1" t="s">
        <v>2955</v>
      </c>
      <c r="N165" s="1" t="s">
        <v>2194</v>
      </c>
      <c r="O165" s="1" t="s">
        <v>90</v>
      </c>
      <c r="P165" s="1" t="s">
        <v>176</v>
      </c>
      <c r="Q165" s="1" t="s">
        <v>2956</v>
      </c>
    </row>
    <row r="166" spans="1:17" x14ac:dyDescent="0.25">
      <c r="A166" s="38" t="s">
        <v>4951</v>
      </c>
      <c r="B166" s="1">
        <v>165</v>
      </c>
      <c r="C166" s="1" t="s">
        <v>2957</v>
      </c>
      <c r="D166" s="1" t="s">
        <v>2958</v>
      </c>
      <c r="E166" s="1" t="s">
        <v>2959</v>
      </c>
      <c r="F166" s="1">
        <v>945694210</v>
      </c>
      <c r="G166" s="1" t="s">
        <v>2825</v>
      </c>
      <c r="H166" s="1" t="s">
        <v>2135</v>
      </c>
      <c r="I166" s="1" t="str">
        <f t="shared" si="2"/>
        <v>F</v>
      </c>
      <c r="J166" s="1" t="s">
        <v>2127</v>
      </c>
      <c r="K166" s="1" t="s">
        <v>919</v>
      </c>
      <c r="L166" s="1" t="s">
        <v>919</v>
      </c>
      <c r="M166" s="1" t="s">
        <v>2960</v>
      </c>
      <c r="N166" s="1" t="s">
        <v>2167</v>
      </c>
      <c r="O166" s="1" t="s">
        <v>90</v>
      </c>
      <c r="P166" s="1" t="s">
        <v>2168</v>
      </c>
      <c r="Q166" s="1" t="s">
        <v>2961</v>
      </c>
    </row>
    <row r="167" spans="1:17" x14ac:dyDescent="0.25">
      <c r="A167" s="38" t="s">
        <v>4770</v>
      </c>
      <c r="B167" s="1">
        <v>166</v>
      </c>
      <c r="C167" s="1" t="s">
        <v>1543</v>
      </c>
      <c r="D167" s="1" t="s">
        <v>2962</v>
      </c>
      <c r="E167" s="1" t="s">
        <v>376</v>
      </c>
      <c r="F167" s="1">
        <v>957661395</v>
      </c>
      <c r="G167" s="1" t="s">
        <v>2963</v>
      </c>
      <c r="H167" s="1" t="s">
        <v>2135</v>
      </c>
      <c r="I167" s="1" t="str">
        <f t="shared" si="2"/>
        <v>F</v>
      </c>
      <c r="J167" s="1" t="s">
        <v>2156</v>
      </c>
      <c r="K167" s="1" t="s">
        <v>2274</v>
      </c>
      <c r="L167" s="1" t="s">
        <v>2274</v>
      </c>
      <c r="M167" s="1" t="s">
        <v>2964</v>
      </c>
      <c r="N167" s="1" t="s">
        <v>2130</v>
      </c>
      <c r="O167" s="1" t="s">
        <v>90</v>
      </c>
      <c r="P167" s="1" t="s">
        <v>368</v>
      </c>
      <c r="Q167" s="1" t="s">
        <v>2965</v>
      </c>
    </row>
    <row r="168" spans="1:17" x14ac:dyDescent="0.25">
      <c r="A168" s="38" t="s">
        <v>4787</v>
      </c>
      <c r="B168" s="1">
        <v>167</v>
      </c>
      <c r="C168" s="1" t="s">
        <v>2966</v>
      </c>
      <c r="D168" s="1" t="s">
        <v>2967</v>
      </c>
      <c r="E168" s="1" t="s">
        <v>411</v>
      </c>
      <c r="F168" s="1">
        <v>928685358</v>
      </c>
      <c r="G168" s="1" t="s">
        <v>2968</v>
      </c>
      <c r="H168" s="1" t="s">
        <v>2135</v>
      </c>
      <c r="I168" s="1" t="str">
        <f t="shared" si="2"/>
        <v>F</v>
      </c>
      <c r="J168" s="1" t="s">
        <v>2127</v>
      </c>
      <c r="K168" s="1" t="s">
        <v>919</v>
      </c>
      <c r="L168" s="1" t="s">
        <v>2192</v>
      </c>
      <c r="M168" s="1" t="s">
        <v>2969</v>
      </c>
      <c r="N168" s="1" t="s">
        <v>2130</v>
      </c>
      <c r="O168" s="1" t="s">
        <v>90</v>
      </c>
      <c r="P168" s="1" t="s">
        <v>368</v>
      </c>
      <c r="Q168" s="1" t="s">
        <v>2970</v>
      </c>
    </row>
    <row r="169" spans="1:17" x14ac:dyDescent="0.25">
      <c r="A169" s="38" t="s">
        <v>4827</v>
      </c>
      <c r="B169" s="1">
        <v>168</v>
      </c>
      <c r="C169" s="1" t="s">
        <v>2971</v>
      </c>
      <c r="D169" s="1" t="s">
        <v>2972</v>
      </c>
      <c r="E169" s="1" t="s">
        <v>495</v>
      </c>
      <c r="F169" s="1">
        <v>963522492</v>
      </c>
      <c r="G169" s="1" t="s">
        <v>2973</v>
      </c>
      <c r="H169" s="1" t="s">
        <v>2126</v>
      </c>
      <c r="I169" s="1" t="str">
        <f t="shared" si="2"/>
        <v>M</v>
      </c>
      <c r="J169" s="1" t="s">
        <v>2127</v>
      </c>
      <c r="K169" s="1" t="s">
        <v>919</v>
      </c>
      <c r="L169" s="1" t="s">
        <v>2192</v>
      </c>
      <c r="M169" s="1" t="s">
        <v>2974</v>
      </c>
      <c r="N169" s="1" t="s">
        <v>2329</v>
      </c>
      <c r="O169" s="1" t="s">
        <v>90</v>
      </c>
      <c r="P169" s="1" t="s">
        <v>493</v>
      </c>
      <c r="Q169" s="1" t="s">
        <v>2975</v>
      </c>
    </row>
    <row r="170" spans="1:17" x14ac:dyDescent="0.25">
      <c r="A170" s="38" t="s">
        <v>4952</v>
      </c>
      <c r="B170" s="1">
        <v>169</v>
      </c>
      <c r="C170" s="1" t="s">
        <v>2976</v>
      </c>
      <c r="D170" s="1" t="s">
        <v>2977</v>
      </c>
      <c r="E170" s="1" t="s">
        <v>85</v>
      </c>
      <c r="F170" s="1">
        <v>955569541</v>
      </c>
      <c r="G170" s="1" t="s">
        <v>2978</v>
      </c>
      <c r="H170" s="1" t="s">
        <v>2126</v>
      </c>
      <c r="I170" s="1" t="str">
        <f t="shared" si="2"/>
        <v>M</v>
      </c>
      <c r="J170" s="1" t="s">
        <v>2127</v>
      </c>
      <c r="K170" s="1" t="s">
        <v>919</v>
      </c>
      <c r="L170" s="1" t="s">
        <v>919</v>
      </c>
      <c r="M170" s="1" t="s">
        <v>2979</v>
      </c>
      <c r="N170" s="1" t="s">
        <v>2150</v>
      </c>
      <c r="O170" s="1" t="s">
        <v>9</v>
      </c>
      <c r="P170" s="1" t="s">
        <v>53</v>
      </c>
      <c r="Q170" s="1" t="s">
        <v>2980</v>
      </c>
    </row>
    <row r="171" spans="1:17" x14ac:dyDescent="0.25">
      <c r="A171" s="38" t="s">
        <v>4953</v>
      </c>
      <c r="B171" s="1">
        <v>170</v>
      </c>
      <c r="C171" s="1" t="s">
        <v>2981</v>
      </c>
      <c r="D171" s="1" t="s">
        <v>2982</v>
      </c>
      <c r="E171" s="1" t="s">
        <v>2983</v>
      </c>
      <c r="F171" s="1">
        <v>979585022</v>
      </c>
      <c r="G171" s="1" t="s">
        <v>2984</v>
      </c>
      <c r="H171" s="1" t="s">
        <v>2126</v>
      </c>
      <c r="I171" s="1" t="str">
        <f t="shared" si="2"/>
        <v>M</v>
      </c>
      <c r="J171" s="1" t="s">
        <v>2127</v>
      </c>
      <c r="K171" s="1" t="s">
        <v>919</v>
      </c>
      <c r="L171" s="1" t="s">
        <v>919</v>
      </c>
      <c r="M171" s="1" t="s">
        <v>2985</v>
      </c>
      <c r="N171" s="1" t="s">
        <v>2212</v>
      </c>
      <c r="O171" s="1" t="s">
        <v>90</v>
      </c>
      <c r="P171" s="1" t="s">
        <v>2213</v>
      </c>
      <c r="Q171" s="1" t="s">
        <v>2986</v>
      </c>
    </row>
    <row r="172" spans="1:17" x14ac:dyDescent="0.25">
      <c r="A172" s="38" t="s">
        <v>4954</v>
      </c>
      <c r="B172" s="1">
        <v>171</v>
      </c>
      <c r="C172" s="1" t="s">
        <v>2987</v>
      </c>
      <c r="D172" s="1" t="s">
        <v>2988</v>
      </c>
      <c r="E172" s="1" t="s">
        <v>2989</v>
      </c>
      <c r="F172" s="1">
        <v>968288805</v>
      </c>
      <c r="G172" s="1" t="s">
        <v>2990</v>
      </c>
      <c r="H172" s="1" t="s">
        <v>2126</v>
      </c>
      <c r="I172" s="1" t="str">
        <f t="shared" si="2"/>
        <v>M</v>
      </c>
      <c r="J172" s="1" t="s">
        <v>2127</v>
      </c>
      <c r="K172" s="1" t="s">
        <v>919</v>
      </c>
      <c r="L172" s="1" t="s">
        <v>919</v>
      </c>
      <c r="M172" s="1" t="s">
        <v>2991</v>
      </c>
      <c r="N172" s="1" t="s">
        <v>2212</v>
      </c>
      <c r="O172" s="1" t="s">
        <v>90</v>
      </c>
      <c r="P172" s="1" t="s">
        <v>2213</v>
      </c>
      <c r="Q172" s="1" t="s">
        <v>2992</v>
      </c>
    </row>
    <row r="173" spans="1:17" x14ac:dyDescent="0.25">
      <c r="A173" s="38" t="s">
        <v>4583</v>
      </c>
      <c r="B173" s="1">
        <v>172</v>
      </c>
      <c r="C173" s="1" t="s">
        <v>1362</v>
      </c>
      <c r="D173" s="1" t="s">
        <v>2993</v>
      </c>
      <c r="E173" s="1" t="s">
        <v>661</v>
      </c>
      <c r="F173" s="1">
        <v>954885982</v>
      </c>
      <c r="G173" s="1" t="s">
        <v>2994</v>
      </c>
      <c r="H173" s="1" t="s">
        <v>2126</v>
      </c>
      <c r="I173" s="1" t="str">
        <f t="shared" si="2"/>
        <v>M</v>
      </c>
      <c r="J173" s="1" t="s">
        <v>2127</v>
      </c>
      <c r="K173" s="1" t="s">
        <v>919</v>
      </c>
      <c r="L173" s="1" t="s">
        <v>919</v>
      </c>
      <c r="M173" s="1" t="s">
        <v>2995</v>
      </c>
      <c r="N173" s="1" t="s">
        <v>2140</v>
      </c>
      <c r="O173" s="1" t="s">
        <v>90</v>
      </c>
      <c r="P173" s="1" t="s">
        <v>619</v>
      </c>
      <c r="Q173" s="1" t="s">
        <v>2996</v>
      </c>
    </row>
    <row r="174" spans="1:17" x14ac:dyDescent="0.25">
      <c r="A174" s="38" t="s">
        <v>4955</v>
      </c>
      <c r="B174" s="1">
        <v>173</v>
      </c>
      <c r="C174" s="1" t="s">
        <v>2997</v>
      </c>
      <c r="D174" s="1" t="s">
        <v>2998</v>
      </c>
      <c r="E174" s="1" t="s">
        <v>2999</v>
      </c>
      <c r="F174" s="1">
        <v>930754622</v>
      </c>
      <c r="G174" s="1" t="s">
        <v>3000</v>
      </c>
      <c r="H174" s="1" t="s">
        <v>2126</v>
      </c>
      <c r="I174" s="1" t="str">
        <f t="shared" si="2"/>
        <v>M</v>
      </c>
      <c r="J174" s="1" t="s">
        <v>2268</v>
      </c>
      <c r="K174" s="1" t="s">
        <v>3001</v>
      </c>
      <c r="L174" s="1" t="s">
        <v>3001</v>
      </c>
      <c r="M174" s="1" t="s">
        <v>3002</v>
      </c>
      <c r="N174" s="1" t="s">
        <v>2176</v>
      </c>
      <c r="O174" s="1" t="s">
        <v>9</v>
      </c>
      <c r="P174" s="1" t="s">
        <v>2283</v>
      </c>
      <c r="Q174" s="1" t="s">
        <v>3003</v>
      </c>
    </row>
    <row r="175" spans="1:17" x14ac:dyDescent="0.25">
      <c r="A175" s="38" t="s">
        <v>4715</v>
      </c>
      <c r="B175" s="1">
        <v>174</v>
      </c>
      <c r="C175" s="1" t="s">
        <v>1489</v>
      </c>
      <c r="D175" s="1" t="s">
        <v>3004</v>
      </c>
      <c r="E175" s="1" t="s">
        <v>329</v>
      </c>
      <c r="F175" s="1">
        <v>980096005</v>
      </c>
      <c r="G175" s="1" t="s">
        <v>3005</v>
      </c>
      <c r="H175" s="1" t="s">
        <v>2126</v>
      </c>
      <c r="I175" s="1" t="str">
        <f t="shared" si="2"/>
        <v>M</v>
      </c>
      <c r="J175" s="1" t="s">
        <v>2127</v>
      </c>
      <c r="K175" s="1" t="s">
        <v>2127</v>
      </c>
      <c r="L175" s="1" t="s">
        <v>2127</v>
      </c>
      <c r="M175" s="1" t="s">
        <v>3006</v>
      </c>
      <c r="N175" s="1" t="s">
        <v>2130</v>
      </c>
      <c r="O175" s="1" t="s">
        <v>90</v>
      </c>
      <c r="P175" s="1" t="s">
        <v>272</v>
      </c>
      <c r="Q175" s="1" t="s">
        <v>3007</v>
      </c>
    </row>
    <row r="176" spans="1:17" x14ac:dyDescent="0.25">
      <c r="A176" s="38" t="s">
        <v>4748</v>
      </c>
      <c r="B176" s="1">
        <v>175</v>
      </c>
      <c r="C176" s="1" t="s">
        <v>1521</v>
      </c>
      <c r="D176" s="1" t="s">
        <v>3008</v>
      </c>
      <c r="E176" s="1" t="s">
        <v>452</v>
      </c>
      <c r="F176" s="1">
        <v>978185380</v>
      </c>
      <c r="G176" s="1" t="s">
        <v>3009</v>
      </c>
      <c r="H176" s="1" t="s">
        <v>2135</v>
      </c>
      <c r="I176" s="1" t="str">
        <f t="shared" si="2"/>
        <v>F</v>
      </c>
      <c r="J176" s="1" t="s">
        <v>2127</v>
      </c>
      <c r="K176" s="1" t="s">
        <v>2127</v>
      </c>
      <c r="L176" s="1" t="s">
        <v>2382</v>
      </c>
      <c r="M176" s="1" t="s">
        <v>3010</v>
      </c>
      <c r="N176" s="1" t="s">
        <v>2130</v>
      </c>
      <c r="O176" s="1" t="s">
        <v>90</v>
      </c>
      <c r="P176" s="1" t="s">
        <v>418</v>
      </c>
      <c r="Q176" s="1" t="s">
        <v>3011</v>
      </c>
    </row>
    <row r="177" spans="1:17" x14ac:dyDescent="0.25">
      <c r="A177" s="38" t="s">
        <v>4828</v>
      </c>
      <c r="B177" s="1">
        <v>176</v>
      </c>
      <c r="C177" s="1" t="s">
        <v>1594</v>
      </c>
      <c r="D177" s="1" t="s">
        <v>3012</v>
      </c>
      <c r="E177" s="1" t="s">
        <v>497</v>
      </c>
      <c r="F177" s="1">
        <v>960698218</v>
      </c>
      <c r="G177" s="1" t="s">
        <v>3013</v>
      </c>
      <c r="H177" s="1" t="s">
        <v>2126</v>
      </c>
      <c r="I177" s="1" t="str">
        <f t="shared" si="2"/>
        <v>M</v>
      </c>
      <c r="J177" s="1" t="s">
        <v>2127</v>
      </c>
      <c r="K177" s="1" t="s">
        <v>919</v>
      </c>
      <c r="L177" s="1" t="s">
        <v>2128</v>
      </c>
      <c r="M177" s="1" t="s">
        <v>3014</v>
      </c>
      <c r="N177" s="1" t="s">
        <v>2329</v>
      </c>
      <c r="O177" s="1" t="s">
        <v>90</v>
      </c>
      <c r="P177" s="1" t="s">
        <v>493</v>
      </c>
      <c r="Q177" s="1" t="s">
        <v>3015</v>
      </c>
    </row>
    <row r="178" spans="1:17" x14ac:dyDescent="0.25">
      <c r="A178" s="38" t="s">
        <v>4786</v>
      </c>
      <c r="B178" s="1">
        <v>177</v>
      </c>
      <c r="C178" s="1" t="s">
        <v>1558</v>
      </c>
      <c r="D178" s="1" t="s">
        <v>3016</v>
      </c>
      <c r="E178" s="1" t="s">
        <v>408</v>
      </c>
      <c r="F178" s="1">
        <v>923296753</v>
      </c>
      <c r="G178" s="1" t="s">
        <v>3017</v>
      </c>
      <c r="H178" s="1" t="s">
        <v>2135</v>
      </c>
      <c r="I178" s="1" t="str">
        <f t="shared" si="2"/>
        <v>F</v>
      </c>
      <c r="J178" s="1" t="s">
        <v>3018</v>
      </c>
      <c r="K178" s="1" t="s">
        <v>3018</v>
      </c>
      <c r="L178" s="1" t="s">
        <v>3018</v>
      </c>
      <c r="M178" s="1" t="s">
        <v>3019</v>
      </c>
      <c r="N178" s="1" t="s">
        <v>2130</v>
      </c>
      <c r="O178" s="1" t="s">
        <v>90</v>
      </c>
      <c r="P178" s="1" t="s">
        <v>368</v>
      </c>
      <c r="Q178" s="1" t="s">
        <v>3020</v>
      </c>
    </row>
    <row r="179" spans="1:17" x14ac:dyDescent="0.25">
      <c r="A179" s="38" t="s">
        <v>4652</v>
      </c>
      <c r="B179" s="1">
        <v>178</v>
      </c>
      <c r="C179" s="1" t="s">
        <v>1428</v>
      </c>
      <c r="D179" s="1" t="s">
        <v>3021</v>
      </c>
      <c r="E179" s="1" t="s">
        <v>578</v>
      </c>
      <c r="F179" s="1">
        <v>916528098</v>
      </c>
      <c r="G179" s="1" t="s">
        <v>3022</v>
      </c>
      <c r="H179" s="1" t="s">
        <v>2135</v>
      </c>
      <c r="I179" s="1" t="str">
        <f t="shared" si="2"/>
        <v>F</v>
      </c>
      <c r="J179" s="1" t="s">
        <v>2127</v>
      </c>
      <c r="K179" s="1" t="s">
        <v>919</v>
      </c>
      <c r="L179" s="1" t="s">
        <v>919</v>
      </c>
      <c r="M179" s="1" t="s">
        <v>3023</v>
      </c>
      <c r="N179" s="1" t="s">
        <v>2150</v>
      </c>
      <c r="O179" s="1" t="s">
        <v>90</v>
      </c>
      <c r="P179" s="1" t="s">
        <v>532</v>
      </c>
      <c r="Q179" s="1" t="s">
        <v>3024</v>
      </c>
    </row>
    <row r="180" spans="1:17" x14ac:dyDescent="0.25">
      <c r="A180" s="38" t="s">
        <v>4585</v>
      </c>
      <c r="B180" s="1">
        <v>179</v>
      </c>
      <c r="C180" s="1" t="s">
        <v>1364</v>
      </c>
      <c r="D180" s="1" t="s">
        <v>3025</v>
      </c>
      <c r="E180" s="1" t="s">
        <v>665</v>
      </c>
      <c r="F180" s="1">
        <v>972856018</v>
      </c>
      <c r="G180" s="1" t="s">
        <v>3026</v>
      </c>
      <c r="H180" s="1" t="s">
        <v>2126</v>
      </c>
      <c r="I180" s="1" t="str">
        <f t="shared" si="2"/>
        <v>M</v>
      </c>
      <c r="J180" s="1" t="s">
        <v>2127</v>
      </c>
      <c r="K180" s="1" t="s">
        <v>2127</v>
      </c>
      <c r="L180" s="1" t="s">
        <v>2127</v>
      </c>
      <c r="M180" s="1" t="s">
        <v>3027</v>
      </c>
      <c r="N180" s="1" t="s">
        <v>2140</v>
      </c>
      <c r="O180" s="1" t="s">
        <v>90</v>
      </c>
      <c r="P180" s="1" t="s">
        <v>619</v>
      </c>
      <c r="Q180" s="1" t="s">
        <v>3028</v>
      </c>
    </row>
    <row r="181" spans="1:17" x14ac:dyDescent="0.25">
      <c r="A181" s="38" t="s">
        <v>4700</v>
      </c>
      <c r="B181" s="1">
        <v>180</v>
      </c>
      <c r="C181" s="1" t="s">
        <v>1474</v>
      </c>
      <c r="D181" s="1" t="s">
        <v>3029</v>
      </c>
      <c r="E181" s="1" t="s">
        <v>299</v>
      </c>
      <c r="F181" s="1">
        <v>920737473</v>
      </c>
      <c r="G181" s="1" t="s">
        <v>3030</v>
      </c>
      <c r="H181" s="1" t="s">
        <v>2135</v>
      </c>
      <c r="I181" s="1" t="str">
        <f t="shared" si="2"/>
        <v>F</v>
      </c>
      <c r="J181" s="1" t="s">
        <v>2127</v>
      </c>
      <c r="K181" s="1" t="s">
        <v>919</v>
      </c>
      <c r="L181" s="1" t="s">
        <v>2128</v>
      </c>
      <c r="M181" s="1" t="s">
        <v>3031</v>
      </c>
      <c r="N181" s="1" t="s">
        <v>2130</v>
      </c>
      <c r="O181" s="1" t="s">
        <v>90</v>
      </c>
      <c r="P181" s="1" t="s">
        <v>272</v>
      </c>
      <c r="Q181" s="1" t="s">
        <v>3032</v>
      </c>
    </row>
    <row r="182" spans="1:17" x14ac:dyDescent="0.25">
      <c r="A182" s="38" t="s">
        <v>4624</v>
      </c>
      <c r="B182" s="1">
        <v>181</v>
      </c>
      <c r="C182" s="1" t="s">
        <v>1400</v>
      </c>
      <c r="D182" s="1" t="s">
        <v>3033</v>
      </c>
      <c r="E182" s="1" t="s">
        <v>752</v>
      </c>
      <c r="F182" s="1">
        <v>941981267</v>
      </c>
      <c r="G182" s="1" t="s">
        <v>3034</v>
      </c>
      <c r="H182" s="1" t="s">
        <v>2135</v>
      </c>
      <c r="I182" s="1" t="str">
        <f t="shared" si="2"/>
        <v>F</v>
      </c>
      <c r="J182" s="1" t="s">
        <v>2127</v>
      </c>
      <c r="K182" s="1" t="s">
        <v>919</v>
      </c>
      <c r="L182" s="1" t="s">
        <v>2128</v>
      </c>
      <c r="M182" s="1" t="s">
        <v>3035</v>
      </c>
      <c r="N182" s="1" t="s">
        <v>2140</v>
      </c>
      <c r="O182" s="1" t="s">
        <v>90</v>
      </c>
      <c r="P182" s="1" t="s">
        <v>730</v>
      </c>
      <c r="Q182" s="1" t="s">
        <v>3036</v>
      </c>
    </row>
    <row r="183" spans="1:17" x14ac:dyDescent="0.25">
      <c r="A183" s="38" t="s">
        <v>4570</v>
      </c>
      <c r="B183" s="1">
        <v>182</v>
      </c>
      <c r="C183" s="1" t="s">
        <v>3037</v>
      </c>
      <c r="D183" s="1" t="s">
        <v>3038</v>
      </c>
      <c r="E183" s="1" t="s">
        <v>635</v>
      </c>
      <c r="F183" s="1">
        <v>970315835</v>
      </c>
      <c r="G183" s="1" t="s">
        <v>3039</v>
      </c>
      <c r="H183" s="1" t="s">
        <v>2126</v>
      </c>
      <c r="I183" s="1" t="str">
        <f t="shared" si="2"/>
        <v>M</v>
      </c>
      <c r="J183" s="1" t="s">
        <v>2127</v>
      </c>
      <c r="K183" s="1" t="s">
        <v>2127</v>
      </c>
      <c r="L183" s="1" t="s">
        <v>2127</v>
      </c>
      <c r="M183" s="1" t="s">
        <v>3040</v>
      </c>
      <c r="N183" s="1" t="s">
        <v>2140</v>
      </c>
      <c r="O183" s="1" t="s">
        <v>90</v>
      </c>
      <c r="P183" s="1" t="s">
        <v>619</v>
      </c>
      <c r="Q183" s="1" t="s">
        <v>3041</v>
      </c>
    </row>
    <row r="184" spans="1:17" x14ac:dyDescent="0.25">
      <c r="A184" s="38" t="s">
        <v>4674</v>
      </c>
      <c r="B184" s="1">
        <v>183</v>
      </c>
      <c r="C184" s="1" t="s">
        <v>1450</v>
      </c>
      <c r="D184" s="1" t="s">
        <v>3042</v>
      </c>
      <c r="E184" s="1" t="s">
        <v>59</v>
      </c>
      <c r="F184" s="1">
        <v>979259720</v>
      </c>
      <c r="G184" s="1" t="s">
        <v>3043</v>
      </c>
      <c r="H184" s="1" t="s">
        <v>2126</v>
      </c>
      <c r="I184" s="1" t="str">
        <f t="shared" si="2"/>
        <v>M</v>
      </c>
      <c r="J184" s="1" t="s">
        <v>2127</v>
      </c>
      <c r="K184" s="1" t="s">
        <v>919</v>
      </c>
      <c r="L184" s="1" t="s">
        <v>919</v>
      </c>
      <c r="M184" s="1" t="s">
        <v>3044</v>
      </c>
      <c r="N184" s="1" t="s">
        <v>2150</v>
      </c>
      <c r="O184" s="1" t="s">
        <v>9</v>
      </c>
      <c r="P184" s="1" t="s">
        <v>53</v>
      </c>
      <c r="Q184" s="1" t="s">
        <v>3045</v>
      </c>
    </row>
    <row r="185" spans="1:17" x14ac:dyDescent="0.25">
      <c r="A185" s="38" t="s">
        <v>4807</v>
      </c>
      <c r="B185" s="1">
        <v>184</v>
      </c>
      <c r="C185" s="1" t="s">
        <v>1575</v>
      </c>
      <c r="D185" s="1" t="s">
        <v>3046</v>
      </c>
      <c r="E185" s="1" t="s">
        <v>811</v>
      </c>
      <c r="F185" s="1">
        <v>990356090</v>
      </c>
      <c r="G185" s="1" t="s">
        <v>2922</v>
      </c>
      <c r="H185" s="1" t="s">
        <v>2126</v>
      </c>
      <c r="I185" s="1" t="str">
        <f t="shared" si="2"/>
        <v>M</v>
      </c>
      <c r="J185" s="1" t="s">
        <v>2127</v>
      </c>
      <c r="K185" s="1" t="s">
        <v>919</v>
      </c>
      <c r="L185" s="1" t="s">
        <v>919</v>
      </c>
      <c r="M185" s="1" t="s">
        <v>3047</v>
      </c>
      <c r="N185" s="1" t="s">
        <v>2176</v>
      </c>
      <c r="O185" s="1" t="s">
        <v>812</v>
      </c>
      <c r="P185" s="1" t="s">
        <v>813</v>
      </c>
      <c r="Q185" s="1" t="s">
        <v>3048</v>
      </c>
    </row>
    <row r="186" spans="1:17" x14ac:dyDescent="0.25">
      <c r="A186" s="38" t="s">
        <v>4895</v>
      </c>
      <c r="B186" s="1">
        <v>185</v>
      </c>
      <c r="C186" s="1" t="s">
        <v>1653</v>
      </c>
      <c r="D186" s="1" t="s">
        <v>3049</v>
      </c>
      <c r="E186" s="1" t="s">
        <v>200</v>
      </c>
      <c r="F186" s="1">
        <v>978032851</v>
      </c>
      <c r="G186" s="1" t="s">
        <v>3050</v>
      </c>
      <c r="H186" s="1" t="s">
        <v>2126</v>
      </c>
      <c r="I186" s="1" t="str">
        <f t="shared" si="2"/>
        <v>M</v>
      </c>
      <c r="J186" s="1" t="s">
        <v>2127</v>
      </c>
      <c r="K186" s="1" t="s">
        <v>2127</v>
      </c>
      <c r="L186" s="1" t="s">
        <v>2127</v>
      </c>
      <c r="M186" s="1" t="s">
        <v>3051</v>
      </c>
      <c r="N186" s="1" t="s">
        <v>2194</v>
      </c>
      <c r="O186" s="1" t="s">
        <v>90</v>
      </c>
      <c r="P186" s="1" t="s">
        <v>176</v>
      </c>
      <c r="Q186" s="1" t="s">
        <v>3052</v>
      </c>
    </row>
    <row r="187" spans="1:17" x14ac:dyDescent="0.25">
      <c r="A187" s="38" t="s">
        <v>4883</v>
      </c>
      <c r="B187" s="1">
        <v>186</v>
      </c>
      <c r="C187" s="1" t="s">
        <v>1646</v>
      </c>
      <c r="D187" s="1" t="s">
        <v>3053</v>
      </c>
      <c r="E187" s="1" t="s">
        <v>175</v>
      </c>
      <c r="F187" s="1">
        <v>939815572</v>
      </c>
      <c r="G187" s="1" t="s">
        <v>3054</v>
      </c>
      <c r="H187" s="1" t="s">
        <v>2126</v>
      </c>
      <c r="I187" s="1" t="str">
        <f t="shared" si="2"/>
        <v>M</v>
      </c>
      <c r="J187" s="1" t="s">
        <v>2127</v>
      </c>
      <c r="K187" s="1" t="s">
        <v>919</v>
      </c>
      <c r="L187" s="1" t="s">
        <v>2793</v>
      </c>
      <c r="M187" s="1" t="s">
        <v>3055</v>
      </c>
      <c r="N187" s="1" t="s">
        <v>2194</v>
      </c>
      <c r="O187" s="1" t="s">
        <v>90</v>
      </c>
      <c r="P187" s="1" t="s">
        <v>176</v>
      </c>
      <c r="Q187" s="1" t="s">
        <v>3056</v>
      </c>
    </row>
    <row r="188" spans="1:17" x14ac:dyDescent="0.25">
      <c r="A188" s="38" t="s">
        <v>4642</v>
      </c>
      <c r="B188" s="1">
        <v>187</v>
      </c>
      <c r="C188" s="1" t="s">
        <v>1418</v>
      </c>
      <c r="D188" s="1" t="s">
        <v>3057</v>
      </c>
      <c r="E188" s="1" t="s">
        <v>558</v>
      </c>
      <c r="F188" s="1">
        <v>945805328</v>
      </c>
      <c r="G188" s="1" t="s">
        <v>2343</v>
      </c>
      <c r="H188" s="1" t="s">
        <v>2126</v>
      </c>
      <c r="I188" s="1" t="str">
        <f t="shared" si="2"/>
        <v>M</v>
      </c>
      <c r="J188" s="1" t="s">
        <v>2127</v>
      </c>
      <c r="K188" s="1" t="s">
        <v>919</v>
      </c>
      <c r="L188" s="1" t="s">
        <v>919</v>
      </c>
      <c r="M188" s="1" t="s">
        <v>3058</v>
      </c>
      <c r="N188" s="1" t="s">
        <v>2150</v>
      </c>
      <c r="O188" s="1" t="s">
        <v>90</v>
      </c>
      <c r="P188" s="1" t="s">
        <v>532</v>
      </c>
      <c r="Q188" s="1" t="s">
        <v>3059</v>
      </c>
    </row>
    <row r="189" spans="1:17" x14ac:dyDescent="0.25">
      <c r="A189" s="38" t="s">
        <v>4710</v>
      </c>
      <c r="B189" s="1">
        <v>188</v>
      </c>
      <c r="C189" s="1" t="s">
        <v>1484</v>
      </c>
      <c r="D189" s="1" t="s">
        <v>3060</v>
      </c>
      <c r="E189" s="1" t="s">
        <v>319</v>
      </c>
      <c r="F189" s="1">
        <v>941864115</v>
      </c>
      <c r="G189" s="1" t="s">
        <v>3061</v>
      </c>
      <c r="H189" s="1" t="s">
        <v>2126</v>
      </c>
      <c r="I189" s="1" t="str">
        <f t="shared" si="2"/>
        <v>M</v>
      </c>
      <c r="J189" s="1" t="s">
        <v>2156</v>
      </c>
      <c r="K189" s="1" t="s">
        <v>2274</v>
      </c>
      <c r="L189" s="1" t="s">
        <v>2274</v>
      </c>
      <c r="M189" s="1" t="s">
        <v>3062</v>
      </c>
      <c r="N189" s="1" t="s">
        <v>2130</v>
      </c>
      <c r="O189" s="1" t="s">
        <v>90</v>
      </c>
      <c r="P189" s="1" t="s">
        <v>272</v>
      </c>
      <c r="Q189" s="1" t="s">
        <v>3063</v>
      </c>
    </row>
    <row r="190" spans="1:17" x14ac:dyDescent="0.25">
      <c r="A190" s="38" t="s">
        <v>4547</v>
      </c>
      <c r="B190" s="1">
        <v>189</v>
      </c>
      <c r="C190" s="1" t="s">
        <v>1325</v>
      </c>
      <c r="D190" s="1" t="s">
        <v>3064</v>
      </c>
      <c r="E190" s="1" t="s">
        <v>235</v>
      </c>
      <c r="F190" s="1">
        <v>903358427</v>
      </c>
      <c r="G190" s="1" t="s">
        <v>3065</v>
      </c>
      <c r="H190" s="1" t="s">
        <v>2126</v>
      </c>
      <c r="I190" s="1" t="str">
        <f t="shared" si="2"/>
        <v>M</v>
      </c>
      <c r="J190" s="1" t="s">
        <v>2127</v>
      </c>
      <c r="K190" s="1" t="s">
        <v>919</v>
      </c>
      <c r="L190" s="1" t="s">
        <v>2128</v>
      </c>
      <c r="M190" s="1" t="s">
        <v>3066</v>
      </c>
      <c r="N190" s="1" t="s">
        <v>2140</v>
      </c>
      <c r="O190" s="1" t="s">
        <v>90</v>
      </c>
      <c r="P190" s="1" t="s">
        <v>223</v>
      </c>
      <c r="Q190" s="1" t="s">
        <v>3067</v>
      </c>
    </row>
    <row r="191" spans="1:17" x14ac:dyDescent="0.25">
      <c r="A191" s="38" t="s">
        <v>4956</v>
      </c>
      <c r="B191" s="1">
        <v>190</v>
      </c>
      <c r="C191" s="1" t="s">
        <v>3068</v>
      </c>
      <c r="D191" s="1" t="s">
        <v>3069</v>
      </c>
      <c r="E191" s="1" t="s">
        <v>3070</v>
      </c>
      <c r="F191" s="1">
        <v>991843584</v>
      </c>
      <c r="G191" s="1" t="s">
        <v>3071</v>
      </c>
      <c r="H191" s="1" t="s">
        <v>2126</v>
      </c>
      <c r="I191" s="1" t="str">
        <f t="shared" si="2"/>
        <v>M</v>
      </c>
      <c r="J191" s="1" t="s">
        <v>2156</v>
      </c>
      <c r="K191" s="1" t="s">
        <v>2156</v>
      </c>
      <c r="L191" s="1" t="s">
        <v>2156</v>
      </c>
      <c r="M191" s="1" t="s">
        <v>3072</v>
      </c>
      <c r="N191" s="1" t="s">
        <v>2167</v>
      </c>
      <c r="O191" s="1" t="s">
        <v>90</v>
      </c>
      <c r="P191" s="1" t="s">
        <v>2168</v>
      </c>
      <c r="Q191" s="1" t="s">
        <v>3073</v>
      </c>
    </row>
    <row r="192" spans="1:17" x14ac:dyDescent="0.25">
      <c r="A192" s="38" t="s">
        <v>4539</v>
      </c>
      <c r="B192" s="1">
        <v>191</v>
      </c>
      <c r="C192" s="1" t="s">
        <v>1317</v>
      </c>
      <c r="D192" s="1" t="s">
        <v>3074</v>
      </c>
      <c r="E192" s="1" t="s">
        <v>167</v>
      </c>
      <c r="F192" s="1">
        <v>977489076</v>
      </c>
      <c r="G192" s="1" t="s">
        <v>3075</v>
      </c>
      <c r="H192" s="1" t="s">
        <v>2126</v>
      </c>
      <c r="I192" s="1" t="str">
        <f t="shared" si="2"/>
        <v>M</v>
      </c>
      <c r="J192" s="1" t="s">
        <v>2127</v>
      </c>
      <c r="K192" s="1" t="s">
        <v>2127</v>
      </c>
      <c r="L192" s="1" t="s">
        <v>2127</v>
      </c>
      <c r="M192" s="1" t="s">
        <v>3076</v>
      </c>
      <c r="N192" s="1" t="s">
        <v>2140</v>
      </c>
      <c r="O192" s="1" t="s">
        <v>90</v>
      </c>
      <c r="P192" s="1" t="s">
        <v>135</v>
      </c>
      <c r="Q192" s="1" t="s">
        <v>3077</v>
      </c>
    </row>
    <row r="193" spans="1:17" x14ac:dyDescent="0.25">
      <c r="A193" s="38" t="s">
        <v>4784</v>
      </c>
      <c r="B193" s="1">
        <v>192</v>
      </c>
      <c r="C193" s="1" t="s">
        <v>3078</v>
      </c>
      <c r="D193" s="1" t="s">
        <v>3079</v>
      </c>
      <c r="E193" s="1" t="s">
        <v>404</v>
      </c>
      <c r="F193" s="1">
        <v>949695725</v>
      </c>
      <c r="G193" s="1" t="s">
        <v>3080</v>
      </c>
      <c r="H193" s="1" t="s">
        <v>2126</v>
      </c>
      <c r="I193" s="1" t="str">
        <f t="shared" si="2"/>
        <v>M</v>
      </c>
      <c r="J193" s="1" t="s">
        <v>2156</v>
      </c>
      <c r="K193" s="1" t="s">
        <v>2156</v>
      </c>
      <c r="L193" s="1" t="s">
        <v>3081</v>
      </c>
      <c r="M193" s="1" t="s">
        <v>3082</v>
      </c>
      <c r="N193" s="1" t="s">
        <v>2130</v>
      </c>
      <c r="O193" s="1" t="s">
        <v>90</v>
      </c>
      <c r="P193" s="1" t="s">
        <v>368</v>
      </c>
      <c r="Q193" s="1" t="s">
        <v>3083</v>
      </c>
    </row>
    <row r="194" spans="1:17" x14ac:dyDescent="0.25">
      <c r="A194" s="38" t="s">
        <v>4738</v>
      </c>
      <c r="B194" s="1">
        <v>193</v>
      </c>
      <c r="C194" s="1" t="s">
        <v>1511</v>
      </c>
      <c r="D194" s="1" t="s">
        <v>3084</v>
      </c>
      <c r="E194" s="1" t="s">
        <v>432</v>
      </c>
      <c r="F194" s="1">
        <v>939664508</v>
      </c>
      <c r="G194" s="1" t="s">
        <v>3085</v>
      </c>
      <c r="H194" s="1" t="s">
        <v>2135</v>
      </c>
      <c r="I194" s="1" t="str">
        <f t="shared" si="2"/>
        <v>F</v>
      </c>
      <c r="J194" s="1" t="s">
        <v>2127</v>
      </c>
      <c r="K194" s="1" t="s">
        <v>2127</v>
      </c>
      <c r="L194" s="1" t="s">
        <v>2127</v>
      </c>
      <c r="M194" s="1" t="s">
        <v>3086</v>
      </c>
      <c r="N194" s="1" t="s">
        <v>2130</v>
      </c>
      <c r="O194" s="1" t="s">
        <v>90</v>
      </c>
      <c r="P194" s="1" t="s">
        <v>418</v>
      </c>
      <c r="Q194" s="1" t="s">
        <v>3087</v>
      </c>
    </row>
    <row r="195" spans="1:17" x14ac:dyDescent="0.25">
      <c r="A195" s="38" t="s">
        <v>4702</v>
      </c>
      <c r="B195" s="1">
        <v>194</v>
      </c>
      <c r="C195" s="1" t="s">
        <v>1476</v>
      </c>
      <c r="D195" s="1" t="s">
        <v>3088</v>
      </c>
      <c r="E195" s="1" t="s">
        <v>303</v>
      </c>
      <c r="F195" s="1">
        <v>979146449</v>
      </c>
      <c r="G195" s="1" t="s">
        <v>3089</v>
      </c>
      <c r="H195" s="1" t="s">
        <v>2126</v>
      </c>
      <c r="I195" s="1" t="str">
        <f t="shared" ref="I195:I258" si="3">IF(H195="MaSculino","M","F")</f>
        <v>M</v>
      </c>
      <c r="J195" s="1" t="s">
        <v>2127</v>
      </c>
      <c r="K195" s="1" t="s">
        <v>919</v>
      </c>
      <c r="L195" s="1" t="s">
        <v>2128</v>
      </c>
      <c r="M195" s="1" t="s">
        <v>3090</v>
      </c>
      <c r="N195" s="1" t="s">
        <v>2130</v>
      </c>
      <c r="O195" s="1" t="s">
        <v>90</v>
      </c>
      <c r="P195" s="1" t="s">
        <v>272</v>
      </c>
      <c r="Q195" s="1" t="s">
        <v>3091</v>
      </c>
    </row>
    <row r="196" spans="1:17" x14ac:dyDescent="0.25">
      <c r="A196" s="38" t="s">
        <v>4708</v>
      </c>
      <c r="B196" s="1">
        <v>195</v>
      </c>
      <c r="C196" s="1" t="s">
        <v>1482</v>
      </c>
      <c r="D196" s="1" t="s">
        <v>3092</v>
      </c>
      <c r="E196" s="1" t="s">
        <v>315</v>
      </c>
      <c r="F196" s="1">
        <v>934671979</v>
      </c>
      <c r="G196" s="1" t="s">
        <v>3093</v>
      </c>
      <c r="H196" s="1" t="s">
        <v>2126</v>
      </c>
      <c r="I196" s="1" t="str">
        <f t="shared" si="3"/>
        <v>M</v>
      </c>
      <c r="J196" s="1" t="s">
        <v>2268</v>
      </c>
      <c r="K196" s="1" t="s">
        <v>3001</v>
      </c>
      <c r="L196" s="1" t="s">
        <v>2275</v>
      </c>
      <c r="M196" s="1" t="s">
        <v>3094</v>
      </c>
      <c r="N196" s="1" t="s">
        <v>2130</v>
      </c>
      <c r="O196" s="1" t="s">
        <v>90</v>
      </c>
      <c r="P196" s="1" t="s">
        <v>272</v>
      </c>
      <c r="Q196" s="1" t="s">
        <v>3095</v>
      </c>
    </row>
    <row r="197" spans="1:17" x14ac:dyDescent="0.25">
      <c r="A197" s="38" t="s">
        <v>4957</v>
      </c>
      <c r="B197" s="1">
        <v>196</v>
      </c>
      <c r="C197" s="1" t="s">
        <v>3096</v>
      </c>
      <c r="D197" s="1" t="s">
        <v>3097</v>
      </c>
      <c r="E197" s="1" t="s">
        <v>3098</v>
      </c>
      <c r="F197" s="1">
        <v>926816191</v>
      </c>
      <c r="G197" s="1" t="s">
        <v>3099</v>
      </c>
      <c r="H197" s="1" t="s">
        <v>2135</v>
      </c>
      <c r="I197" s="1" t="str">
        <f t="shared" si="3"/>
        <v>F</v>
      </c>
      <c r="J197" s="1" t="s">
        <v>2156</v>
      </c>
      <c r="K197" s="1" t="s">
        <v>2274</v>
      </c>
      <c r="L197" s="1" t="s">
        <v>2274</v>
      </c>
      <c r="M197" s="1" t="s">
        <v>3100</v>
      </c>
      <c r="N197" s="1" t="s">
        <v>2167</v>
      </c>
      <c r="O197" s="1" t="s">
        <v>90</v>
      </c>
      <c r="P197" s="1" t="s">
        <v>2168</v>
      </c>
      <c r="Q197" s="1" t="s">
        <v>3101</v>
      </c>
    </row>
    <row r="198" spans="1:17" x14ac:dyDescent="0.25">
      <c r="A198" s="38" t="s">
        <v>4720</v>
      </c>
      <c r="B198" s="1">
        <v>197</v>
      </c>
      <c r="C198" s="1" t="s">
        <v>1494</v>
      </c>
      <c r="D198" s="1" t="s">
        <v>3092</v>
      </c>
      <c r="E198" s="1" t="s">
        <v>339</v>
      </c>
      <c r="F198" s="1">
        <v>955329861</v>
      </c>
      <c r="G198" s="1" t="s">
        <v>3102</v>
      </c>
      <c r="H198" s="1" t="s">
        <v>2135</v>
      </c>
      <c r="I198" s="1" t="str">
        <f t="shared" si="3"/>
        <v>F</v>
      </c>
      <c r="J198" s="1" t="s">
        <v>2268</v>
      </c>
      <c r="K198" s="1" t="s">
        <v>3001</v>
      </c>
      <c r="L198" s="1" t="s">
        <v>2275</v>
      </c>
      <c r="M198" s="1" t="s">
        <v>3103</v>
      </c>
      <c r="N198" s="1" t="s">
        <v>2130</v>
      </c>
      <c r="O198" s="1" t="s">
        <v>90</v>
      </c>
      <c r="P198" s="1" t="s">
        <v>272</v>
      </c>
      <c r="Q198" s="1" t="s">
        <v>3104</v>
      </c>
    </row>
    <row r="199" spans="1:17" x14ac:dyDescent="0.25">
      <c r="A199" s="38" t="s">
        <v>4820</v>
      </c>
      <c r="B199" s="1">
        <v>198</v>
      </c>
      <c r="C199" s="1" t="s">
        <v>1587</v>
      </c>
      <c r="D199" s="1" t="s">
        <v>3105</v>
      </c>
      <c r="E199" s="1" t="s">
        <v>839</v>
      </c>
      <c r="F199" s="1">
        <v>900651194</v>
      </c>
      <c r="G199" s="1" t="s">
        <v>3106</v>
      </c>
      <c r="H199" s="1" t="s">
        <v>2135</v>
      </c>
      <c r="I199" s="1" t="str">
        <f t="shared" si="3"/>
        <v>F</v>
      </c>
      <c r="J199" s="1" t="s">
        <v>2268</v>
      </c>
      <c r="K199" s="1" t="s">
        <v>2268</v>
      </c>
      <c r="L199" s="1" t="s">
        <v>3107</v>
      </c>
      <c r="M199" s="1" t="s">
        <v>3108</v>
      </c>
      <c r="N199" s="1" t="s">
        <v>2176</v>
      </c>
      <c r="O199" s="1" t="s">
        <v>812</v>
      </c>
      <c r="P199" s="1" t="s">
        <v>813</v>
      </c>
      <c r="Q199" s="1" t="s">
        <v>3109</v>
      </c>
    </row>
    <row r="200" spans="1:17" x14ac:dyDescent="0.25">
      <c r="A200" s="38" t="s">
        <v>4958</v>
      </c>
      <c r="B200" s="1">
        <v>199</v>
      </c>
      <c r="C200" s="1" t="s">
        <v>3110</v>
      </c>
      <c r="D200" s="1" t="s">
        <v>3111</v>
      </c>
      <c r="E200" s="1" t="s">
        <v>3112</v>
      </c>
      <c r="F200" s="1">
        <v>972600365</v>
      </c>
      <c r="G200" s="1" t="s">
        <v>3113</v>
      </c>
      <c r="H200" s="1" t="s">
        <v>2126</v>
      </c>
      <c r="I200" s="1" t="str">
        <f t="shared" si="3"/>
        <v>M</v>
      </c>
      <c r="J200" s="1" t="s">
        <v>2127</v>
      </c>
      <c r="K200" s="1" t="s">
        <v>919</v>
      </c>
      <c r="L200" s="1" t="s">
        <v>919</v>
      </c>
      <c r="M200" s="1" t="s">
        <v>3114</v>
      </c>
      <c r="N200" s="1" t="s">
        <v>2140</v>
      </c>
      <c r="O200" s="1" t="s">
        <v>9</v>
      </c>
      <c r="P200" s="1" t="s">
        <v>2446</v>
      </c>
      <c r="Q200" s="1" t="s">
        <v>3115</v>
      </c>
    </row>
    <row r="201" spans="1:17" x14ac:dyDescent="0.25">
      <c r="A201" s="38" t="s">
        <v>4654</v>
      </c>
      <c r="B201" s="1">
        <v>200</v>
      </c>
      <c r="C201" s="1" t="s">
        <v>1430</v>
      </c>
      <c r="D201" s="1" t="s">
        <v>3116</v>
      </c>
      <c r="E201" s="1" t="s">
        <v>582</v>
      </c>
      <c r="F201" s="1">
        <v>996818414</v>
      </c>
      <c r="G201" s="1" t="s">
        <v>3117</v>
      </c>
      <c r="H201" s="1" t="s">
        <v>2135</v>
      </c>
      <c r="I201" s="1" t="str">
        <f t="shared" si="3"/>
        <v>F</v>
      </c>
      <c r="J201" s="1" t="s">
        <v>2127</v>
      </c>
      <c r="K201" s="1" t="s">
        <v>919</v>
      </c>
      <c r="L201" s="1" t="s">
        <v>919</v>
      </c>
      <c r="M201" s="1" t="s">
        <v>3118</v>
      </c>
      <c r="N201" s="1" t="s">
        <v>2150</v>
      </c>
      <c r="O201" s="1" t="s">
        <v>90</v>
      </c>
      <c r="P201" s="1" t="s">
        <v>532</v>
      </c>
      <c r="Q201" s="1" t="s">
        <v>3119</v>
      </c>
    </row>
    <row r="202" spans="1:17" x14ac:dyDescent="0.25">
      <c r="A202" s="38" t="s">
        <v>4741</v>
      </c>
      <c r="B202" s="1">
        <v>201</v>
      </c>
      <c r="C202" s="1" t="s">
        <v>1514</v>
      </c>
      <c r="D202" s="1" t="s">
        <v>3120</v>
      </c>
      <c r="E202" s="1" t="s">
        <v>438</v>
      </c>
      <c r="F202" s="1">
        <v>981386020</v>
      </c>
      <c r="G202" s="1" t="s">
        <v>3121</v>
      </c>
      <c r="H202" s="1" t="s">
        <v>2126</v>
      </c>
      <c r="I202" s="1" t="str">
        <f t="shared" si="3"/>
        <v>M</v>
      </c>
      <c r="J202" s="1" t="s">
        <v>2127</v>
      </c>
      <c r="K202" s="1" t="s">
        <v>919</v>
      </c>
      <c r="L202" s="1" t="s">
        <v>3122</v>
      </c>
      <c r="M202" s="1" t="s">
        <v>3123</v>
      </c>
      <c r="N202" s="1" t="s">
        <v>2130</v>
      </c>
      <c r="O202" s="1" t="s">
        <v>90</v>
      </c>
      <c r="P202" s="1" t="s">
        <v>418</v>
      </c>
      <c r="Q202" s="1" t="s">
        <v>3124</v>
      </c>
    </row>
    <row r="203" spans="1:17" x14ac:dyDescent="0.25">
      <c r="A203" s="38" t="s">
        <v>4745</v>
      </c>
      <c r="B203" s="1">
        <v>202</v>
      </c>
      <c r="C203" s="1" t="s">
        <v>1518</v>
      </c>
      <c r="D203" s="1" t="s">
        <v>3125</v>
      </c>
      <c r="E203" s="1" t="s">
        <v>446</v>
      </c>
      <c r="F203" s="1">
        <v>970133837</v>
      </c>
      <c r="G203" s="1" t="s">
        <v>3126</v>
      </c>
      <c r="H203" s="1" t="s">
        <v>2135</v>
      </c>
      <c r="I203" s="1" t="str">
        <f t="shared" si="3"/>
        <v>F</v>
      </c>
      <c r="J203" s="1" t="s">
        <v>2127</v>
      </c>
      <c r="K203" s="1" t="s">
        <v>919</v>
      </c>
      <c r="L203" s="1" t="s">
        <v>919</v>
      </c>
      <c r="M203" s="1" t="s">
        <v>3127</v>
      </c>
      <c r="N203" s="1" t="s">
        <v>2130</v>
      </c>
      <c r="O203" s="1" t="s">
        <v>90</v>
      </c>
      <c r="P203" s="1" t="s">
        <v>418</v>
      </c>
      <c r="Q203" s="1" t="s">
        <v>3128</v>
      </c>
    </row>
    <row r="204" spans="1:17" x14ac:dyDescent="0.25">
      <c r="A204" s="38" t="s">
        <v>4774</v>
      </c>
      <c r="B204" s="1">
        <v>203</v>
      </c>
      <c r="C204" s="1" t="s">
        <v>1547</v>
      </c>
      <c r="D204" s="1" t="s">
        <v>3129</v>
      </c>
      <c r="E204" s="1" t="s">
        <v>384</v>
      </c>
      <c r="F204" s="1">
        <v>927715022</v>
      </c>
      <c r="G204" s="1" t="s">
        <v>3130</v>
      </c>
      <c r="H204" s="1" t="s">
        <v>2126</v>
      </c>
      <c r="I204" s="1" t="str">
        <f t="shared" si="3"/>
        <v>M</v>
      </c>
      <c r="J204" s="1" t="s">
        <v>2127</v>
      </c>
      <c r="K204" s="1" t="s">
        <v>2127</v>
      </c>
      <c r="L204" s="1" t="s">
        <v>2127</v>
      </c>
      <c r="M204" s="1" t="s">
        <v>3131</v>
      </c>
      <c r="N204" s="1" t="s">
        <v>2130</v>
      </c>
      <c r="O204" s="1" t="s">
        <v>90</v>
      </c>
      <c r="P204" s="1" t="s">
        <v>368</v>
      </c>
      <c r="Q204" s="1" t="s">
        <v>3132</v>
      </c>
    </row>
    <row r="205" spans="1:17" x14ac:dyDescent="0.25">
      <c r="A205" s="38" t="s">
        <v>4780</v>
      </c>
      <c r="B205" s="1">
        <v>204</v>
      </c>
      <c r="C205" s="1" t="s">
        <v>1443</v>
      </c>
      <c r="D205" s="1" t="s">
        <v>3133</v>
      </c>
      <c r="E205" s="1" t="s">
        <v>396</v>
      </c>
      <c r="F205" s="1">
        <v>983896674</v>
      </c>
      <c r="G205" s="1" t="s">
        <v>3134</v>
      </c>
      <c r="H205" s="1" t="s">
        <v>2135</v>
      </c>
      <c r="I205" s="1" t="str">
        <f t="shared" si="3"/>
        <v>F</v>
      </c>
      <c r="J205" s="1" t="s">
        <v>2127</v>
      </c>
      <c r="K205" s="1" t="s">
        <v>2127</v>
      </c>
      <c r="L205" s="1" t="s">
        <v>2127</v>
      </c>
      <c r="M205" s="1" t="s">
        <v>3135</v>
      </c>
      <c r="N205" s="1" t="s">
        <v>2130</v>
      </c>
      <c r="O205" s="1" t="s">
        <v>90</v>
      </c>
      <c r="P205" s="1" t="s">
        <v>368</v>
      </c>
      <c r="Q205" s="1" t="s">
        <v>3136</v>
      </c>
    </row>
    <row r="206" spans="1:17" x14ac:dyDescent="0.25">
      <c r="A206" s="38" t="s">
        <v>4698</v>
      </c>
      <c r="B206" s="1">
        <v>205</v>
      </c>
      <c r="C206" s="1" t="s">
        <v>1305</v>
      </c>
      <c r="D206" s="1" t="s">
        <v>3137</v>
      </c>
      <c r="E206" s="1" t="s">
        <v>295</v>
      </c>
      <c r="F206" s="1">
        <v>981228668</v>
      </c>
      <c r="G206" s="1" t="s">
        <v>3138</v>
      </c>
      <c r="H206" s="1" t="s">
        <v>2126</v>
      </c>
      <c r="I206" s="1" t="str">
        <f t="shared" si="3"/>
        <v>M</v>
      </c>
      <c r="J206" s="1" t="s">
        <v>2127</v>
      </c>
      <c r="K206" s="1" t="s">
        <v>2127</v>
      </c>
      <c r="L206" s="1" t="s">
        <v>2803</v>
      </c>
      <c r="M206" s="1" t="s">
        <v>3139</v>
      </c>
      <c r="N206" s="1" t="s">
        <v>2130</v>
      </c>
      <c r="O206" s="1" t="s">
        <v>90</v>
      </c>
      <c r="P206" s="1" t="s">
        <v>272</v>
      </c>
      <c r="Q206" s="1" t="s">
        <v>3140</v>
      </c>
    </row>
    <row r="207" spans="1:17" x14ac:dyDescent="0.25">
      <c r="A207" s="38" t="s">
        <v>4879</v>
      </c>
      <c r="B207" s="1">
        <v>206</v>
      </c>
      <c r="C207" s="1" t="s">
        <v>3141</v>
      </c>
      <c r="D207" s="1" t="s">
        <v>3142</v>
      </c>
      <c r="E207" s="1" t="s">
        <v>799</v>
      </c>
      <c r="F207" s="1">
        <v>943873493</v>
      </c>
      <c r="G207" s="1" t="s">
        <v>3143</v>
      </c>
      <c r="H207" s="1" t="s">
        <v>2135</v>
      </c>
      <c r="I207" s="1" t="str">
        <f t="shared" si="3"/>
        <v>F</v>
      </c>
      <c r="J207" s="1" t="s">
        <v>2127</v>
      </c>
      <c r="K207" s="1" t="s">
        <v>919</v>
      </c>
      <c r="L207" s="1" t="s">
        <v>919</v>
      </c>
      <c r="M207" s="1" t="s">
        <v>3144</v>
      </c>
      <c r="N207" s="1" t="s">
        <v>2194</v>
      </c>
      <c r="O207" s="1" t="s">
        <v>90</v>
      </c>
      <c r="P207" s="1" t="s">
        <v>769</v>
      </c>
      <c r="Q207" s="1" t="s">
        <v>3145</v>
      </c>
    </row>
    <row r="208" spans="1:17" x14ac:dyDescent="0.25">
      <c r="A208" s="38" t="s">
        <v>4661</v>
      </c>
      <c r="B208" s="1">
        <v>207</v>
      </c>
      <c r="C208" s="1" t="s">
        <v>1437</v>
      </c>
      <c r="D208" s="1" t="s">
        <v>3146</v>
      </c>
      <c r="E208" s="1" t="s">
        <v>596</v>
      </c>
      <c r="F208" s="1">
        <v>977834319</v>
      </c>
      <c r="G208" s="1" t="s">
        <v>3147</v>
      </c>
      <c r="H208" s="1" t="s">
        <v>2126</v>
      </c>
      <c r="I208" s="1" t="str">
        <f t="shared" si="3"/>
        <v>M</v>
      </c>
      <c r="J208" s="1" t="s">
        <v>2127</v>
      </c>
      <c r="K208" s="1" t="s">
        <v>919</v>
      </c>
      <c r="L208" s="1" t="s">
        <v>919</v>
      </c>
      <c r="M208" s="1" t="s">
        <v>3148</v>
      </c>
      <c r="N208" s="1" t="s">
        <v>2150</v>
      </c>
      <c r="O208" s="1" t="s">
        <v>90</v>
      </c>
      <c r="P208" s="1" t="s">
        <v>532</v>
      </c>
      <c r="Q208" s="1" t="s">
        <v>3149</v>
      </c>
    </row>
    <row r="209" spans="1:17" x14ac:dyDescent="0.25">
      <c r="A209" s="38" t="s">
        <v>4559</v>
      </c>
      <c r="B209" s="1">
        <v>208</v>
      </c>
      <c r="C209" s="1" t="s">
        <v>1338</v>
      </c>
      <c r="D209" s="1" t="s">
        <v>3150</v>
      </c>
      <c r="E209" s="1" t="s">
        <v>261</v>
      </c>
      <c r="F209" s="1">
        <v>976169053</v>
      </c>
      <c r="G209" s="1" t="s">
        <v>3151</v>
      </c>
      <c r="H209" s="1" t="s">
        <v>2135</v>
      </c>
      <c r="I209" s="1" t="str">
        <f t="shared" si="3"/>
        <v>F</v>
      </c>
      <c r="J209" s="1" t="s">
        <v>2127</v>
      </c>
      <c r="K209" s="1" t="s">
        <v>919</v>
      </c>
      <c r="L209" s="1" t="s">
        <v>919</v>
      </c>
      <c r="M209" s="1" t="s">
        <v>3152</v>
      </c>
      <c r="N209" s="1" t="s">
        <v>2140</v>
      </c>
      <c r="O209" s="1" t="s">
        <v>90</v>
      </c>
      <c r="P209" s="1" t="s">
        <v>223</v>
      </c>
      <c r="Q209" s="1" t="s">
        <v>3153</v>
      </c>
    </row>
    <row r="210" spans="1:17" x14ac:dyDescent="0.25">
      <c r="A210" s="38" t="s">
        <v>4959</v>
      </c>
      <c r="B210" s="1">
        <v>209</v>
      </c>
      <c r="C210" s="1" t="s">
        <v>3154</v>
      </c>
      <c r="D210" s="1" t="s">
        <v>3155</v>
      </c>
      <c r="E210" s="1" t="s">
        <v>3156</v>
      </c>
      <c r="F210" s="1">
        <v>939267107</v>
      </c>
      <c r="G210" s="1" t="s">
        <v>3157</v>
      </c>
      <c r="H210" s="1" t="s">
        <v>2126</v>
      </c>
      <c r="I210" s="1" t="str">
        <f t="shared" si="3"/>
        <v>M</v>
      </c>
      <c r="J210" s="1" t="s">
        <v>2127</v>
      </c>
      <c r="K210" s="1" t="s">
        <v>919</v>
      </c>
      <c r="L210" s="1" t="s">
        <v>919</v>
      </c>
      <c r="M210" s="1" t="s">
        <v>3158</v>
      </c>
      <c r="N210" s="1" t="s">
        <v>2176</v>
      </c>
      <c r="O210" s="1" t="s">
        <v>9</v>
      </c>
      <c r="P210" s="1" t="s">
        <v>2283</v>
      </c>
      <c r="Q210" s="1" t="s">
        <v>3159</v>
      </c>
    </row>
    <row r="211" spans="1:17" x14ac:dyDescent="0.25">
      <c r="A211" s="38" t="s">
        <v>4816</v>
      </c>
      <c r="B211" s="1">
        <v>210</v>
      </c>
      <c r="C211" s="1" t="s">
        <v>1386</v>
      </c>
      <c r="D211" s="1" t="s">
        <v>3160</v>
      </c>
      <c r="E211" s="1" t="s">
        <v>831</v>
      </c>
      <c r="F211" s="1">
        <v>912946485</v>
      </c>
      <c r="G211" s="1" t="s">
        <v>3161</v>
      </c>
      <c r="H211" s="1" t="s">
        <v>2126</v>
      </c>
      <c r="I211" s="1" t="str">
        <f t="shared" si="3"/>
        <v>M</v>
      </c>
      <c r="J211" s="1" t="s">
        <v>2127</v>
      </c>
      <c r="K211" s="1" t="s">
        <v>2376</v>
      </c>
      <c r="L211" s="1" t="s">
        <v>2376</v>
      </c>
      <c r="M211" s="1" t="s">
        <v>3162</v>
      </c>
      <c r="N211" s="1" t="s">
        <v>2176</v>
      </c>
      <c r="O211" s="1" t="s">
        <v>812</v>
      </c>
      <c r="P211" s="1" t="s">
        <v>813</v>
      </c>
      <c r="Q211" s="1" t="s">
        <v>3163</v>
      </c>
    </row>
    <row r="212" spans="1:17" x14ac:dyDescent="0.25">
      <c r="A212" s="38" t="s">
        <v>4960</v>
      </c>
      <c r="B212" s="1">
        <v>211</v>
      </c>
      <c r="C212" s="1" t="s">
        <v>3164</v>
      </c>
      <c r="D212" s="1" t="s">
        <v>3165</v>
      </c>
      <c r="E212" s="1" t="s">
        <v>766</v>
      </c>
      <c r="F212" s="1">
        <v>957148483</v>
      </c>
      <c r="G212" s="1" t="s">
        <v>3166</v>
      </c>
      <c r="H212" s="1" t="s">
        <v>2126</v>
      </c>
      <c r="I212" s="1" t="str">
        <f t="shared" si="3"/>
        <v>M</v>
      </c>
      <c r="J212" s="1" t="s">
        <v>2127</v>
      </c>
      <c r="K212" s="1" t="s">
        <v>2127</v>
      </c>
      <c r="L212" s="1" t="s">
        <v>2382</v>
      </c>
      <c r="M212" s="1" t="s">
        <v>3167</v>
      </c>
      <c r="N212" s="1" t="s">
        <v>2140</v>
      </c>
      <c r="O212" s="1" t="s">
        <v>90</v>
      </c>
      <c r="P212" s="1" t="s">
        <v>730</v>
      </c>
      <c r="Q212" s="1" t="s">
        <v>3168</v>
      </c>
    </row>
    <row r="213" spans="1:17" x14ac:dyDescent="0.25">
      <c r="A213" s="38" t="s">
        <v>4697</v>
      </c>
      <c r="B213" s="1">
        <v>212</v>
      </c>
      <c r="C213" s="1" t="s">
        <v>3169</v>
      </c>
      <c r="D213" s="1" t="s">
        <v>3170</v>
      </c>
      <c r="E213" s="1" t="s">
        <v>293</v>
      </c>
      <c r="F213" s="1">
        <v>949630670</v>
      </c>
      <c r="G213" s="1" t="s">
        <v>3171</v>
      </c>
      <c r="H213" s="1" t="s">
        <v>2126</v>
      </c>
      <c r="I213" s="1" t="str">
        <f t="shared" si="3"/>
        <v>M</v>
      </c>
      <c r="J213" s="1" t="s">
        <v>3172</v>
      </c>
      <c r="K213" s="1" t="s">
        <v>3173</v>
      </c>
      <c r="L213" s="1" t="s">
        <v>3173</v>
      </c>
      <c r="M213" s="1" t="s">
        <v>3174</v>
      </c>
      <c r="N213" s="1" t="s">
        <v>2130</v>
      </c>
      <c r="O213" s="1" t="s">
        <v>90</v>
      </c>
      <c r="P213" s="1" t="s">
        <v>272</v>
      </c>
      <c r="Q213" s="1" t="s">
        <v>3175</v>
      </c>
    </row>
    <row r="214" spans="1:17" x14ac:dyDescent="0.25">
      <c r="A214" s="38" t="s">
        <v>4897</v>
      </c>
      <c r="B214" s="1">
        <v>213</v>
      </c>
      <c r="C214" s="1" t="s">
        <v>3176</v>
      </c>
      <c r="D214" s="1" t="s">
        <v>3177</v>
      </c>
      <c r="E214" s="1" t="s">
        <v>204</v>
      </c>
      <c r="F214" s="1">
        <v>979724416</v>
      </c>
      <c r="G214" s="1" t="s">
        <v>3178</v>
      </c>
      <c r="H214" s="1" t="s">
        <v>2126</v>
      </c>
      <c r="I214" s="1" t="str">
        <f t="shared" si="3"/>
        <v>M</v>
      </c>
      <c r="J214" s="1" t="s">
        <v>2127</v>
      </c>
      <c r="K214" s="1" t="s">
        <v>919</v>
      </c>
      <c r="L214" s="1" t="s">
        <v>2300</v>
      </c>
      <c r="M214" s="1" t="s">
        <v>3179</v>
      </c>
      <c r="N214" s="1" t="s">
        <v>2194</v>
      </c>
      <c r="O214" s="1" t="s">
        <v>90</v>
      </c>
      <c r="P214" s="1" t="s">
        <v>176</v>
      </c>
      <c r="Q214" s="1" t="s">
        <v>3180</v>
      </c>
    </row>
    <row r="215" spans="1:17" x14ac:dyDescent="0.25">
      <c r="A215" s="38" t="s">
        <v>4961</v>
      </c>
      <c r="B215" s="1">
        <v>214</v>
      </c>
      <c r="C215" s="1" t="s">
        <v>3181</v>
      </c>
      <c r="D215" s="1" t="s">
        <v>3182</v>
      </c>
      <c r="E215" s="1" t="s">
        <v>3183</v>
      </c>
      <c r="F215" s="1">
        <v>951499878</v>
      </c>
      <c r="G215" s="1" t="s">
        <v>3184</v>
      </c>
      <c r="H215" s="1" t="s">
        <v>2135</v>
      </c>
      <c r="I215" s="1" t="str">
        <f t="shared" si="3"/>
        <v>F</v>
      </c>
      <c r="J215" s="1" t="s">
        <v>2127</v>
      </c>
      <c r="K215" s="1" t="s">
        <v>919</v>
      </c>
      <c r="L215" s="1" t="s">
        <v>2128</v>
      </c>
      <c r="M215" s="1" t="s">
        <v>3185</v>
      </c>
      <c r="N215" s="1" t="s">
        <v>2150</v>
      </c>
      <c r="O215" s="1" t="s">
        <v>90</v>
      </c>
      <c r="P215" s="1" t="s">
        <v>2160</v>
      </c>
      <c r="Q215" s="1" t="s">
        <v>3186</v>
      </c>
    </row>
    <row r="216" spans="1:17" x14ac:dyDescent="0.25">
      <c r="A216" s="38" t="s">
        <v>4962</v>
      </c>
      <c r="B216" s="1">
        <v>215</v>
      </c>
      <c r="C216" s="1" t="s">
        <v>3187</v>
      </c>
      <c r="D216" s="1" t="s">
        <v>3188</v>
      </c>
      <c r="E216" s="1" t="s">
        <v>3189</v>
      </c>
      <c r="F216" s="1">
        <v>968883515</v>
      </c>
      <c r="G216" s="1" t="s">
        <v>3190</v>
      </c>
      <c r="H216" s="1" t="s">
        <v>2126</v>
      </c>
      <c r="I216" s="1" t="str">
        <f t="shared" si="3"/>
        <v>M</v>
      </c>
      <c r="J216" s="1" t="s">
        <v>2136</v>
      </c>
      <c r="K216" s="1" t="s">
        <v>3191</v>
      </c>
      <c r="L216" s="1" t="s">
        <v>3191</v>
      </c>
      <c r="M216" s="1" t="s">
        <v>3192</v>
      </c>
      <c r="N216" s="1" t="s">
        <v>2176</v>
      </c>
      <c r="O216" s="1" t="s">
        <v>9</v>
      </c>
      <c r="P216" s="1" t="s">
        <v>2283</v>
      </c>
      <c r="Q216" s="1" t="s">
        <v>3193</v>
      </c>
    </row>
    <row r="217" spans="1:17" x14ac:dyDescent="0.25">
      <c r="A217" s="38" t="s">
        <v>4963</v>
      </c>
      <c r="B217" s="1">
        <v>216</v>
      </c>
      <c r="C217" s="1" t="s">
        <v>3194</v>
      </c>
      <c r="D217" s="1" t="s">
        <v>3195</v>
      </c>
      <c r="E217" s="1" t="s">
        <v>3196</v>
      </c>
      <c r="F217" s="1">
        <v>987725220</v>
      </c>
      <c r="G217" s="1" t="s">
        <v>3197</v>
      </c>
      <c r="H217" s="1" t="s">
        <v>2126</v>
      </c>
      <c r="I217" s="1" t="str">
        <f t="shared" si="3"/>
        <v>M</v>
      </c>
      <c r="J217" s="1" t="s">
        <v>2127</v>
      </c>
      <c r="K217" s="1" t="s">
        <v>919</v>
      </c>
      <c r="L217" s="1" t="s">
        <v>919</v>
      </c>
      <c r="M217" s="1" t="s">
        <v>3198</v>
      </c>
      <c r="N217" s="1" t="s">
        <v>2140</v>
      </c>
      <c r="O217" s="1" t="s">
        <v>9</v>
      </c>
      <c r="P217" s="1" t="s">
        <v>2446</v>
      </c>
      <c r="Q217" s="1" t="s">
        <v>3199</v>
      </c>
    </row>
    <row r="218" spans="1:17" x14ac:dyDescent="0.25">
      <c r="A218" s="38" t="s">
        <v>4964</v>
      </c>
      <c r="B218" s="1">
        <v>217</v>
      </c>
      <c r="C218" s="1" t="s">
        <v>3200</v>
      </c>
      <c r="D218" s="1" t="s">
        <v>3201</v>
      </c>
      <c r="E218" s="1" t="s">
        <v>3202</v>
      </c>
      <c r="F218" s="1">
        <v>964098885</v>
      </c>
      <c r="G218" s="1" t="s">
        <v>3203</v>
      </c>
      <c r="H218" s="1" t="s">
        <v>2126</v>
      </c>
      <c r="I218" s="1" t="str">
        <f t="shared" si="3"/>
        <v>M</v>
      </c>
      <c r="J218" s="1" t="s">
        <v>2127</v>
      </c>
      <c r="K218" s="1" t="s">
        <v>919</v>
      </c>
      <c r="L218" s="1" t="s">
        <v>2300</v>
      </c>
      <c r="M218" s="1" t="s">
        <v>3204</v>
      </c>
      <c r="N218" s="1" t="s">
        <v>2403</v>
      </c>
      <c r="O218" s="1" t="s">
        <v>812</v>
      </c>
      <c r="P218" s="1" t="s">
        <v>3205</v>
      </c>
      <c r="Q218" s="1" t="s">
        <v>3206</v>
      </c>
    </row>
    <row r="219" spans="1:17" x14ac:dyDescent="0.25">
      <c r="A219" s="38" t="s">
        <v>4660</v>
      </c>
      <c r="B219" s="1">
        <v>218</v>
      </c>
      <c r="C219" s="1" t="s">
        <v>1436</v>
      </c>
      <c r="D219" s="1" t="s">
        <v>3207</v>
      </c>
      <c r="E219" s="1" t="s">
        <v>594</v>
      </c>
      <c r="F219" s="1">
        <v>986298887</v>
      </c>
      <c r="G219" s="1" t="s">
        <v>3208</v>
      </c>
      <c r="H219" s="1" t="s">
        <v>2126</v>
      </c>
      <c r="I219" s="1" t="str">
        <f t="shared" si="3"/>
        <v>M</v>
      </c>
      <c r="J219" s="1" t="s">
        <v>2127</v>
      </c>
      <c r="K219" s="1" t="s">
        <v>919</v>
      </c>
      <c r="L219" s="1" t="s">
        <v>919</v>
      </c>
      <c r="M219" s="1" t="s">
        <v>3209</v>
      </c>
      <c r="N219" s="1" t="s">
        <v>2150</v>
      </c>
      <c r="O219" s="1" t="s">
        <v>90</v>
      </c>
      <c r="P219" s="1" t="s">
        <v>532</v>
      </c>
      <c r="Q219" s="1" t="s">
        <v>3210</v>
      </c>
    </row>
    <row r="220" spans="1:17" x14ac:dyDescent="0.25">
      <c r="A220" s="38" t="s">
        <v>4613</v>
      </c>
      <c r="B220" s="1">
        <v>219</v>
      </c>
      <c r="C220" s="1" t="s">
        <v>1390</v>
      </c>
      <c r="D220" s="1" t="s">
        <v>3211</v>
      </c>
      <c r="E220" s="1" t="s">
        <v>729</v>
      </c>
      <c r="F220" s="1">
        <v>980377131</v>
      </c>
      <c r="G220" s="1" t="s">
        <v>3212</v>
      </c>
      <c r="H220" s="1" t="s">
        <v>2126</v>
      </c>
      <c r="I220" s="1" t="str">
        <f t="shared" si="3"/>
        <v>M</v>
      </c>
      <c r="J220" s="1" t="s">
        <v>2127</v>
      </c>
      <c r="K220" s="1" t="s">
        <v>919</v>
      </c>
      <c r="L220" s="1" t="s">
        <v>2192</v>
      </c>
      <c r="M220" s="1" t="s">
        <v>3213</v>
      </c>
      <c r="N220" s="1" t="s">
        <v>2140</v>
      </c>
      <c r="O220" s="1" t="s">
        <v>90</v>
      </c>
      <c r="P220" s="1" t="s">
        <v>730</v>
      </c>
      <c r="Q220" s="1" t="s">
        <v>3214</v>
      </c>
    </row>
    <row r="221" spans="1:17" x14ac:dyDescent="0.25">
      <c r="A221" s="38" t="s">
        <v>4622</v>
      </c>
      <c r="B221" s="1">
        <v>220</v>
      </c>
      <c r="C221" s="1" t="s">
        <v>2247</v>
      </c>
      <c r="D221" s="1" t="s">
        <v>3215</v>
      </c>
      <c r="E221" s="1" t="s">
        <v>748</v>
      </c>
      <c r="F221" s="1">
        <v>956659369</v>
      </c>
      <c r="G221" s="1" t="s">
        <v>3216</v>
      </c>
      <c r="H221" s="1" t="s">
        <v>2126</v>
      </c>
      <c r="I221" s="1" t="str">
        <f t="shared" si="3"/>
        <v>M</v>
      </c>
      <c r="J221" s="1" t="s">
        <v>2127</v>
      </c>
      <c r="K221" s="1" t="s">
        <v>919</v>
      </c>
      <c r="L221" s="1" t="s">
        <v>2128</v>
      </c>
      <c r="M221" s="1" t="s">
        <v>3217</v>
      </c>
      <c r="N221" s="1" t="s">
        <v>2140</v>
      </c>
      <c r="O221" s="1" t="s">
        <v>90</v>
      </c>
      <c r="P221" s="1" t="s">
        <v>730</v>
      </c>
      <c r="Q221" s="1" t="s">
        <v>3218</v>
      </c>
    </row>
    <row r="222" spans="1:17" x14ac:dyDescent="0.25">
      <c r="A222" s="38" t="s">
        <v>4965</v>
      </c>
      <c r="B222" s="1">
        <v>221</v>
      </c>
      <c r="C222" s="1" t="s">
        <v>3219</v>
      </c>
      <c r="D222" s="1" t="s">
        <v>3220</v>
      </c>
      <c r="E222" s="1" t="s">
        <v>3221</v>
      </c>
      <c r="F222" s="1">
        <v>951539400</v>
      </c>
      <c r="G222" s="1" t="s">
        <v>3222</v>
      </c>
      <c r="H222" s="1" t="s">
        <v>2135</v>
      </c>
      <c r="I222" s="1" t="str">
        <f t="shared" si="3"/>
        <v>F</v>
      </c>
      <c r="J222" s="1" t="s">
        <v>2127</v>
      </c>
      <c r="K222" s="1" t="s">
        <v>919</v>
      </c>
      <c r="L222" s="1" t="s">
        <v>2300</v>
      </c>
      <c r="M222" s="1" t="s">
        <v>3223</v>
      </c>
      <c r="N222" s="1" t="s">
        <v>2150</v>
      </c>
      <c r="O222" s="1" t="s">
        <v>90</v>
      </c>
      <c r="P222" s="1" t="s">
        <v>2475</v>
      </c>
      <c r="Q222" s="1" t="s">
        <v>3224</v>
      </c>
    </row>
    <row r="223" spans="1:17" x14ac:dyDescent="0.25">
      <c r="A223" s="38" t="s">
        <v>4681</v>
      </c>
      <c r="B223" s="1">
        <v>222</v>
      </c>
      <c r="C223" s="1" t="s">
        <v>1457</v>
      </c>
      <c r="D223" s="1" t="s">
        <v>3225</v>
      </c>
      <c r="E223" s="1" t="s">
        <v>73</v>
      </c>
      <c r="F223" s="1">
        <v>979983732</v>
      </c>
      <c r="G223" s="1" t="s">
        <v>3226</v>
      </c>
      <c r="H223" s="1" t="s">
        <v>2135</v>
      </c>
      <c r="I223" s="1" t="str">
        <f t="shared" si="3"/>
        <v>F</v>
      </c>
      <c r="J223" s="1" t="s">
        <v>2127</v>
      </c>
      <c r="K223" s="1" t="s">
        <v>919</v>
      </c>
      <c r="L223" s="1" t="s">
        <v>919</v>
      </c>
      <c r="M223" s="1" t="s">
        <v>3227</v>
      </c>
      <c r="N223" s="1" t="s">
        <v>2150</v>
      </c>
      <c r="O223" s="1" t="s">
        <v>9</v>
      </c>
      <c r="P223" s="1" t="s">
        <v>53</v>
      </c>
      <c r="Q223" s="1" t="s">
        <v>3228</v>
      </c>
    </row>
    <row r="224" spans="1:17" x14ac:dyDescent="0.25">
      <c r="A224" s="38" t="s">
        <v>4966</v>
      </c>
      <c r="B224" s="1">
        <v>223</v>
      </c>
      <c r="C224" s="1" t="s">
        <v>3229</v>
      </c>
      <c r="D224" s="1" t="s">
        <v>3230</v>
      </c>
      <c r="E224" s="1" t="s">
        <v>3231</v>
      </c>
      <c r="F224" s="1">
        <v>940764217</v>
      </c>
      <c r="G224" s="1" t="s">
        <v>3232</v>
      </c>
      <c r="H224" s="1" t="s">
        <v>2126</v>
      </c>
      <c r="I224" s="1" t="str">
        <f t="shared" si="3"/>
        <v>M</v>
      </c>
      <c r="J224" s="1" t="s">
        <v>2127</v>
      </c>
      <c r="K224" s="1" t="s">
        <v>919</v>
      </c>
      <c r="L224" s="1" t="s">
        <v>919</v>
      </c>
      <c r="M224" s="1" t="s">
        <v>3233</v>
      </c>
      <c r="N224" s="1" t="s">
        <v>2167</v>
      </c>
      <c r="O224" s="1" t="s">
        <v>90</v>
      </c>
      <c r="P224" s="1" t="s">
        <v>2168</v>
      </c>
      <c r="Q224" s="1" t="s">
        <v>3234</v>
      </c>
    </row>
    <row r="225" spans="1:17" x14ac:dyDescent="0.25">
      <c r="A225" s="38" t="s">
        <v>4659</v>
      </c>
      <c r="B225" s="1">
        <v>224</v>
      </c>
      <c r="C225" s="1" t="s">
        <v>1435</v>
      </c>
      <c r="D225" s="1" t="s">
        <v>3235</v>
      </c>
      <c r="E225" s="1" t="s">
        <v>592</v>
      </c>
      <c r="F225" s="1">
        <v>963929946</v>
      </c>
      <c r="G225" s="1" t="s">
        <v>3236</v>
      </c>
      <c r="H225" s="1" t="s">
        <v>2126</v>
      </c>
      <c r="I225" s="1" t="str">
        <f t="shared" si="3"/>
        <v>M</v>
      </c>
      <c r="J225" s="1" t="s">
        <v>2127</v>
      </c>
      <c r="K225" s="1" t="s">
        <v>919</v>
      </c>
      <c r="L225" s="1" t="s">
        <v>919</v>
      </c>
      <c r="M225" s="1" t="s">
        <v>3237</v>
      </c>
      <c r="N225" s="1" t="s">
        <v>2150</v>
      </c>
      <c r="O225" s="1" t="s">
        <v>90</v>
      </c>
      <c r="P225" s="1" t="s">
        <v>532</v>
      </c>
      <c r="Q225" s="1" t="s">
        <v>3238</v>
      </c>
    </row>
    <row r="226" spans="1:17" x14ac:dyDescent="0.25">
      <c r="A226" s="38" t="s">
        <v>4767</v>
      </c>
      <c r="B226" s="1">
        <v>225</v>
      </c>
      <c r="C226" s="1" t="s">
        <v>1540</v>
      </c>
      <c r="D226" s="1" t="s">
        <v>3239</v>
      </c>
      <c r="E226" s="1" t="s">
        <v>370</v>
      </c>
      <c r="F226" s="1">
        <v>941364701</v>
      </c>
      <c r="G226" s="1" t="s">
        <v>3240</v>
      </c>
      <c r="H226" s="1" t="s">
        <v>2135</v>
      </c>
      <c r="I226" s="1" t="str">
        <f t="shared" si="3"/>
        <v>F</v>
      </c>
      <c r="J226" s="1" t="s">
        <v>2127</v>
      </c>
      <c r="K226" s="1" t="s">
        <v>919</v>
      </c>
      <c r="L226" s="1" t="s">
        <v>2128</v>
      </c>
      <c r="M226" s="1" t="s">
        <v>3241</v>
      </c>
      <c r="N226" s="1" t="s">
        <v>2130</v>
      </c>
      <c r="O226" s="1" t="s">
        <v>90</v>
      </c>
      <c r="P226" s="1" t="s">
        <v>368</v>
      </c>
      <c r="Q226" s="1" t="s">
        <v>3242</v>
      </c>
    </row>
    <row r="227" spans="1:17" x14ac:dyDescent="0.25">
      <c r="A227" s="38" t="s">
        <v>4867</v>
      </c>
      <c r="B227" s="1">
        <v>226</v>
      </c>
      <c r="C227" s="1" t="s">
        <v>1374</v>
      </c>
      <c r="D227" s="1" t="s">
        <v>3243</v>
      </c>
      <c r="E227" s="1" t="s">
        <v>773</v>
      </c>
      <c r="F227" s="1">
        <v>923026775</v>
      </c>
      <c r="G227" s="1" t="s">
        <v>3244</v>
      </c>
      <c r="H227" s="1" t="s">
        <v>2126</v>
      </c>
      <c r="I227" s="1" t="str">
        <f t="shared" si="3"/>
        <v>M</v>
      </c>
      <c r="J227" s="1" t="s">
        <v>2127</v>
      </c>
      <c r="K227" s="1" t="s">
        <v>919</v>
      </c>
      <c r="L227" s="1" t="s">
        <v>2300</v>
      </c>
      <c r="M227" s="1" t="s">
        <v>3245</v>
      </c>
      <c r="N227" s="1" t="s">
        <v>2194</v>
      </c>
      <c r="O227" s="1" t="s">
        <v>90</v>
      </c>
      <c r="P227" s="1" t="s">
        <v>769</v>
      </c>
      <c r="Q227" s="1" t="s">
        <v>3246</v>
      </c>
    </row>
    <row r="228" spans="1:17" x14ac:dyDescent="0.25">
      <c r="A228" s="38" t="s">
        <v>4967</v>
      </c>
      <c r="B228" s="1">
        <v>227</v>
      </c>
      <c r="C228" s="1" t="s">
        <v>3247</v>
      </c>
      <c r="D228" s="1" t="s">
        <v>3248</v>
      </c>
      <c r="E228" s="1" t="s">
        <v>3249</v>
      </c>
      <c r="F228" s="1">
        <v>985212527</v>
      </c>
      <c r="G228" s="1" t="s">
        <v>3250</v>
      </c>
      <c r="H228" s="1" t="s">
        <v>2135</v>
      </c>
      <c r="I228" s="1" t="str">
        <f t="shared" si="3"/>
        <v>F</v>
      </c>
      <c r="J228" s="1" t="s">
        <v>2127</v>
      </c>
      <c r="K228" s="1" t="s">
        <v>2127</v>
      </c>
      <c r="L228" s="1" t="s">
        <v>3251</v>
      </c>
      <c r="M228" s="1" t="s">
        <v>3252</v>
      </c>
      <c r="N228" s="1" t="s">
        <v>2130</v>
      </c>
      <c r="O228" s="1" t="s">
        <v>90</v>
      </c>
      <c r="P228" s="1" t="s">
        <v>2586</v>
      </c>
      <c r="Q228" s="1" t="s">
        <v>3253</v>
      </c>
    </row>
    <row r="229" spans="1:17" x14ac:dyDescent="0.25">
      <c r="A229" s="38" t="s">
        <v>4968</v>
      </c>
      <c r="B229" s="1">
        <v>228</v>
      </c>
      <c r="C229" s="1" t="s">
        <v>3254</v>
      </c>
      <c r="D229" s="1" t="s">
        <v>3255</v>
      </c>
      <c r="E229" s="1" t="s">
        <v>3256</v>
      </c>
      <c r="F229" s="1">
        <v>933695435</v>
      </c>
      <c r="G229" s="1" t="s">
        <v>3257</v>
      </c>
      <c r="H229" s="1" t="s">
        <v>2135</v>
      </c>
      <c r="I229" s="1" t="str">
        <f t="shared" si="3"/>
        <v>F</v>
      </c>
      <c r="J229" s="1" t="s">
        <v>2127</v>
      </c>
      <c r="K229" s="1" t="s">
        <v>919</v>
      </c>
      <c r="L229" s="1" t="s">
        <v>2192</v>
      </c>
      <c r="M229" s="1" t="s">
        <v>3258</v>
      </c>
      <c r="N229" s="1" t="s">
        <v>2698</v>
      </c>
      <c r="O229" s="1" t="s">
        <v>90</v>
      </c>
      <c r="P229" s="1" t="s">
        <v>2699</v>
      </c>
      <c r="Q229" s="1" t="s">
        <v>3259</v>
      </c>
    </row>
    <row r="230" spans="1:17" x14ac:dyDescent="0.25">
      <c r="A230" s="38" t="s">
        <v>4969</v>
      </c>
      <c r="B230" s="1">
        <v>229</v>
      </c>
      <c r="C230" s="1" t="s">
        <v>1512</v>
      </c>
      <c r="D230" s="1" t="s">
        <v>3260</v>
      </c>
      <c r="E230" s="1" t="s">
        <v>764</v>
      </c>
      <c r="F230" s="1">
        <v>926875049</v>
      </c>
      <c r="G230" s="1" t="s">
        <v>3261</v>
      </c>
      <c r="H230" s="1" t="s">
        <v>2126</v>
      </c>
      <c r="I230" s="1" t="str">
        <f t="shared" si="3"/>
        <v>M</v>
      </c>
      <c r="J230" s="1" t="s">
        <v>2127</v>
      </c>
      <c r="K230" s="1" t="s">
        <v>919</v>
      </c>
      <c r="L230" s="1" t="s">
        <v>919</v>
      </c>
      <c r="M230" s="1" t="s">
        <v>3262</v>
      </c>
      <c r="N230" s="1" t="s">
        <v>2140</v>
      </c>
      <c r="O230" s="1" t="s">
        <v>90</v>
      </c>
      <c r="P230" s="1" t="s">
        <v>730</v>
      </c>
      <c r="Q230" s="1" t="s">
        <v>3263</v>
      </c>
    </row>
    <row r="231" spans="1:17" x14ac:dyDescent="0.25">
      <c r="A231" s="38" t="s">
        <v>4839</v>
      </c>
      <c r="B231" s="1">
        <v>230</v>
      </c>
      <c r="C231" s="1" t="s">
        <v>1390</v>
      </c>
      <c r="D231" s="1" t="s">
        <v>3264</v>
      </c>
      <c r="E231" s="1" t="s">
        <v>519</v>
      </c>
      <c r="F231" s="1">
        <v>967903668</v>
      </c>
      <c r="G231" s="1" t="s">
        <v>3265</v>
      </c>
      <c r="H231" s="1" t="s">
        <v>2126</v>
      </c>
      <c r="I231" s="1" t="str">
        <f t="shared" si="3"/>
        <v>M</v>
      </c>
      <c r="J231" s="1" t="s">
        <v>2268</v>
      </c>
      <c r="K231" s="1" t="s">
        <v>2268</v>
      </c>
      <c r="L231" s="1" t="s">
        <v>2268</v>
      </c>
      <c r="M231" s="1" t="s">
        <v>3266</v>
      </c>
      <c r="N231" s="1" t="s">
        <v>2329</v>
      </c>
      <c r="O231" s="1" t="s">
        <v>90</v>
      </c>
      <c r="P231" s="1" t="s">
        <v>493</v>
      </c>
      <c r="Q231" s="1" t="s">
        <v>3267</v>
      </c>
    </row>
    <row r="232" spans="1:17" x14ac:dyDescent="0.25">
      <c r="A232" s="38" t="s">
        <v>4878</v>
      </c>
      <c r="B232" s="1">
        <v>231</v>
      </c>
      <c r="C232" s="1" t="s">
        <v>1641</v>
      </c>
      <c r="D232" s="1" t="s">
        <v>3268</v>
      </c>
      <c r="E232" s="1" t="s">
        <v>797</v>
      </c>
      <c r="F232" s="1">
        <v>993645001</v>
      </c>
      <c r="G232" s="1" t="s">
        <v>3269</v>
      </c>
      <c r="H232" s="1" t="s">
        <v>2126</v>
      </c>
      <c r="I232" s="1" t="str">
        <f t="shared" si="3"/>
        <v>M</v>
      </c>
      <c r="J232" s="1" t="s">
        <v>1276</v>
      </c>
      <c r="K232" s="1" t="s">
        <v>1276</v>
      </c>
      <c r="L232" s="1" t="s">
        <v>3270</v>
      </c>
      <c r="M232" s="1" t="s">
        <v>3271</v>
      </c>
      <c r="N232" s="1" t="s">
        <v>2194</v>
      </c>
      <c r="O232" s="1" t="s">
        <v>90</v>
      </c>
      <c r="P232" s="1" t="s">
        <v>769</v>
      </c>
      <c r="Q232" s="1" t="s">
        <v>3272</v>
      </c>
    </row>
    <row r="233" spans="1:17" x14ac:dyDescent="0.25">
      <c r="A233" s="38" t="s">
        <v>4615</v>
      </c>
      <c r="B233" s="1">
        <v>232</v>
      </c>
      <c r="C233" s="1" t="s">
        <v>1392</v>
      </c>
      <c r="D233" s="1" t="s">
        <v>3273</v>
      </c>
      <c r="E233" s="1" t="s">
        <v>734</v>
      </c>
      <c r="F233" s="1">
        <v>979939553</v>
      </c>
      <c r="G233" s="1" t="s">
        <v>3274</v>
      </c>
      <c r="H233" s="1" t="s">
        <v>2126</v>
      </c>
      <c r="I233" s="1" t="str">
        <f t="shared" si="3"/>
        <v>M</v>
      </c>
      <c r="J233" s="1" t="s">
        <v>2127</v>
      </c>
      <c r="K233" s="1" t="s">
        <v>919</v>
      </c>
      <c r="L233" s="1" t="s">
        <v>2128</v>
      </c>
      <c r="M233" s="1" t="s">
        <v>3275</v>
      </c>
      <c r="N233" s="1" t="s">
        <v>2140</v>
      </c>
      <c r="O233" s="1" t="s">
        <v>90</v>
      </c>
      <c r="P233" s="1" t="s">
        <v>730</v>
      </c>
      <c r="Q233" s="1" t="s">
        <v>3276</v>
      </c>
    </row>
    <row r="234" spans="1:17" x14ac:dyDescent="0.25">
      <c r="A234" s="38" t="s">
        <v>4877</v>
      </c>
      <c r="B234" s="1">
        <v>233</v>
      </c>
      <c r="C234" s="1" t="s">
        <v>3277</v>
      </c>
      <c r="D234" s="1" t="s">
        <v>3278</v>
      </c>
      <c r="E234" s="1" t="s">
        <v>795</v>
      </c>
      <c r="F234" s="1">
        <v>963591442</v>
      </c>
      <c r="G234" s="1" t="s">
        <v>3279</v>
      </c>
      <c r="H234" s="1" t="s">
        <v>2126</v>
      </c>
      <c r="I234" s="1" t="str">
        <f t="shared" si="3"/>
        <v>M</v>
      </c>
      <c r="J234" s="1" t="s">
        <v>2127</v>
      </c>
      <c r="K234" s="1" t="s">
        <v>2127</v>
      </c>
      <c r="L234" s="1" t="s">
        <v>2127</v>
      </c>
      <c r="M234" s="1" t="s">
        <v>3280</v>
      </c>
      <c r="N234" s="1" t="s">
        <v>2194</v>
      </c>
      <c r="O234" s="1" t="s">
        <v>90</v>
      </c>
      <c r="P234" s="1" t="s">
        <v>769</v>
      </c>
      <c r="Q234" s="1" t="s">
        <v>3281</v>
      </c>
    </row>
    <row r="235" spans="1:17" x14ac:dyDescent="0.25">
      <c r="A235" s="38" t="s">
        <v>4679</v>
      </c>
      <c r="B235" s="1">
        <v>234</v>
      </c>
      <c r="C235" s="1" t="s">
        <v>1455</v>
      </c>
      <c r="D235" s="1" t="s">
        <v>3282</v>
      </c>
      <c r="E235" s="1" t="s">
        <v>69</v>
      </c>
      <c r="F235" s="1">
        <v>976913466</v>
      </c>
      <c r="G235" s="1" t="s">
        <v>3283</v>
      </c>
      <c r="H235" s="1" t="s">
        <v>2126</v>
      </c>
      <c r="I235" s="1" t="str">
        <f t="shared" si="3"/>
        <v>M</v>
      </c>
      <c r="J235" s="1" t="s">
        <v>2127</v>
      </c>
      <c r="K235" s="1" t="s">
        <v>2376</v>
      </c>
      <c r="L235" s="1" t="s">
        <v>2776</v>
      </c>
      <c r="M235" s="1" t="s">
        <v>3284</v>
      </c>
      <c r="N235" s="1" t="s">
        <v>2150</v>
      </c>
      <c r="O235" s="1" t="s">
        <v>9</v>
      </c>
      <c r="P235" s="1" t="s">
        <v>53</v>
      </c>
      <c r="Q235" s="1" t="s">
        <v>3285</v>
      </c>
    </row>
    <row r="236" spans="1:17" x14ac:dyDescent="0.25">
      <c r="A236" s="38" t="s">
        <v>4599</v>
      </c>
      <c r="B236" s="1">
        <v>235</v>
      </c>
      <c r="C236" s="1" t="s">
        <v>1356</v>
      </c>
      <c r="D236" s="1" t="s">
        <v>3286</v>
      </c>
      <c r="E236" s="1" t="s">
        <v>693</v>
      </c>
      <c r="F236" s="1">
        <v>920407141</v>
      </c>
      <c r="G236" s="1" t="s">
        <v>3287</v>
      </c>
      <c r="H236" s="1" t="s">
        <v>2126</v>
      </c>
      <c r="I236" s="1" t="str">
        <f t="shared" si="3"/>
        <v>M</v>
      </c>
      <c r="J236" s="1" t="s">
        <v>2127</v>
      </c>
      <c r="K236" s="1" t="s">
        <v>919</v>
      </c>
      <c r="L236" s="1" t="s">
        <v>3122</v>
      </c>
      <c r="M236" s="1" t="s">
        <v>3288</v>
      </c>
      <c r="N236" s="1" t="s">
        <v>2140</v>
      </c>
      <c r="O236" s="1" t="s">
        <v>90</v>
      </c>
      <c r="P236" s="1" t="s">
        <v>619</v>
      </c>
      <c r="Q236" s="1" t="s">
        <v>3289</v>
      </c>
    </row>
    <row r="237" spans="1:17" x14ac:dyDescent="0.25">
      <c r="A237" s="38" t="s">
        <v>4645</v>
      </c>
      <c r="B237" s="1">
        <v>236</v>
      </c>
      <c r="C237" s="1" t="s">
        <v>1421</v>
      </c>
      <c r="D237" s="1" t="s">
        <v>3290</v>
      </c>
      <c r="E237" s="1" t="s">
        <v>564</v>
      </c>
      <c r="F237" s="1">
        <v>979469504</v>
      </c>
      <c r="G237" s="1" t="s">
        <v>3291</v>
      </c>
      <c r="H237" s="1" t="s">
        <v>2135</v>
      </c>
      <c r="I237" s="1" t="str">
        <f t="shared" si="3"/>
        <v>F</v>
      </c>
      <c r="J237" s="1" t="s">
        <v>2127</v>
      </c>
      <c r="K237" s="1" t="s">
        <v>919</v>
      </c>
      <c r="L237" s="1" t="s">
        <v>2192</v>
      </c>
      <c r="M237" s="1" t="s">
        <v>3292</v>
      </c>
      <c r="N237" s="1" t="s">
        <v>2150</v>
      </c>
      <c r="O237" s="1" t="s">
        <v>90</v>
      </c>
      <c r="P237" s="1" t="s">
        <v>532</v>
      </c>
      <c r="Q237" s="1" t="s">
        <v>3293</v>
      </c>
    </row>
    <row r="238" spans="1:17" x14ac:dyDescent="0.25">
      <c r="A238" s="38" t="s">
        <v>4536</v>
      </c>
      <c r="B238" s="1">
        <v>237</v>
      </c>
      <c r="C238" s="1" t="s">
        <v>3294</v>
      </c>
      <c r="D238" s="1" t="s">
        <v>3295</v>
      </c>
      <c r="E238" s="1" t="s">
        <v>161</v>
      </c>
      <c r="F238" s="1">
        <v>971168300</v>
      </c>
      <c r="G238" s="1" t="s">
        <v>3296</v>
      </c>
      <c r="H238" s="1" t="s">
        <v>2126</v>
      </c>
      <c r="I238" s="1" t="str">
        <f t="shared" si="3"/>
        <v>M</v>
      </c>
      <c r="J238" s="1" t="s">
        <v>2156</v>
      </c>
      <c r="K238" s="1" t="s">
        <v>2156</v>
      </c>
      <c r="L238" s="1" t="s">
        <v>2156</v>
      </c>
      <c r="M238" s="1" t="s">
        <v>3297</v>
      </c>
      <c r="N238" s="1" t="s">
        <v>2140</v>
      </c>
      <c r="O238" s="1" t="s">
        <v>90</v>
      </c>
      <c r="P238" s="1" t="s">
        <v>135</v>
      </c>
      <c r="Q238" s="1" t="s">
        <v>3298</v>
      </c>
    </row>
    <row r="239" spans="1:17" x14ac:dyDescent="0.25">
      <c r="A239" s="38" t="s">
        <v>4676</v>
      </c>
      <c r="B239" s="1">
        <v>238</v>
      </c>
      <c r="C239" s="1" t="s">
        <v>1452</v>
      </c>
      <c r="D239" s="1" t="s">
        <v>3299</v>
      </c>
      <c r="E239" s="1" t="s">
        <v>63</v>
      </c>
      <c r="F239" s="1">
        <v>975638058</v>
      </c>
      <c r="G239" s="1" t="s">
        <v>3300</v>
      </c>
      <c r="H239" s="1" t="s">
        <v>2126</v>
      </c>
      <c r="I239" s="1" t="str">
        <f t="shared" si="3"/>
        <v>M</v>
      </c>
      <c r="J239" s="1" t="s">
        <v>2127</v>
      </c>
      <c r="K239" s="1" t="s">
        <v>919</v>
      </c>
      <c r="L239" s="1" t="s">
        <v>2192</v>
      </c>
      <c r="M239" s="1" t="s">
        <v>3301</v>
      </c>
      <c r="N239" s="1" t="s">
        <v>2150</v>
      </c>
      <c r="O239" s="1" t="s">
        <v>9</v>
      </c>
      <c r="P239" s="1" t="s">
        <v>53</v>
      </c>
      <c r="Q239" s="1" t="s">
        <v>3302</v>
      </c>
    </row>
    <row r="240" spans="1:17" x14ac:dyDescent="0.25">
      <c r="A240" s="38" t="s">
        <v>4605</v>
      </c>
      <c r="B240" s="1">
        <v>239</v>
      </c>
      <c r="C240" s="1" t="s">
        <v>1383</v>
      </c>
      <c r="D240" s="1" t="s">
        <v>3303</v>
      </c>
      <c r="E240" s="1" t="s">
        <v>705</v>
      </c>
      <c r="F240" s="1">
        <v>952709693</v>
      </c>
      <c r="G240" s="1" t="s">
        <v>3304</v>
      </c>
      <c r="H240" s="1" t="s">
        <v>2126</v>
      </c>
      <c r="I240" s="1" t="str">
        <f t="shared" si="3"/>
        <v>M</v>
      </c>
      <c r="J240" s="1" t="s">
        <v>2127</v>
      </c>
      <c r="K240" s="1" t="s">
        <v>2127</v>
      </c>
      <c r="L240" s="1" t="s">
        <v>2382</v>
      </c>
      <c r="M240" s="1" t="s">
        <v>3305</v>
      </c>
      <c r="N240" s="1" t="s">
        <v>2140</v>
      </c>
      <c r="O240" s="1" t="s">
        <v>90</v>
      </c>
      <c r="P240" s="1" t="s">
        <v>619</v>
      </c>
      <c r="Q240" s="1" t="s">
        <v>3306</v>
      </c>
    </row>
    <row r="241" spans="1:17" x14ac:dyDescent="0.25">
      <c r="A241" s="38" t="s">
        <v>4588</v>
      </c>
      <c r="B241" s="1">
        <v>240</v>
      </c>
      <c r="C241" s="1" t="s">
        <v>1367</v>
      </c>
      <c r="D241" s="1" t="s">
        <v>3307</v>
      </c>
      <c r="E241" s="1" t="s">
        <v>671</v>
      </c>
      <c r="F241" s="1">
        <v>973194602</v>
      </c>
      <c r="G241" s="1" t="s">
        <v>3308</v>
      </c>
      <c r="H241" s="1" t="s">
        <v>2126</v>
      </c>
      <c r="I241" s="1" t="str">
        <f t="shared" si="3"/>
        <v>M</v>
      </c>
      <c r="J241" s="1" t="s">
        <v>2127</v>
      </c>
      <c r="K241" s="1" t="s">
        <v>2127</v>
      </c>
      <c r="L241" s="1" t="s">
        <v>2127</v>
      </c>
      <c r="M241" s="1" t="s">
        <v>3309</v>
      </c>
      <c r="N241" s="1" t="s">
        <v>2140</v>
      </c>
      <c r="O241" s="1" t="s">
        <v>90</v>
      </c>
      <c r="P241" s="1" t="s">
        <v>619</v>
      </c>
      <c r="Q241" s="1" t="s">
        <v>3310</v>
      </c>
    </row>
    <row r="242" spans="1:17" x14ac:dyDescent="0.25">
      <c r="A242" s="38" t="s">
        <v>4532</v>
      </c>
      <c r="B242" s="1">
        <v>241</v>
      </c>
      <c r="C242" s="1" t="s">
        <v>3311</v>
      </c>
      <c r="D242" s="1" t="s">
        <v>3312</v>
      </c>
      <c r="E242" s="1" t="s">
        <v>153</v>
      </c>
      <c r="F242" s="1">
        <v>918313510</v>
      </c>
      <c r="G242" s="1" t="s">
        <v>3313</v>
      </c>
      <c r="H242" s="1" t="s">
        <v>2126</v>
      </c>
      <c r="I242" s="1" t="str">
        <f t="shared" si="3"/>
        <v>M</v>
      </c>
      <c r="J242" s="1" t="s">
        <v>2127</v>
      </c>
      <c r="K242" s="1" t="s">
        <v>919</v>
      </c>
      <c r="L242" s="1" t="s">
        <v>2452</v>
      </c>
      <c r="M242" s="1" t="s">
        <v>3314</v>
      </c>
      <c r="N242" s="1" t="s">
        <v>2140</v>
      </c>
      <c r="O242" s="1" t="s">
        <v>90</v>
      </c>
      <c r="P242" s="1" t="s">
        <v>135</v>
      </c>
      <c r="Q242" s="1" t="s">
        <v>3315</v>
      </c>
    </row>
    <row r="243" spans="1:17" x14ac:dyDescent="0.25">
      <c r="A243" s="38" t="s">
        <v>4970</v>
      </c>
      <c r="B243" s="1">
        <v>242</v>
      </c>
      <c r="C243" s="1" t="s">
        <v>3316</v>
      </c>
      <c r="D243" s="1" t="s">
        <v>3317</v>
      </c>
      <c r="E243" s="1" t="s">
        <v>3318</v>
      </c>
      <c r="F243" s="1">
        <v>965678034</v>
      </c>
      <c r="G243" s="1" t="s">
        <v>3319</v>
      </c>
      <c r="H243" s="1" t="s">
        <v>2126</v>
      </c>
      <c r="I243" s="1" t="str">
        <f t="shared" si="3"/>
        <v>M</v>
      </c>
      <c r="J243" s="1" t="s">
        <v>2127</v>
      </c>
      <c r="K243" s="1" t="s">
        <v>2376</v>
      </c>
      <c r="L243" s="1" t="s">
        <v>2376</v>
      </c>
      <c r="M243" s="1" t="s">
        <v>3320</v>
      </c>
      <c r="N243" s="1" t="s">
        <v>2150</v>
      </c>
      <c r="O243" s="1" t="s">
        <v>90</v>
      </c>
      <c r="P243" s="1" t="s">
        <v>2475</v>
      </c>
      <c r="Q243" s="1" t="s">
        <v>3321</v>
      </c>
    </row>
    <row r="244" spans="1:17" x14ac:dyDescent="0.25">
      <c r="A244" s="38" t="s">
        <v>4686</v>
      </c>
      <c r="B244" s="1">
        <v>243</v>
      </c>
      <c r="C244" s="1" t="s">
        <v>1462</v>
      </c>
      <c r="D244" s="1" t="s">
        <v>3322</v>
      </c>
      <c r="E244" s="1" t="s">
        <v>83</v>
      </c>
      <c r="F244" s="1">
        <v>910533707</v>
      </c>
      <c r="G244" s="1" t="s">
        <v>3323</v>
      </c>
      <c r="H244" s="1" t="s">
        <v>2135</v>
      </c>
      <c r="I244" s="1" t="str">
        <f t="shared" si="3"/>
        <v>F</v>
      </c>
      <c r="J244" s="1" t="s">
        <v>2127</v>
      </c>
      <c r="K244" s="1" t="s">
        <v>2376</v>
      </c>
      <c r="L244" s="1" t="s">
        <v>2776</v>
      </c>
      <c r="M244" s="1" t="s">
        <v>3324</v>
      </c>
      <c r="N244" s="1" t="s">
        <v>2150</v>
      </c>
      <c r="O244" s="1" t="s">
        <v>9</v>
      </c>
      <c r="P244" s="1" t="s">
        <v>53</v>
      </c>
      <c r="Q244" s="1" t="s">
        <v>3325</v>
      </c>
    </row>
    <row r="245" spans="1:17" x14ac:dyDescent="0.25">
      <c r="A245" s="38" t="s">
        <v>4703</v>
      </c>
      <c r="B245" s="1">
        <v>244</v>
      </c>
      <c r="C245" s="1" t="s">
        <v>1477</v>
      </c>
      <c r="D245" s="1" t="s">
        <v>3326</v>
      </c>
      <c r="E245" s="1" t="s">
        <v>305</v>
      </c>
      <c r="F245" s="1">
        <v>921517866</v>
      </c>
      <c r="G245" s="1" t="s">
        <v>3327</v>
      </c>
      <c r="H245" s="1" t="s">
        <v>2126</v>
      </c>
      <c r="I245" s="1" t="str">
        <f t="shared" si="3"/>
        <v>M</v>
      </c>
      <c r="J245" s="1" t="s">
        <v>2127</v>
      </c>
      <c r="K245" s="1" t="s">
        <v>2127</v>
      </c>
      <c r="L245" s="1" t="s">
        <v>2127</v>
      </c>
      <c r="M245" s="1" t="s">
        <v>3328</v>
      </c>
      <c r="N245" s="1" t="s">
        <v>2130</v>
      </c>
      <c r="O245" s="1" t="s">
        <v>90</v>
      </c>
      <c r="P245" s="1" t="s">
        <v>272</v>
      </c>
      <c r="Q245" s="1" t="s">
        <v>3329</v>
      </c>
    </row>
    <row r="246" spans="1:17" x14ac:dyDescent="0.25">
      <c r="A246" s="38" t="s">
        <v>4589</v>
      </c>
      <c r="B246" s="1">
        <v>245</v>
      </c>
      <c r="C246" s="1" t="s">
        <v>1368</v>
      </c>
      <c r="D246" s="1" t="s">
        <v>3330</v>
      </c>
      <c r="E246" s="1" t="s">
        <v>673</v>
      </c>
      <c r="F246" s="1">
        <v>949946806</v>
      </c>
      <c r="G246" s="1" t="s">
        <v>3331</v>
      </c>
      <c r="H246" s="1" t="s">
        <v>2126</v>
      </c>
      <c r="I246" s="1" t="str">
        <f t="shared" si="3"/>
        <v>M</v>
      </c>
      <c r="J246" s="1" t="s">
        <v>2127</v>
      </c>
      <c r="K246" s="1" t="s">
        <v>2127</v>
      </c>
      <c r="L246" s="1" t="s">
        <v>2127</v>
      </c>
      <c r="M246" s="1" t="s">
        <v>3332</v>
      </c>
      <c r="N246" s="1" t="s">
        <v>2140</v>
      </c>
      <c r="O246" s="1" t="s">
        <v>90</v>
      </c>
      <c r="P246" s="1" t="s">
        <v>619</v>
      </c>
      <c r="Q246" s="1" t="s">
        <v>3333</v>
      </c>
    </row>
    <row r="247" spans="1:17" x14ac:dyDescent="0.25">
      <c r="A247" s="38" t="s">
        <v>4971</v>
      </c>
      <c r="B247" s="1">
        <v>246</v>
      </c>
      <c r="C247" s="1" t="s">
        <v>3334</v>
      </c>
      <c r="D247" s="1" t="s">
        <v>3335</v>
      </c>
      <c r="E247" s="1" t="s">
        <v>3336</v>
      </c>
      <c r="F247" s="1">
        <v>951807960</v>
      </c>
      <c r="G247" s="1" t="s">
        <v>3337</v>
      </c>
      <c r="H247" s="1" t="s">
        <v>2126</v>
      </c>
      <c r="I247" s="1" t="str">
        <f t="shared" si="3"/>
        <v>M</v>
      </c>
      <c r="J247" s="1" t="s">
        <v>2127</v>
      </c>
      <c r="K247" s="1" t="s">
        <v>919</v>
      </c>
      <c r="L247" s="1" t="s">
        <v>919</v>
      </c>
      <c r="M247" s="1" t="s">
        <v>3338</v>
      </c>
      <c r="N247" s="1" t="s">
        <v>2140</v>
      </c>
      <c r="O247" s="1" t="s">
        <v>9</v>
      </c>
      <c r="P247" s="1" t="s">
        <v>2446</v>
      </c>
      <c r="Q247" s="1" t="s">
        <v>3339</v>
      </c>
    </row>
    <row r="248" spans="1:17" x14ac:dyDescent="0.25">
      <c r="A248" s="38" t="s">
        <v>4838</v>
      </c>
      <c r="B248" s="1">
        <v>247</v>
      </c>
      <c r="C248" s="1" t="s">
        <v>1604</v>
      </c>
      <c r="D248" s="1" t="s">
        <v>3340</v>
      </c>
      <c r="E248" s="1" t="s">
        <v>517</v>
      </c>
      <c r="F248" s="1">
        <v>957571871</v>
      </c>
      <c r="G248" s="1" t="s">
        <v>3341</v>
      </c>
      <c r="H248" s="1" t="s">
        <v>2126</v>
      </c>
      <c r="I248" s="1" t="str">
        <f t="shared" si="3"/>
        <v>M</v>
      </c>
      <c r="J248" s="1" t="s">
        <v>2268</v>
      </c>
      <c r="K248" s="1" t="s">
        <v>2268</v>
      </c>
      <c r="L248" s="1" t="s">
        <v>3107</v>
      </c>
      <c r="M248" s="1" t="s">
        <v>3342</v>
      </c>
      <c r="N248" s="1" t="s">
        <v>2329</v>
      </c>
      <c r="O248" s="1" t="s">
        <v>90</v>
      </c>
      <c r="P248" s="1" t="s">
        <v>493</v>
      </c>
      <c r="Q248" s="1" t="s">
        <v>3343</v>
      </c>
    </row>
    <row r="249" spans="1:17" x14ac:dyDescent="0.25">
      <c r="A249" s="38" t="s">
        <v>4836</v>
      </c>
      <c r="B249" s="1">
        <v>248</v>
      </c>
      <c r="C249" s="1" t="s">
        <v>1602</v>
      </c>
      <c r="D249" s="1" t="s">
        <v>3344</v>
      </c>
      <c r="E249" s="1" t="s">
        <v>513</v>
      </c>
      <c r="F249" s="1">
        <v>968239466</v>
      </c>
      <c r="G249" s="1" t="s">
        <v>3345</v>
      </c>
      <c r="H249" s="1" t="s">
        <v>2126</v>
      </c>
      <c r="I249" s="1" t="str">
        <f t="shared" si="3"/>
        <v>M</v>
      </c>
      <c r="J249" s="1" t="s">
        <v>2268</v>
      </c>
      <c r="K249" s="1" t="s">
        <v>2268</v>
      </c>
      <c r="L249" s="1" t="s">
        <v>2268</v>
      </c>
      <c r="M249" s="1" t="s">
        <v>3346</v>
      </c>
      <c r="N249" s="1" t="s">
        <v>2329</v>
      </c>
      <c r="O249" s="1" t="s">
        <v>90</v>
      </c>
      <c r="P249" s="1" t="s">
        <v>493</v>
      </c>
      <c r="Q249" s="1" t="s">
        <v>3347</v>
      </c>
    </row>
    <row r="250" spans="1:17" x14ac:dyDescent="0.25">
      <c r="A250" s="38" t="s">
        <v>4719</v>
      </c>
      <c r="B250" s="1">
        <v>249</v>
      </c>
      <c r="C250" s="1" t="s">
        <v>1493</v>
      </c>
      <c r="D250" s="1" t="s">
        <v>3348</v>
      </c>
      <c r="E250" s="1" t="s">
        <v>337</v>
      </c>
      <c r="F250" s="1">
        <v>975102141</v>
      </c>
      <c r="G250" s="1" t="s">
        <v>3349</v>
      </c>
      <c r="H250" s="1" t="s">
        <v>2135</v>
      </c>
      <c r="I250" s="1" t="str">
        <f t="shared" si="3"/>
        <v>F</v>
      </c>
      <c r="J250" s="1" t="s">
        <v>2127</v>
      </c>
      <c r="K250" s="1" t="s">
        <v>2127</v>
      </c>
      <c r="L250" s="1" t="s">
        <v>2127</v>
      </c>
      <c r="M250" s="1" t="s">
        <v>3350</v>
      </c>
      <c r="N250" s="1" t="s">
        <v>2130</v>
      </c>
      <c r="O250" s="1" t="s">
        <v>90</v>
      </c>
      <c r="P250" s="1" t="s">
        <v>272</v>
      </c>
      <c r="Q250" s="1" t="s">
        <v>3351</v>
      </c>
    </row>
    <row r="251" spans="1:17" x14ac:dyDescent="0.25">
      <c r="A251" s="38" t="s">
        <v>4727</v>
      </c>
      <c r="B251" s="1">
        <v>250</v>
      </c>
      <c r="C251" s="1" t="s">
        <v>1369</v>
      </c>
      <c r="D251" s="1" t="s">
        <v>3352</v>
      </c>
      <c r="E251" s="1" t="s">
        <v>355</v>
      </c>
      <c r="F251" s="1">
        <v>975618503</v>
      </c>
      <c r="G251" s="1" t="s">
        <v>3353</v>
      </c>
      <c r="H251" s="1" t="s">
        <v>2126</v>
      </c>
      <c r="I251" s="1" t="str">
        <f t="shared" si="3"/>
        <v>M</v>
      </c>
      <c r="J251" s="1" t="s">
        <v>2127</v>
      </c>
      <c r="K251" s="1" t="s">
        <v>919</v>
      </c>
      <c r="L251" s="1" t="s">
        <v>919</v>
      </c>
      <c r="M251" s="1" t="s">
        <v>3354</v>
      </c>
      <c r="N251" s="1" t="s">
        <v>2130</v>
      </c>
      <c r="O251" s="1" t="s">
        <v>90</v>
      </c>
      <c r="P251" s="1" t="s">
        <v>272</v>
      </c>
      <c r="Q251" s="1" t="s">
        <v>3355</v>
      </c>
    </row>
    <row r="252" spans="1:17" x14ac:dyDescent="0.25">
      <c r="A252" s="38" t="s">
        <v>4673</v>
      </c>
      <c r="B252" s="1">
        <v>251</v>
      </c>
      <c r="C252" s="1" t="s">
        <v>3356</v>
      </c>
      <c r="D252" s="1" t="s">
        <v>3357</v>
      </c>
      <c r="E252" s="1" t="s">
        <v>57</v>
      </c>
      <c r="F252" s="1">
        <v>901965892</v>
      </c>
      <c r="G252" s="1" t="s">
        <v>3358</v>
      </c>
      <c r="H252" s="1" t="s">
        <v>2126</v>
      </c>
      <c r="I252" s="1" t="str">
        <f t="shared" si="3"/>
        <v>M</v>
      </c>
      <c r="J252" s="1" t="s">
        <v>2156</v>
      </c>
      <c r="K252" s="1" t="s">
        <v>2274</v>
      </c>
      <c r="L252" s="1" t="s">
        <v>3359</v>
      </c>
      <c r="M252" s="1" t="s">
        <v>3360</v>
      </c>
      <c r="N252" s="1" t="s">
        <v>2150</v>
      </c>
      <c r="O252" s="1" t="s">
        <v>9</v>
      </c>
      <c r="P252" s="1" t="s">
        <v>53</v>
      </c>
      <c r="Q252" s="1" t="s">
        <v>3361</v>
      </c>
    </row>
    <row r="253" spans="1:17" x14ac:dyDescent="0.25">
      <c r="A253" s="38" t="s">
        <v>4842</v>
      </c>
      <c r="B253" s="1">
        <v>252</v>
      </c>
      <c r="C253" s="1" t="s">
        <v>1607</v>
      </c>
      <c r="D253" s="1" t="s">
        <v>3362</v>
      </c>
      <c r="E253" s="1" t="s">
        <v>525</v>
      </c>
      <c r="F253" s="1">
        <v>979695505</v>
      </c>
      <c r="G253" s="1" t="s">
        <v>3363</v>
      </c>
      <c r="H253" s="1" t="s">
        <v>2135</v>
      </c>
      <c r="I253" s="1" t="str">
        <f t="shared" si="3"/>
        <v>F</v>
      </c>
      <c r="J253" s="1" t="s">
        <v>2127</v>
      </c>
      <c r="K253" s="1" t="s">
        <v>919</v>
      </c>
      <c r="L253" s="1" t="s">
        <v>919</v>
      </c>
      <c r="M253" s="1" t="s">
        <v>3364</v>
      </c>
      <c r="N253" s="1" t="s">
        <v>2329</v>
      </c>
      <c r="O253" s="1" t="s">
        <v>90</v>
      </c>
      <c r="P253" s="1" t="s">
        <v>493</v>
      </c>
      <c r="Q253" s="1" t="s">
        <v>3365</v>
      </c>
    </row>
    <row r="254" spans="1:17" x14ac:dyDescent="0.25">
      <c r="A254" s="38" t="s">
        <v>4890</v>
      </c>
      <c r="B254" s="1">
        <v>253</v>
      </c>
      <c r="C254" s="1" t="s">
        <v>3366</v>
      </c>
      <c r="D254" s="1" t="s">
        <v>3367</v>
      </c>
      <c r="E254" s="1" t="s">
        <v>190</v>
      </c>
      <c r="F254" s="1">
        <v>956749492</v>
      </c>
      <c r="G254" s="1" t="s">
        <v>3368</v>
      </c>
      <c r="H254" s="1" t="s">
        <v>2126</v>
      </c>
      <c r="I254" s="1" t="str">
        <f t="shared" si="3"/>
        <v>M</v>
      </c>
      <c r="J254" s="1" t="s">
        <v>2127</v>
      </c>
      <c r="K254" s="1" t="s">
        <v>919</v>
      </c>
      <c r="L254" s="1" t="s">
        <v>2192</v>
      </c>
      <c r="M254" s="1" t="s">
        <v>3369</v>
      </c>
      <c r="N254" s="1" t="s">
        <v>2194</v>
      </c>
      <c r="O254" s="1" t="s">
        <v>90</v>
      </c>
      <c r="P254" s="1" t="s">
        <v>176</v>
      </c>
      <c r="Q254" s="1" t="s">
        <v>3370</v>
      </c>
    </row>
    <row r="255" spans="1:17" x14ac:dyDescent="0.25">
      <c r="A255" s="38" t="s">
        <v>4692</v>
      </c>
      <c r="B255" s="1">
        <v>254</v>
      </c>
      <c r="C255" s="1" t="s">
        <v>1467</v>
      </c>
      <c r="D255" s="1" t="s">
        <v>3371</v>
      </c>
      <c r="E255" s="1" t="s">
        <v>283</v>
      </c>
      <c r="F255" s="1">
        <v>936794282</v>
      </c>
      <c r="G255" s="1" t="s">
        <v>3372</v>
      </c>
      <c r="H255" s="1" t="s">
        <v>2135</v>
      </c>
      <c r="I255" s="1" t="str">
        <f t="shared" si="3"/>
        <v>F</v>
      </c>
      <c r="J255" s="1" t="s">
        <v>3373</v>
      </c>
      <c r="K255" s="1" t="s">
        <v>1157</v>
      </c>
      <c r="L255" s="1" t="s">
        <v>3374</v>
      </c>
      <c r="M255" s="1" t="s">
        <v>3375</v>
      </c>
      <c r="N255" s="1" t="s">
        <v>2130</v>
      </c>
      <c r="O255" s="1" t="s">
        <v>90</v>
      </c>
      <c r="P255" s="1" t="s">
        <v>272</v>
      </c>
      <c r="Q255" s="1" t="s">
        <v>3376</v>
      </c>
    </row>
    <row r="256" spans="1:17" x14ac:dyDescent="0.25">
      <c r="A256" s="38" t="s">
        <v>4972</v>
      </c>
      <c r="B256" s="1">
        <v>255</v>
      </c>
      <c r="C256" s="1" t="s">
        <v>3377</v>
      </c>
      <c r="D256" s="1" t="s">
        <v>3378</v>
      </c>
      <c r="E256" s="1" t="s">
        <v>3379</v>
      </c>
      <c r="F256" s="1">
        <v>991929043</v>
      </c>
      <c r="G256" s="1" t="s">
        <v>3380</v>
      </c>
      <c r="H256" s="1" t="s">
        <v>2135</v>
      </c>
      <c r="I256" s="1" t="str">
        <f t="shared" si="3"/>
        <v>F</v>
      </c>
      <c r="J256" s="1" t="s">
        <v>2127</v>
      </c>
      <c r="K256" s="1" t="s">
        <v>919</v>
      </c>
      <c r="L256" s="1" t="s">
        <v>919</v>
      </c>
      <c r="M256" s="1" t="s">
        <v>3381</v>
      </c>
      <c r="N256" s="1" t="s">
        <v>2150</v>
      </c>
      <c r="O256" s="1" t="s">
        <v>90</v>
      </c>
      <c r="P256" s="1" t="s">
        <v>2475</v>
      </c>
      <c r="Q256" s="1" t="s">
        <v>3382</v>
      </c>
    </row>
    <row r="257" spans="1:17" x14ac:dyDescent="0.25">
      <c r="A257" s="38" t="s">
        <v>4973</v>
      </c>
      <c r="B257" s="1">
        <v>256</v>
      </c>
      <c r="C257" s="1" t="s">
        <v>3383</v>
      </c>
      <c r="D257" s="1" t="s">
        <v>3384</v>
      </c>
      <c r="E257" s="1" t="s">
        <v>3385</v>
      </c>
      <c r="F257" s="1">
        <v>943654242</v>
      </c>
      <c r="G257" s="1" t="s">
        <v>3386</v>
      </c>
      <c r="H257" s="1" t="s">
        <v>2126</v>
      </c>
      <c r="I257" s="1" t="str">
        <f t="shared" si="3"/>
        <v>M</v>
      </c>
      <c r="J257" s="1" t="s">
        <v>2268</v>
      </c>
      <c r="K257" s="1" t="s">
        <v>2268</v>
      </c>
      <c r="L257" s="1" t="s">
        <v>3387</v>
      </c>
      <c r="M257" s="1" t="s">
        <v>3388</v>
      </c>
      <c r="N257" s="1" t="s">
        <v>2403</v>
      </c>
      <c r="O257" s="1" t="s">
        <v>90</v>
      </c>
      <c r="P257" s="1" t="s">
        <v>3389</v>
      </c>
      <c r="Q257" s="1" t="s">
        <v>3390</v>
      </c>
    </row>
    <row r="258" spans="1:17" x14ac:dyDescent="0.25">
      <c r="A258" s="38" t="s">
        <v>4680</v>
      </c>
      <c r="B258" s="1">
        <v>257</v>
      </c>
      <c r="C258" s="1" t="s">
        <v>1456</v>
      </c>
      <c r="D258" s="1" t="s">
        <v>3391</v>
      </c>
      <c r="E258" s="1" t="s">
        <v>71</v>
      </c>
      <c r="F258" s="1">
        <v>929054903</v>
      </c>
      <c r="G258" s="1" t="s">
        <v>3392</v>
      </c>
      <c r="H258" s="1" t="s">
        <v>2126</v>
      </c>
      <c r="I258" s="1" t="str">
        <f t="shared" si="3"/>
        <v>M</v>
      </c>
      <c r="J258" s="1" t="s">
        <v>2156</v>
      </c>
      <c r="K258" s="1" t="s">
        <v>2274</v>
      </c>
      <c r="L258" s="1" t="s">
        <v>2849</v>
      </c>
      <c r="M258" s="1" t="s">
        <v>3393</v>
      </c>
      <c r="N258" s="1" t="s">
        <v>2150</v>
      </c>
      <c r="O258" s="1" t="s">
        <v>9</v>
      </c>
      <c r="P258" s="1" t="s">
        <v>53</v>
      </c>
      <c r="Q258" s="1" t="s">
        <v>3394</v>
      </c>
    </row>
    <row r="259" spans="1:17" x14ac:dyDescent="0.25">
      <c r="A259" s="38" t="s">
        <v>4974</v>
      </c>
      <c r="B259" s="1">
        <v>258</v>
      </c>
      <c r="C259" s="1" t="s">
        <v>3395</v>
      </c>
      <c r="D259" s="1" t="s">
        <v>3396</v>
      </c>
      <c r="E259" s="1" t="s">
        <v>3397</v>
      </c>
      <c r="F259" s="1">
        <v>921503708</v>
      </c>
      <c r="G259" s="1" t="s">
        <v>3398</v>
      </c>
      <c r="H259" s="1" t="s">
        <v>2126</v>
      </c>
      <c r="I259" s="1" t="str">
        <f t="shared" ref="I259:I322" si="4">IF(H259="MaSculino","M","F")</f>
        <v>M</v>
      </c>
      <c r="J259" s="1" t="s">
        <v>2156</v>
      </c>
      <c r="K259" s="1" t="s">
        <v>2274</v>
      </c>
      <c r="L259" s="1" t="s">
        <v>2274</v>
      </c>
      <c r="M259" s="1" t="s">
        <v>3399</v>
      </c>
      <c r="N259" s="1" t="s">
        <v>2176</v>
      </c>
      <c r="O259" s="1" t="s">
        <v>9</v>
      </c>
      <c r="P259" s="1" t="s">
        <v>2283</v>
      </c>
      <c r="Q259" s="1" t="s">
        <v>3400</v>
      </c>
    </row>
    <row r="260" spans="1:17" x14ac:dyDescent="0.25">
      <c r="A260" s="38" t="s">
        <v>4699</v>
      </c>
      <c r="B260" s="1">
        <v>259</v>
      </c>
      <c r="C260" s="1" t="s">
        <v>1473</v>
      </c>
      <c r="D260" s="1" t="s">
        <v>3401</v>
      </c>
      <c r="E260" s="1" t="s">
        <v>297</v>
      </c>
      <c r="F260" s="1">
        <v>930738695</v>
      </c>
      <c r="G260" s="1" t="s">
        <v>3402</v>
      </c>
      <c r="H260" s="1" t="s">
        <v>2135</v>
      </c>
      <c r="I260" s="1" t="str">
        <f t="shared" si="4"/>
        <v>F</v>
      </c>
      <c r="J260" s="1" t="s">
        <v>3373</v>
      </c>
      <c r="K260" s="1" t="s">
        <v>1157</v>
      </c>
      <c r="L260" s="1" t="s">
        <v>3374</v>
      </c>
      <c r="M260" s="1" t="s">
        <v>3403</v>
      </c>
      <c r="N260" s="1" t="s">
        <v>2130</v>
      </c>
      <c r="O260" s="1" t="s">
        <v>90</v>
      </c>
      <c r="P260" s="1" t="s">
        <v>272</v>
      </c>
      <c r="Q260" s="1" t="s">
        <v>3404</v>
      </c>
    </row>
    <row r="261" spans="1:17" x14ac:dyDescent="0.25">
      <c r="A261" s="38" t="s">
        <v>4604</v>
      </c>
      <c r="B261" s="1">
        <v>260</v>
      </c>
      <c r="C261" s="1" t="s">
        <v>1382</v>
      </c>
      <c r="D261" s="1" t="s">
        <v>3405</v>
      </c>
      <c r="E261" s="1" t="s">
        <v>703</v>
      </c>
      <c r="F261" s="1">
        <v>979461317</v>
      </c>
      <c r="G261" s="1" t="s">
        <v>3406</v>
      </c>
      <c r="H261" s="1" t="s">
        <v>2126</v>
      </c>
      <c r="I261" s="1" t="str">
        <f t="shared" si="4"/>
        <v>M</v>
      </c>
      <c r="J261" s="1" t="s">
        <v>2268</v>
      </c>
      <c r="K261" s="1" t="s">
        <v>2268</v>
      </c>
      <c r="L261" s="1" t="s">
        <v>3107</v>
      </c>
      <c r="M261" s="1" t="s">
        <v>3407</v>
      </c>
      <c r="N261" s="1" t="s">
        <v>2140</v>
      </c>
      <c r="O261" s="1" t="s">
        <v>90</v>
      </c>
      <c r="P261" s="1" t="s">
        <v>619</v>
      </c>
      <c r="Q261" s="1" t="s">
        <v>3408</v>
      </c>
    </row>
    <row r="262" spans="1:17" x14ac:dyDescent="0.25">
      <c r="A262" s="38" t="s">
        <v>4873</v>
      </c>
      <c r="B262" s="1">
        <v>261</v>
      </c>
      <c r="C262" s="1" t="s">
        <v>1636</v>
      </c>
      <c r="D262" s="1" t="s">
        <v>3409</v>
      </c>
      <c r="E262" s="1" t="s">
        <v>787</v>
      </c>
      <c r="F262" s="1">
        <v>918567044</v>
      </c>
      <c r="G262" s="1" t="s">
        <v>3410</v>
      </c>
      <c r="H262" s="1" t="s">
        <v>2126</v>
      </c>
      <c r="I262" s="1" t="str">
        <f t="shared" si="4"/>
        <v>M</v>
      </c>
      <c r="J262" s="1" t="s">
        <v>2268</v>
      </c>
      <c r="K262" s="1" t="s">
        <v>3001</v>
      </c>
      <c r="L262" s="1" t="s">
        <v>3001</v>
      </c>
      <c r="M262" s="1" t="s">
        <v>3411</v>
      </c>
      <c r="N262" s="1" t="s">
        <v>2194</v>
      </c>
      <c r="O262" s="1" t="s">
        <v>90</v>
      </c>
      <c r="P262" s="1" t="s">
        <v>769</v>
      </c>
      <c r="Q262" s="1" t="s">
        <v>3412</v>
      </c>
    </row>
    <row r="263" spans="1:17" x14ac:dyDescent="0.25">
      <c r="A263" s="38" t="s">
        <v>4975</v>
      </c>
      <c r="B263" s="1">
        <v>262</v>
      </c>
      <c r="C263" s="1" t="s">
        <v>3413</v>
      </c>
      <c r="D263" s="1" t="s">
        <v>3414</v>
      </c>
      <c r="E263" s="1" t="s">
        <v>173</v>
      </c>
      <c r="F263" s="1">
        <v>945801245</v>
      </c>
      <c r="G263" s="1" t="s">
        <v>3415</v>
      </c>
      <c r="H263" s="1" t="s">
        <v>2126</v>
      </c>
      <c r="I263" s="1" t="str">
        <f t="shared" si="4"/>
        <v>M</v>
      </c>
      <c r="J263" s="1" t="s">
        <v>2127</v>
      </c>
      <c r="K263" s="1" t="s">
        <v>919</v>
      </c>
      <c r="L263" s="1" t="s">
        <v>919</v>
      </c>
      <c r="M263" s="1" t="s">
        <v>3416</v>
      </c>
      <c r="N263" s="1" t="s">
        <v>2140</v>
      </c>
      <c r="O263" s="1" t="s">
        <v>90</v>
      </c>
      <c r="P263" s="1" t="s">
        <v>135</v>
      </c>
      <c r="Q263" s="1" t="s">
        <v>3417</v>
      </c>
    </row>
    <row r="264" spans="1:17" x14ac:dyDescent="0.25">
      <c r="A264" s="38" t="s">
        <v>4658</v>
      </c>
      <c r="B264" s="1">
        <v>263</v>
      </c>
      <c r="C264" s="1" t="s">
        <v>1434</v>
      </c>
      <c r="D264" s="1" t="s">
        <v>3418</v>
      </c>
      <c r="E264" s="1" t="s">
        <v>590</v>
      </c>
      <c r="F264" s="1">
        <v>902356275</v>
      </c>
      <c r="G264" s="1" t="s">
        <v>3419</v>
      </c>
      <c r="H264" s="1" t="s">
        <v>2135</v>
      </c>
      <c r="I264" s="1" t="str">
        <f t="shared" si="4"/>
        <v>F</v>
      </c>
      <c r="J264" s="1" t="s">
        <v>2127</v>
      </c>
      <c r="K264" s="1" t="s">
        <v>919</v>
      </c>
      <c r="L264" s="1" t="s">
        <v>919</v>
      </c>
      <c r="M264" s="1" t="s">
        <v>3420</v>
      </c>
      <c r="N264" s="1" t="s">
        <v>2150</v>
      </c>
      <c r="O264" s="1" t="s">
        <v>90</v>
      </c>
      <c r="P264" s="1" t="s">
        <v>532</v>
      </c>
      <c r="Q264" s="1" t="s">
        <v>3421</v>
      </c>
    </row>
    <row r="265" spans="1:17" x14ac:dyDescent="0.25">
      <c r="A265" s="38" t="s">
        <v>4553</v>
      </c>
      <c r="B265" s="1">
        <v>264</v>
      </c>
      <c r="C265" s="1" t="s">
        <v>1332</v>
      </c>
      <c r="D265" s="1" t="s">
        <v>3422</v>
      </c>
      <c r="E265" s="1" t="s">
        <v>249</v>
      </c>
      <c r="F265" s="1">
        <v>954639109</v>
      </c>
      <c r="G265" s="1" t="s">
        <v>3423</v>
      </c>
      <c r="H265" s="1" t="s">
        <v>2126</v>
      </c>
      <c r="I265" s="1" t="str">
        <f t="shared" si="4"/>
        <v>M</v>
      </c>
      <c r="J265" s="1" t="s">
        <v>2127</v>
      </c>
      <c r="K265" s="1" t="s">
        <v>2127</v>
      </c>
      <c r="L265" s="1" t="s">
        <v>2127</v>
      </c>
      <c r="M265" s="1" t="s">
        <v>3424</v>
      </c>
      <c r="N265" s="1" t="s">
        <v>2140</v>
      </c>
      <c r="O265" s="1" t="s">
        <v>90</v>
      </c>
      <c r="P265" s="1" t="s">
        <v>223</v>
      </c>
      <c r="Q265" s="1" t="s">
        <v>3425</v>
      </c>
    </row>
    <row r="266" spans="1:17" x14ac:dyDescent="0.25">
      <c r="A266" s="38" t="s">
        <v>4629</v>
      </c>
      <c r="B266" s="1">
        <v>265</v>
      </c>
      <c r="C266" s="1" t="s">
        <v>1405</v>
      </c>
      <c r="D266" s="1" t="s">
        <v>3426</v>
      </c>
      <c r="E266" s="1" t="s">
        <v>531</v>
      </c>
      <c r="F266" s="1">
        <v>984988901</v>
      </c>
      <c r="G266" s="1" t="s">
        <v>3427</v>
      </c>
      <c r="H266" s="1" t="s">
        <v>2135</v>
      </c>
      <c r="I266" s="1" t="str">
        <f t="shared" si="4"/>
        <v>F</v>
      </c>
      <c r="J266" s="1" t="s">
        <v>2127</v>
      </c>
      <c r="K266" s="1" t="s">
        <v>919</v>
      </c>
      <c r="L266" s="1" t="s">
        <v>2128</v>
      </c>
      <c r="M266" s="1" t="s">
        <v>3428</v>
      </c>
      <c r="N266" s="1" t="s">
        <v>2150</v>
      </c>
      <c r="O266" s="1" t="s">
        <v>90</v>
      </c>
      <c r="P266" s="1" t="s">
        <v>532</v>
      </c>
      <c r="Q266" s="1" t="s">
        <v>3429</v>
      </c>
    </row>
    <row r="267" spans="1:17" x14ac:dyDescent="0.25">
      <c r="A267" s="38" t="s">
        <v>4714</v>
      </c>
      <c r="B267" s="1">
        <v>266</v>
      </c>
      <c r="C267" s="1" t="s">
        <v>1488</v>
      </c>
      <c r="D267" s="1" t="s">
        <v>3430</v>
      </c>
      <c r="E267" s="1" t="s">
        <v>327</v>
      </c>
      <c r="F267" s="1">
        <v>968327058</v>
      </c>
      <c r="G267" s="1" t="s">
        <v>3431</v>
      </c>
      <c r="H267" s="1" t="s">
        <v>2135</v>
      </c>
      <c r="I267" s="1" t="str">
        <f t="shared" si="4"/>
        <v>F</v>
      </c>
      <c r="J267" s="1" t="s">
        <v>3373</v>
      </c>
      <c r="K267" s="1" t="s">
        <v>1157</v>
      </c>
      <c r="L267" s="1" t="s">
        <v>3432</v>
      </c>
      <c r="M267" s="1" t="s">
        <v>3433</v>
      </c>
      <c r="N267" s="1" t="s">
        <v>2130</v>
      </c>
      <c r="O267" s="1" t="s">
        <v>90</v>
      </c>
      <c r="P267" s="1" t="s">
        <v>272</v>
      </c>
      <c r="Q267" s="1" t="s">
        <v>3434</v>
      </c>
    </row>
    <row r="268" spans="1:17" x14ac:dyDescent="0.25">
      <c r="A268" s="38" t="s">
        <v>4689</v>
      </c>
      <c r="B268" s="1">
        <v>267</v>
      </c>
      <c r="C268" s="1" t="s">
        <v>1465</v>
      </c>
      <c r="D268" s="1" t="s">
        <v>3435</v>
      </c>
      <c r="E268" s="1" t="s">
        <v>277</v>
      </c>
      <c r="F268" s="1">
        <v>947495718</v>
      </c>
      <c r="G268" s="1" t="s">
        <v>3436</v>
      </c>
      <c r="H268" s="1" t="s">
        <v>2126</v>
      </c>
      <c r="I268" s="1" t="str">
        <f t="shared" si="4"/>
        <v>M</v>
      </c>
      <c r="J268" s="1" t="s">
        <v>2127</v>
      </c>
      <c r="K268" s="1" t="s">
        <v>919</v>
      </c>
      <c r="L268" s="1" t="s">
        <v>919</v>
      </c>
      <c r="M268" s="1" t="s">
        <v>3437</v>
      </c>
      <c r="N268" s="1" t="s">
        <v>2130</v>
      </c>
      <c r="O268" s="1" t="s">
        <v>90</v>
      </c>
      <c r="P268" s="1" t="s">
        <v>272</v>
      </c>
      <c r="Q268" s="1" t="s">
        <v>3438</v>
      </c>
    </row>
    <row r="269" spans="1:17" x14ac:dyDescent="0.25">
      <c r="A269" s="38" t="s">
        <v>4976</v>
      </c>
      <c r="B269" s="1">
        <v>268</v>
      </c>
      <c r="C269" s="1" t="s">
        <v>3439</v>
      </c>
      <c r="D269" s="1" t="s">
        <v>3440</v>
      </c>
      <c r="E269" s="1" t="s">
        <v>363</v>
      </c>
      <c r="F269" s="1">
        <v>989562762</v>
      </c>
      <c r="G269" s="1" t="s">
        <v>3441</v>
      </c>
      <c r="H269" s="1" t="s">
        <v>2135</v>
      </c>
      <c r="I269" s="1" t="str">
        <f t="shared" si="4"/>
        <v>F</v>
      </c>
      <c r="J269" s="1" t="s">
        <v>2127</v>
      </c>
      <c r="K269" s="1" t="s">
        <v>2127</v>
      </c>
      <c r="L269" s="1" t="s">
        <v>2127</v>
      </c>
      <c r="M269" s="1" t="s">
        <v>3442</v>
      </c>
      <c r="N269" s="1" t="s">
        <v>2130</v>
      </c>
      <c r="O269" s="1" t="s">
        <v>90</v>
      </c>
      <c r="P269" s="1" t="s">
        <v>272</v>
      </c>
      <c r="Q269" s="1" t="s">
        <v>3443</v>
      </c>
    </row>
    <row r="270" spans="1:17" x14ac:dyDescent="0.25">
      <c r="A270" s="38" t="s">
        <v>4977</v>
      </c>
      <c r="B270" s="1">
        <v>269</v>
      </c>
      <c r="C270" s="1" t="s">
        <v>3444</v>
      </c>
      <c r="D270" s="1" t="s">
        <v>3445</v>
      </c>
      <c r="E270" s="1" t="s">
        <v>3446</v>
      </c>
      <c r="F270" s="1">
        <v>958407227</v>
      </c>
      <c r="G270" s="1" t="s">
        <v>3447</v>
      </c>
      <c r="H270" s="1" t="s">
        <v>2126</v>
      </c>
      <c r="I270" s="1" t="str">
        <f t="shared" si="4"/>
        <v>M</v>
      </c>
      <c r="J270" s="1" t="s">
        <v>2127</v>
      </c>
      <c r="K270" s="1" t="s">
        <v>919</v>
      </c>
      <c r="L270" s="1" t="s">
        <v>919</v>
      </c>
      <c r="M270" s="1" t="s">
        <v>3448</v>
      </c>
      <c r="N270" s="1" t="s">
        <v>2212</v>
      </c>
      <c r="O270" s="1" t="s">
        <v>9</v>
      </c>
      <c r="P270" s="1" t="s">
        <v>2213</v>
      </c>
      <c r="Q270" s="1" t="s">
        <v>3449</v>
      </c>
    </row>
    <row r="271" spans="1:17" x14ac:dyDescent="0.25">
      <c r="A271" s="38" t="s">
        <v>4564</v>
      </c>
      <c r="B271" s="1">
        <v>270</v>
      </c>
      <c r="C271" s="1" t="s">
        <v>1343</v>
      </c>
      <c r="D271" s="1" t="s">
        <v>3450</v>
      </c>
      <c r="E271" s="1" t="s">
        <v>623</v>
      </c>
      <c r="F271" s="1">
        <v>906607662</v>
      </c>
      <c r="G271" s="1" t="s">
        <v>3451</v>
      </c>
      <c r="H271" s="1" t="s">
        <v>2126</v>
      </c>
      <c r="I271" s="1" t="str">
        <f t="shared" si="4"/>
        <v>M</v>
      </c>
      <c r="J271" s="1" t="s">
        <v>2156</v>
      </c>
      <c r="K271" s="1" t="s">
        <v>3452</v>
      </c>
      <c r="L271" s="1" t="s">
        <v>3452</v>
      </c>
      <c r="M271" s="1" t="s">
        <v>3453</v>
      </c>
      <c r="N271" s="1" t="s">
        <v>2140</v>
      </c>
      <c r="O271" s="1" t="s">
        <v>90</v>
      </c>
      <c r="P271" s="1" t="s">
        <v>619</v>
      </c>
      <c r="Q271" s="1" t="s">
        <v>3454</v>
      </c>
    </row>
    <row r="272" spans="1:17" x14ac:dyDescent="0.25">
      <c r="A272" s="38" t="s">
        <v>4528</v>
      </c>
      <c r="B272" s="1">
        <v>271</v>
      </c>
      <c r="C272" s="1" t="s">
        <v>1306</v>
      </c>
      <c r="D272" s="1" t="s">
        <v>3455</v>
      </c>
      <c r="E272" s="1" t="s">
        <v>145</v>
      </c>
      <c r="F272" s="1">
        <v>939737207</v>
      </c>
      <c r="G272" s="1" t="s">
        <v>3456</v>
      </c>
      <c r="H272" s="1" t="s">
        <v>2126</v>
      </c>
      <c r="I272" s="1" t="str">
        <f t="shared" si="4"/>
        <v>M</v>
      </c>
      <c r="J272" s="1" t="s">
        <v>2127</v>
      </c>
      <c r="K272" s="1" t="s">
        <v>919</v>
      </c>
      <c r="L272" s="1" t="s">
        <v>2128</v>
      </c>
      <c r="M272" s="1" t="s">
        <v>3457</v>
      </c>
      <c r="N272" s="1" t="s">
        <v>2140</v>
      </c>
      <c r="O272" s="1" t="s">
        <v>90</v>
      </c>
      <c r="P272" s="1" t="s">
        <v>135</v>
      </c>
      <c r="Q272" s="1" t="s">
        <v>3458</v>
      </c>
    </row>
    <row r="273" spans="1:17" x14ac:dyDescent="0.25">
      <c r="A273" s="38" t="s">
        <v>4718</v>
      </c>
      <c r="B273" s="1">
        <v>272</v>
      </c>
      <c r="C273" s="1" t="s">
        <v>1492</v>
      </c>
      <c r="D273" s="1" t="s">
        <v>3459</v>
      </c>
      <c r="E273" s="1" t="s">
        <v>335</v>
      </c>
      <c r="F273" s="1">
        <v>980425226</v>
      </c>
      <c r="G273" s="1" t="s">
        <v>3460</v>
      </c>
      <c r="H273" s="1" t="s">
        <v>2135</v>
      </c>
      <c r="I273" s="1" t="str">
        <f t="shared" si="4"/>
        <v>F</v>
      </c>
      <c r="J273" s="1" t="s">
        <v>2127</v>
      </c>
      <c r="K273" s="1" t="s">
        <v>919</v>
      </c>
      <c r="L273" s="1" t="s">
        <v>2192</v>
      </c>
      <c r="M273" s="1" t="s">
        <v>3461</v>
      </c>
      <c r="N273" s="1" t="s">
        <v>2130</v>
      </c>
      <c r="O273" s="1" t="s">
        <v>90</v>
      </c>
      <c r="P273" s="1" t="s">
        <v>272</v>
      </c>
      <c r="Q273" s="1" t="s">
        <v>3462</v>
      </c>
    </row>
    <row r="274" spans="1:17" x14ac:dyDescent="0.25">
      <c r="A274" s="38" t="s">
        <v>4644</v>
      </c>
      <c r="B274" s="1">
        <v>273</v>
      </c>
      <c r="C274" s="1" t="s">
        <v>1420</v>
      </c>
      <c r="D274" s="1" t="s">
        <v>3463</v>
      </c>
      <c r="E274" s="1" t="s">
        <v>562</v>
      </c>
      <c r="F274" s="1">
        <v>947160444</v>
      </c>
      <c r="G274" s="1" t="s">
        <v>3464</v>
      </c>
      <c r="H274" s="1" t="s">
        <v>2135</v>
      </c>
      <c r="I274" s="1" t="str">
        <f t="shared" si="4"/>
        <v>F</v>
      </c>
      <c r="J274" s="1" t="s">
        <v>2127</v>
      </c>
      <c r="K274" s="1" t="s">
        <v>919</v>
      </c>
      <c r="L274" s="1" t="s">
        <v>919</v>
      </c>
      <c r="M274" s="1" t="s">
        <v>3465</v>
      </c>
      <c r="N274" s="1" t="s">
        <v>2150</v>
      </c>
      <c r="O274" s="1" t="s">
        <v>90</v>
      </c>
      <c r="P274" s="1" t="s">
        <v>532</v>
      </c>
      <c r="Q274" s="1" t="s">
        <v>3466</v>
      </c>
    </row>
    <row r="275" spans="1:17" x14ac:dyDescent="0.25">
      <c r="A275" s="38" t="s">
        <v>4649</v>
      </c>
      <c r="B275" s="1">
        <v>274</v>
      </c>
      <c r="C275" s="1" t="s">
        <v>1425</v>
      </c>
      <c r="D275" s="1" t="s">
        <v>3467</v>
      </c>
      <c r="E275" s="1" t="s">
        <v>572</v>
      </c>
      <c r="F275" s="1">
        <v>970755382</v>
      </c>
      <c r="G275" s="1" t="s">
        <v>3468</v>
      </c>
      <c r="H275" s="1" t="s">
        <v>2135</v>
      </c>
      <c r="I275" s="1" t="str">
        <f t="shared" si="4"/>
        <v>F</v>
      </c>
      <c r="J275" s="1" t="s">
        <v>2127</v>
      </c>
      <c r="K275" s="1" t="s">
        <v>919</v>
      </c>
      <c r="L275" s="1" t="s">
        <v>919</v>
      </c>
      <c r="M275" s="1" t="s">
        <v>3469</v>
      </c>
      <c r="N275" s="1" t="s">
        <v>2150</v>
      </c>
      <c r="O275" s="1" t="s">
        <v>90</v>
      </c>
      <c r="P275" s="1" t="s">
        <v>532</v>
      </c>
      <c r="Q275" s="1" t="s">
        <v>3470</v>
      </c>
    </row>
    <row r="276" spans="1:17" x14ac:dyDescent="0.25">
      <c r="A276" s="38" t="s">
        <v>4742</v>
      </c>
      <c r="B276" s="1">
        <v>275</v>
      </c>
      <c r="C276" s="1" t="s">
        <v>1515</v>
      </c>
      <c r="D276" s="1" t="s">
        <v>3471</v>
      </c>
      <c r="E276" s="1" t="s">
        <v>440</v>
      </c>
      <c r="F276" s="1">
        <v>945256461</v>
      </c>
      <c r="G276" s="1" t="s">
        <v>3472</v>
      </c>
      <c r="H276" s="1" t="s">
        <v>2135</v>
      </c>
      <c r="I276" s="1" t="str">
        <f t="shared" si="4"/>
        <v>F</v>
      </c>
      <c r="J276" s="1" t="s">
        <v>2127</v>
      </c>
      <c r="K276" s="1" t="s">
        <v>2127</v>
      </c>
      <c r="L276" s="1" t="s">
        <v>2803</v>
      </c>
      <c r="M276" s="1" t="s">
        <v>3473</v>
      </c>
      <c r="N276" s="1" t="s">
        <v>2130</v>
      </c>
      <c r="O276" s="1" t="s">
        <v>90</v>
      </c>
      <c r="P276" s="1" t="s">
        <v>418</v>
      </c>
      <c r="Q276" s="1" t="s">
        <v>3474</v>
      </c>
    </row>
    <row r="277" spans="1:17" x14ac:dyDescent="0.25">
      <c r="A277" s="38" t="s">
        <v>4691</v>
      </c>
      <c r="B277" s="1">
        <v>276</v>
      </c>
      <c r="C277" s="1" t="s">
        <v>1390</v>
      </c>
      <c r="D277" s="1" t="s">
        <v>3475</v>
      </c>
      <c r="E277" s="1" t="s">
        <v>281</v>
      </c>
      <c r="F277" s="1">
        <v>928228502</v>
      </c>
      <c r="G277" s="1" t="s">
        <v>3476</v>
      </c>
      <c r="H277" s="1" t="s">
        <v>2126</v>
      </c>
      <c r="I277" s="1" t="str">
        <f t="shared" si="4"/>
        <v>M</v>
      </c>
      <c r="J277" s="1" t="s">
        <v>2127</v>
      </c>
      <c r="K277" s="1" t="s">
        <v>2127</v>
      </c>
      <c r="L277" s="1" t="s">
        <v>2127</v>
      </c>
      <c r="M277" s="1" t="s">
        <v>3477</v>
      </c>
      <c r="N277" s="1" t="s">
        <v>2130</v>
      </c>
      <c r="O277" s="1" t="s">
        <v>90</v>
      </c>
      <c r="P277" s="1" t="s">
        <v>272</v>
      </c>
      <c r="Q277" s="1" t="s">
        <v>3478</v>
      </c>
    </row>
    <row r="278" spans="1:17" x14ac:dyDescent="0.25">
      <c r="A278" s="38" t="s">
        <v>4683</v>
      </c>
      <c r="B278" s="1">
        <v>277</v>
      </c>
      <c r="C278" s="1" t="s">
        <v>3479</v>
      </c>
      <c r="D278" s="1" t="s">
        <v>3480</v>
      </c>
      <c r="E278" s="1" t="s">
        <v>77</v>
      </c>
      <c r="F278" s="1">
        <v>966743788</v>
      </c>
      <c r="G278" s="1" t="s">
        <v>3481</v>
      </c>
      <c r="H278" s="1" t="s">
        <v>2135</v>
      </c>
      <c r="I278" s="1" t="str">
        <f t="shared" si="4"/>
        <v>F</v>
      </c>
      <c r="J278" s="1" t="s">
        <v>2127</v>
      </c>
      <c r="K278" s="1" t="s">
        <v>919</v>
      </c>
      <c r="L278" s="1" t="s">
        <v>2300</v>
      </c>
      <c r="M278" s="1" t="s">
        <v>3482</v>
      </c>
      <c r="N278" s="1" t="s">
        <v>2150</v>
      </c>
      <c r="O278" s="1" t="s">
        <v>9</v>
      </c>
      <c r="P278" s="1" t="s">
        <v>53</v>
      </c>
      <c r="Q278" s="1" t="s">
        <v>3483</v>
      </c>
    </row>
    <row r="279" spans="1:17" x14ac:dyDescent="0.25">
      <c r="A279" s="38" t="s">
        <v>4978</v>
      </c>
      <c r="B279" s="1">
        <v>278</v>
      </c>
      <c r="C279" s="1" t="s">
        <v>3484</v>
      </c>
      <c r="D279" s="1" t="s">
        <v>3485</v>
      </c>
      <c r="E279" s="1" t="s">
        <v>3486</v>
      </c>
      <c r="F279" s="1">
        <v>998841859</v>
      </c>
      <c r="G279" s="1" t="s">
        <v>3487</v>
      </c>
      <c r="H279" s="1" t="s">
        <v>2126</v>
      </c>
      <c r="I279" s="1" t="str">
        <f t="shared" si="4"/>
        <v>M</v>
      </c>
      <c r="J279" s="1" t="s">
        <v>2136</v>
      </c>
      <c r="K279" s="1" t="s">
        <v>2137</v>
      </c>
      <c r="L279" s="1" t="s">
        <v>2138</v>
      </c>
      <c r="M279" s="1" t="s">
        <v>3488</v>
      </c>
      <c r="N279" s="1" t="s">
        <v>2315</v>
      </c>
      <c r="O279" s="1" t="s">
        <v>90</v>
      </c>
      <c r="P279" s="1" t="s">
        <v>2316</v>
      </c>
      <c r="Q279" s="1" t="s">
        <v>3489</v>
      </c>
    </row>
    <row r="280" spans="1:17" x14ac:dyDescent="0.25">
      <c r="A280" s="38" t="s">
        <v>4826</v>
      </c>
      <c r="B280" s="1">
        <v>279</v>
      </c>
      <c r="C280" s="1" t="s">
        <v>1592</v>
      </c>
      <c r="D280" s="1" t="s">
        <v>3490</v>
      </c>
      <c r="E280" s="1" t="s">
        <v>492</v>
      </c>
      <c r="F280" s="1">
        <v>949694371</v>
      </c>
      <c r="G280" s="1" t="s">
        <v>3491</v>
      </c>
      <c r="H280" s="1" t="s">
        <v>2126</v>
      </c>
      <c r="I280" s="1" t="str">
        <f t="shared" si="4"/>
        <v>M</v>
      </c>
      <c r="J280" s="1" t="s">
        <v>2127</v>
      </c>
      <c r="K280" s="1" t="s">
        <v>919</v>
      </c>
      <c r="L280" s="1" t="s">
        <v>919</v>
      </c>
      <c r="M280" s="1" t="s">
        <v>3492</v>
      </c>
      <c r="N280" s="1" t="s">
        <v>2329</v>
      </c>
      <c r="O280" s="1" t="s">
        <v>90</v>
      </c>
      <c r="P280" s="1" t="s">
        <v>493</v>
      </c>
      <c r="Q280" s="1" t="s">
        <v>3493</v>
      </c>
    </row>
    <row r="281" spans="1:17" x14ac:dyDescent="0.25">
      <c r="A281" s="38" t="s">
        <v>4802</v>
      </c>
      <c r="B281" s="1">
        <v>280</v>
      </c>
      <c r="C281" s="1" t="s">
        <v>1570</v>
      </c>
      <c r="D281" s="1" t="s">
        <v>3494</v>
      </c>
      <c r="E281" s="1" t="s">
        <v>39</v>
      </c>
      <c r="F281" s="1">
        <v>906013135</v>
      </c>
      <c r="G281" s="1" t="s">
        <v>3495</v>
      </c>
      <c r="H281" s="1" t="s">
        <v>2126</v>
      </c>
      <c r="I281" s="1" t="str">
        <f t="shared" si="4"/>
        <v>M</v>
      </c>
      <c r="J281" s="1" t="s">
        <v>2127</v>
      </c>
      <c r="K281" s="1" t="s">
        <v>919</v>
      </c>
      <c r="L281" s="1" t="s">
        <v>2186</v>
      </c>
      <c r="M281" s="1" t="s">
        <v>3496</v>
      </c>
      <c r="N281" s="1" t="s">
        <v>2130</v>
      </c>
      <c r="O281" s="1" t="s">
        <v>9</v>
      </c>
      <c r="P281" s="1" t="s">
        <v>10</v>
      </c>
      <c r="Q281" s="1" t="s">
        <v>3497</v>
      </c>
    </row>
    <row r="282" spans="1:17" x14ac:dyDescent="0.25">
      <c r="A282" s="38" t="s">
        <v>4593</v>
      </c>
      <c r="B282" s="1">
        <v>281</v>
      </c>
      <c r="C282" s="1" t="s">
        <v>1372</v>
      </c>
      <c r="D282" s="1" t="s">
        <v>3498</v>
      </c>
      <c r="E282" s="1" t="s">
        <v>681</v>
      </c>
      <c r="F282" s="1">
        <v>980985081</v>
      </c>
      <c r="G282" s="1" t="s">
        <v>3499</v>
      </c>
      <c r="H282" s="1" t="s">
        <v>2135</v>
      </c>
      <c r="I282" s="1" t="str">
        <f t="shared" si="4"/>
        <v>F</v>
      </c>
      <c r="J282" s="1" t="s">
        <v>2127</v>
      </c>
      <c r="K282" s="1" t="s">
        <v>919</v>
      </c>
      <c r="L282" s="1" t="s">
        <v>919</v>
      </c>
      <c r="M282" s="1" t="s">
        <v>3500</v>
      </c>
      <c r="N282" s="1" t="s">
        <v>2140</v>
      </c>
      <c r="O282" s="1" t="s">
        <v>90</v>
      </c>
      <c r="P282" s="1" t="s">
        <v>619</v>
      </c>
      <c r="Q282" s="1" t="s">
        <v>3501</v>
      </c>
    </row>
    <row r="283" spans="1:17" x14ac:dyDescent="0.25">
      <c r="A283" s="38" t="s">
        <v>4736</v>
      </c>
      <c r="B283" s="1">
        <v>282</v>
      </c>
      <c r="C283" s="1" t="s">
        <v>1509</v>
      </c>
      <c r="D283" s="1" t="s">
        <v>3502</v>
      </c>
      <c r="E283" s="1" t="s">
        <v>428</v>
      </c>
      <c r="F283" s="1">
        <v>979541769</v>
      </c>
      <c r="G283" s="1" t="s">
        <v>3503</v>
      </c>
      <c r="H283" s="1" t="s">
        <v>2126</v>
      </c>
      <c r="I283" s="1" t="str">
        <f t="shared" si="4"/>
        <v>M</v>
      </c>
      <c r="J283" s="1" t="s">
        <v>2127</v>
      </c>
      <c r="K283" s="1" t="s">
        <v>919</v>
      </c>
      <c r="L283" s="1" t="s">
        <v>2128</v>
      </c>
      <c r="M283" s="1" t="s">
        <v>3504</v>
      </c>
      <c r="N283" s="1" t="s">
        <v>2130</v>
      </c>
      <c r="O283" s="1" t="s">
        <v>90</v>
      </c>
      <c r="P283" s="1" t="s">
        <v>418</v>
      </c>
      <c r="Q283" s="1" t="s">
        <v>3505</v>
      </c>
    </row>
    <row r="284" spans="1:17" x14ac:dyDescent="0.25">
      <c r="A284" s="38" t="s">
        <v>4735</v>
      </c>
      <c r="B284" s="1">
        <v>283</v>
      </c>
      <c r="C284" s="1" t="s">
        <v>1508</v>
      </c>
      <c r="D284" s="1" t="s">
        <v>3506</v>
      </c>
      <c r="E284" s="1" t="s">
        <v>426</v>
      </c>
      <c r="F284" s="1">
        <v>950796249</v>
      </c>
      <c r="G284" s="1" t="s">
        <v>3507</v>
      </c>
      <c r="H284" s="1" t="s">
        <v>2126</v>
      </c>
      <c r="I284" s="1" t="str">
        <f t="shared" si="4"/>
        <v>M</v>
      </c>
      <c r="J284" s="1" t="s">
        <v>2127</v>
      </c>
      <c r="K284" s="1" t="s">
        <v>919</v>
      </c>
      <c r="L284" s="1" t="s">
        <v>919</v>
      </c>
      <c r="M284" s="1" t="s">
        <v>3508</v>
      </c>
      <c r="N284" s="1" t="s">
        <v>2130</v>
      </c>
      <c r="O284" s="1" t="s">
        <v>90</v>
      </c>
      <c r="P284" s="1" t="s">
        <v>418</v>
      </c>
      <c r="Q284" s="1" t="s">
        <v>3509</v>
      </c>
    </row>
    <row r="285" spans="1:17" x14ac:dyDescent="0.25">
      <c r="A285" s="38" t="s">
        <v>4795</v>
      </c>
      <c r="B285" s="1">
        <v>284</v>
      </c>
      <c r="C285" s="1" t="s">
        <v>1566</v>
      </c>
      <c r="D285" s="1" t="s">
        <v>3510</v>
      </c>
      <c r="E285" s="1" t="s">
        <v>25</v>
      </c>
      <c r="F285" s="1">
        <v>937361416</v>
      </c>
      <c r="G285" s="1" t="s">
        <v>3216</v>
      </c>
      <c r="H285" s="1" t="s">
        <v>2135</v>
      </c>
      <c r="I285" s="1" t="str">
        <f t="shared" si="4"/>
        <v>F</v>
      </c>
      <c r="J285" s="1" t="s">
        <v>2127</v>
      </c>
      <c r="K285" s="1" t="s">
        <v>919</v>
      </c>
      <c r="L285" s="1" t="s">
        <v>919</v>
      </c>
      <c r="M285" s="1" t="s">
        <v>3511</v>
      </c>
      <c r="N285" s="1" t="s">
        <v>2130</v>
      </c>
      <c r="O285" s="1" t="s">
        <v>9</v>
      </c>
      <c r="P285" s="1" t="s">
        <v>10</v>
      </c>
      <c r="Q285" s="1" t="s">
        <v>3512</v>
      </c>
    </row>
    <row r="286" spans="1:17" x14ac:dyDescent="0.25">
      <c r="A286" s="38" t="s">
        <v>4592</v>
      </c>
      <c r="B286" s="1">
        <v>285</v>
      </c>
      <c r="C286" s="1" t="s">
        <v>1371</v>
      </c>
      <c r="D286" s="1" t="s">
        <v>3513</v>
      </c>
      <c r="E286" s="1" t="s">
        <v>679</v>
      </c>
      <c r="F286" s="1">
        <v>942423103</v>
      </c>
      <c r="G286" s="1" t="s">
        <v>3514</v>
      </c>
      <c r="H286" s="1" t="s">
        <v>2126</v>
      </c>
      <c r="I286" s="1" t="str">
        <f t="shared" si="4"/>
        <v>M</v>
      </c>
      <c r="J286" s="1" t="s">
        <v>2127</v>
      </c>
      <c r="K286" s="1" t="s">
        <v>919</v>
      </c>
      <c r="L286" s="1" t="s">
        <v>919</v>
      </c>
      <c r="M286" s="1" t="s">
        <v>3515</v>
      </c>
      <c r="N286" s="1" t="s">
        <v>2140</v>
      </c>
      <c r="O286" s="1" t="s">
        <v>90</v>
      </c>
      <c r="P286" s="1" t="s">
        <v>619</v>
      </c>
      <c r="Q286" s="1" t="s">
        <v>3516</v>
      </c>
    </row>
    <row r="287" spans="1:17" x14ac:dyDescent="0.25">
      <c r="A287" s="38" t="s">
        <v>4979</v>
      </c>
      <c r="B287" s="1">
        <v>286</v>
      </c>
      <c r="C287" s="1" t="s">
        <v>3517</v>
      </c>
      <c r="D287" s="1" t="s">
        <v>3518</v>
      </c>
      <c r="E287" s="1" t="s">
        <v>3519</v>
      </c>
      <c r="F287" s="1">
        <v>969397740</v>
      </c>
      <c r="G287" s="1" t="s">
        <v>3520</v>
      </c>
      <c r="H287" s="1" t="s">
        <v>2126</v>
      </c>
      <c r="I287" s="1" t="str">
        <f t="shared" si="4"/>
        <v>M</v>
      </c>
      <c r="J287" s="1" t="s">
        <v>2156</v>
      </c>
      <c r="K287" s="1" t="s">
        <v>2274</v>
      </c>
      <c r="L287" s="1" t="s">
        <v>2274</v>
      </c>
      <c r="M287" s="1" t="s">
        <v>3521</v>
      </c>
      <c r="N287" s="1" t="s">
        <v>2176</v>
      </c>
      <c r="O287" s="1" t="s">
        <v>9</v>
      </c>
      <c r="P287" s="1" t="s">
        <v>2283</v>
      </c>
      <c r="Q287" s="1" t="s">
        <v>3522</v>
      </c>
    </row>
    <row r="288" spans="1:17" x14ac:dyDescent="0.25">
      <c r="A288" s="38" t="s">
        <v>4632</v>
      </c>
      <c r="B288" s="1">
        <v>287</v>
      </c>
      <c r="C288" s="1" t="s">
        <v>1408</v>
      </c>
      <c r="D288" s="1" t="s">
        <v>3463</v>
      </c>
      <c r="E288" s="1" t="s">
        <v>538</v>
      </c>
      <c r="F288" s="1">
        <v>933199989</v>
      </c>
      <c r="G288" s="1" t="s">
        <v>3523</v>
      </c>
      <c r="H288" s="1" t="s">
        <v>2126</v>
      </c>
      <c r="I288" s="1" t="str">
        <f t="shared" si="4"/>
        <v>M</v>
      </c>
      <c r="J288" s="1" t="s">
        <v>2127</v>
      </c>
      <c r="K288" s="1" t="s">
        <v>919</v>
      </c>
      <c r="L288" s="1" t="s">
        <v>2128</v>
      </c>
      <c r="M288" s="1" t="s">
        <v>3524</v>
      </c>
      <c r="N288" s="1" t="s">
        <v>2150</v>
      </c>
      <c r="O288" s="1" t="s">
        <v>90</v>
      </c>
      <c r="P288" s="1" t="s">
        <v>532</v>
      </c>
      <c r="Q288" s="1" t="s">
        <v>3525</v>
      </c>
    </row>
    <row r="289" spans="1:17" x14ac:dyDescent="0.25">
      <c r="A289" s="38" t="s">
        <v>4554</v>
      </c>
      <c r="B289" s="1">
        <v>288</v>
      </c>
      <c r="C289" s="1" t="s">
        <v>1333</v>
      </c>
      <c r="D289" s="1" t="s">
        <v>3526</v>
      </c>
      <c r="E289" s="1" t="s">
        <v>251</v>
      </c>
      <c r="F289" s="1">
        <v>900794195</v>
      </c>
      <c r="G289" s="1" t="s">
        <v>3527</v>
      </c>
      <c r="H289" s="1" t="s">
        <v>2126</v>
      </c>
      <c r="I289" s="1" t="str">
        <f t="shared" si="4"/>
        <v>M</v>
      </c>
      <c r="J289" s="1" t="s">
        <v>2127</v>
      </c>
      <c r="K289" s="1" t="s">
        <v>919</v>
      </c>
      <c r="L289" s="1" t="s">
        <v>919</v>
      </c>
      <c r="M289" s="1" t="s">
        <v>3528</v>
      </c>
      <c r="N289" s="1" t="s">
        <v>2140</v>
      </c>
      <c r="O289" s="1" t="s">
        <v>90</v>
      </c>
      <c r="P289" s="1" t="s">
        <v>223</v>
      </c>
      <c r="Q289" s="1" t="s">
        <v>3529</v>
      </c>
    </row>
    <row r="290" spans="1:17" x14ac:dyDescent="0.25">
      <c r="A290" s="38" t="s">
        <v>4612</v>
      </c>
      <c r="B290" s="1">
        <v>289</v>
      </c>
      <c r="C290" s="1" t="s">
        <v>1389</v>
      </c>
      <c r="D290" s="1" t="s">
        <v>3530</v>
      </c>
      <c r="E290" s="1" t="s">
        <v>719</v>
      </c>
      <c r="F290" s="1">
        <v>979210538</v>
      </c>
      <c r="G290" s="1" t="s">
        <v>3531</v>
      </c>
      <c r="H290" s="1" t="s">
        <v>2126</v>
      </c>
      <c r="I290" s="1" t="str">
        <f t="shared" si="4"/>
        <v>M</v>
      </c>
      <c r="J290" s="1" t="s">
        <v>2127</v>
      </c>
      <c r="K290" s="1" t="s">
        <v>919</v>
      </c>
      <c r="L290" s="1" t="s">
        <v>2300</v>
      </c>
      <c r="M290" s="1" t="s">
        <v>3532</v>
      </c>
      <c r="N290" s="1" t="s">
        <v>2140</v>
      </c>
      <c r="O290" s="1" t="s">
        <v>90</v>
      </c>
      <c r="P290" s="1" t="s">
        <v>619</v>
      </c>
      <c r="Q290" s="1" t="s">
        <v>3533</v>
      </c>
    </row>
    <row r="291" spans="1:17" x14ac:dyDescent="0.25">
      <c r="A291" s="38" t="s">
        <v>4980</v>
      </c>
      <c r="B291" s="1">
        <v>290</v>
      </c>
      <c r="C291" s="1" t="s">
        <v>3534</v>
      </c>
      <c r="D291" s="1" t="s">
        <v>3535</v>
      </c>
      <c r="E291" s="1" t="s">
        <v>3536</v>
      </c>
      <c r="F291" s="1">
        <v>921163748</v>
      </c>
      <c r="G291" s="1" t="s">
        <v>3537</v>
      </c>
      <c r="H291" s="1" t="s">
        <v>2135</v>
      </c>
      <c r="I291" s="1" t="str">
        <f t="shared" si="4"/>
        <v>F</v>
      </c>
      <c r="J291" s="1" t="s">
        <v>2127</v>
      </c>
      <c r="K291" s="1" t="s">
        <v>2376</v>
      </c>
      <c r="L291" s="1" t="s">
        <v>2377</v>
      </c>
      <c r="M291" s="1" t="s">
        <v>3538</v>
      </c>
      <c r="N291" s="1" t="s">
        <v>2167</v>
      </c>
      <c r="O291" s="1" t="s">
        <v>90</v>
      </c>
      <c r="P291" s="1" t="s">
        <v>2168</v>
      </c>
      <c r="Q291" s="1" t="s">
        <v>3539</v>
      </c>
    </row>
    <row r="292" spans="1:17" x14ac:dyDescent="0.25">
      <c r="A292" s="38" t="s">
        <v>4981</v>
      </c>
      <c r="B292" s="1">
        <v>291</v>
      </c>
      <c r="C292" s="1" t="s">
        <v>3540</v>
      </c>
      <c r="D292" s="1" t="s">
        <v>3541</v>
      </c>
      <c r="E292" s="1" t="s">
        <v>365</v>
      </c>
      <c r="F292" s="1">
        <v>945880578</v>
      </c>
      <c r="G292" s="1" t="s">
        <v>2838</v>
      </c>
      <c r="H292" s="1" t="s">
        <v>2126</v>
      </c>
      <c r="I292" s="1" t="str">
        <f t="shared" si="4"/>
        <v>M</v>
      </c>
      <c r="J292" s="1" t="s">
        <v>2127</v>
      </c>
      <c r="K292" s="1" t="s">
        <v>919</v>
      </c>
      <c r="L292" s="1" t="s">
        <v>2128</v>
      </c>
      <c r="M292" s="1">
        <v>266</v>
      </c>
      <c r="N292" s="1" t="s">
        <v>2130</v>
      </c>
      <c r="O292" s="1" t="s">
        <v>90</v>
      </c>
      <c r="P292" s="1" t="s">
        <v>272</v>
      </c>
      <c r="Q292" s="1" t="s">
        <v>3542</v>
      </c>
    </row>
    <row r="293" spans="1:17" x14ac:dyDescent="0.25">
      <c r="A293" s="38" t="s">
        <v>4982</v>
      </c>
      <c r="B293" s="1">
        <v>292</v>
      </c>
      <c r="C293" s="1" t="s">
        <v>3543</v>
      </c>
      <c r="D293" s="1" t="s">
        <v>3544</v>
      </c>
      <c r="E293" s="1" t="s">
        <v>3545</v>
      </c>
      <c r="F293" s="1">
        <v>978723397</v>
      </c>
      <c r="G293" s="1" t="s">
        <v>3546</v>
      </c>
      <c r="H293" s="1" t="s">
        <v>2135</v>
      </c>
      <c r="I293" s="1" t="str">
        <f t="shared" si="4"/>
        <v>F</v>
      </c>
      <c r="J293" s="1" t="s">
        <v>2127</v>
      </c>
      <c r="K293" s="1" t="s">
        <v>919</v>
      </c>
      <c r="L293" s="1" t="s">
        <v>919</v>
      </c>
      <c r="M293" s="1" t="s">
        <v>3547</v>
      </c>
      <c r="N293" s="1" t="s">
        <v>2167</v>
      </c>
      <c r="O293" s="1" t="s">
        <v>9</v>
      </c>
      <c r="P293" s="1" t="s">
        <v>2188</v>
      </c>
      <c r="Q293" s="1" t="s">
        <v>3548</v>
      </c>
    </row>
    <row r="294" spans="1:17" x14ac:dyDescent="0.25">
      <c r="A294" s="38" t="s">
        <v>4983</v>
      </c>
      <c r="B294" s="1">
        <v>293</v>
      </c>
      <c r="C294" s="1" t="s">
        <v>3549</v>
      </c>
      <c r="D294" s="1" t="s">
        <v>3550</v>
      </c>
      <c r="E294" s="1" t="s">
        <v>3551</v>
      </c>
      <c r="F294" s="1">
        <v>920027257</v>
      </c>
      <c r="G294" s="1" t="s">
        <v>3552</v>
      </c>
      <c r="H294" s="1" t="s">
        <v>2135</v>
      </c>
      <c r="I294" s="1" t="str">
        <f t="shared" si="4"/>
        <v>F</v>
      </c>
      <c r="J294" s="1" t="s">
        <v>2156</v>
      </c>
      <c r="K294" s="1" t="s">
        <v>2627</v>
      </c>
      <c r="L294" s="1" t="s">
        <v>2627</v>
      </c>
      <c r="M294" s="1" t="s">
        <v>3553</v>
      </c>
      <c r="N294" s="1" t="s">
        <v>2403</v>
      </c>
      <c r="O294" s="1" t="s">
        <v>812</v>
      </c>
      <c r="P294" s="1" t="s">
        <v>3205</v>
      </c>
      <c r="Q294" s="1" t="s">
        <v>3554</v>
      </c>
    </row>
    <row r="295" spans="1:17" x14ac:dyDescent="0.25">
      <c r="A295" s="38" t="s">
        <v>4548</v>
      </c>
      <c r="B295" s="1">
        <v>294</v>
      </c>
      <c r="C295" s="1" t="s">
        <v>1326</v>
      </c>
      <c r="D295" s="1" t="s">
        <v>3555</v>
      </c>
      <c r="E295" s="1" t="s">
        <v>237</v>
      </c>
      <c r="F295" s="1">
        <v>952699247</v>
      </c>
      <c r="G295" s="1" t="s">
        <v>3556</v>
      </c>
      <c r="H295" s="1" t="s">
        <v>2135</v>
      </c>
      <c r="I295" s="1" t="str">
        <f t="shared" si="4"/>
        <v>F</v>
      </c>
      <c r="J295" s="1" t="s">
        <v>2127</v>
      </c>
      <c r="K295" s="1" t="s">
        <v>919</v>
      </c>
      <c r="L295" s="1" t="s">
        <v>919</v>
      </c>
      <c r="M295" s="1" t="s">
        <v>3557</v>
      </c>
      <c r="N295" s="1" t="s">
        <v>2140</v>
      </c>
      <c r="O295" s="1" t="s">
        <v>90</v>
      </c>
      <c r="P295" s="1" t="s">
        <v>223</v>
      </c>
      <c r="Q295" s="1" t="s">
        <v>3558</v>
      </c>
    </row>
    <row r="296" spans="1:17" x14ac:dyDescent="0.25">
      <c r="A296" s="38" t="s">
        <v>4984</v>
      </c>
      <c r="B296" s="1">
        <v>295</v>
      </c>
      <c r="C296" s="1" t="s">
        <v>3559</v>
      </c>
      <c r="D296" s="1" t="s">
        <v>3560</v>
      </c>
      <c r="E296" s="1" t="s">
        <v>723</v>
      </c>
      <c r="F296" s="1">
        <v>918321327</v>
      </c>
      <c r="G296" s="1" t="s">
        <v>3561</v>
      </c>
      <c r="H296" s="1" t="s">
        <v>2126</v>
      </c>
      <c r="I296" s="1" t="str">
        <f t="shared" si="4"/>
        <v>M</v>
      </c>
      <c r="J296" s="1" t="s">
        <v>2156</v>
      </c>
      <c r="K296" s="1" t="s">
        <v>3452</v>
      </c>
      <c r="L296" s="1" t="s">
        <v>3562</v>
      </c>
      <c r="M296" s="1" t="s">
        <v>3563</v>
      </c>
      <c r="N296" s="1" t="s">
        <v>2140</v>
      </c>
      <c r="O296" s="1" t="s">
        <v>90</v>
      </c>
      <c r="P296" s="1" t="s">
        <v>619</v>
      </c>
      <c r="Q296" s="1" t="s">
        <v>3564</v>
      </c>
    </row>
    <row r="297" spans="1:17" x14ac:dyDescent="0.25">
      <c r="A297" s="38" t="s">
        <v>4985</v>
      </c>
      <c r="B297" s="1">
        <v>296</v>
      </c>
      <c r="C297" s="1" t="s">
        <v>3565</v>
      </c>
      <c r="D297" s="1" t="s">
        <v>3566</v>
      </c>
      <c r="E297" s="1" t="s">
        <v>727</v>
      </c>
      <c r="F297" s="1">
        <v>910630942</v>
      </c>
      <c r="G297" s="1" t="s">
        <v>3567</v>
      </c>
      <c r="H297" s="1" t="s">
        <v>2126</v>
      </c>
      <c r="I297" s="1" t="str">
        <f t="shared" si="4"/>
        <v>M</v>
      </c>
      <c r="J297" s="1" t="s">
        <v>3568</v>
      </c>
      <c r="K297" s="1" t="s">
        <v>3569</v>
      </c>
      <c r="L297" s="1" t="s">
        <v>3569</v>
      </c>
      <c r="M297" s="1" t="s">
        <v>3570</v>
      </c>
      <c r="N297" s="1" t="s">
        <v>2140</v>
      </c>
      <c r="O297" s="1" t="s">
        <v>90</v>
      </c>
      <c r="P297" s="1" t="s">
        <v>619</v>
      </c>
      <c r="Q297" s="1" t="s">
        <v>3571</v>
      </c>
    </row>
    <row r="298" spans="1:17" x14ac:dyDescent="0.25">
      <c r="A298" s="38" t="s">
        <v>4560</v>
      </c>
      <c r="B298" s="1">
        <v>297</v>
      </c>
      <c r="C298" s="1" t="s">
        <v>1339</v>
      </c>
      <c r="D298" s="1" t="s">
        <v>3572</v>
      </c>
      <c r="E298" s="1" t="s">
        <v>263</v>
      </c>
      <c r="F298" s="1">
        <v>922815639</v>
      </c>
      <c r="G298" s="1" t="s">
        <v>3573</v>
      </c>
      <c r="H298" s="1" t="s">
        <v>2135</v>
      </c>
      <c r="I298" s="1" t="str">
        <f t="shared" si="4"/>
        <v>F</v>
      </c>
      <c r="J298" s="1" t="s">
        <v>2127</v>
      </c>
      <c r="K298" s="1" t="s">
        <v>2376</v>
      </c>
      <c r="L298" s="1" t="s">
        <v>2376</v>
      </c>
      <c r="M298" s="1" t="s">
        <v>3574</v>
      </c>
      <c r="N298" s="1" t="s">
        <v>2140</v>
      </c>
      <c r="O298" s="1" t="s">
        <v>90</v>
      </c>
      <c r="P298" s="1" t="s">
        <v>223</v>
      </c>
      <c r="Q298" s="1" t="s">
        <v>3575</v>
      </c>
    </row>
    <row r="299" spans="1:17" x14ac:dyDescent="0.25">
      <c r="A299" s="38" t="s">
        <v>4777</v>
      </c>
      <c r="B299" s="1">
        <v>298</v>
      </c>
      <c r="C299" s="1" t="s">
        <v>1550</v>
      </c>
      <c r="D299" s="1" t="s">
        <v>3576</v>
      </c>
      <c r="E299" s="1" t="s">
        <v>390</v>
      </c>
      <c r="F299" s="1">
        <v>980509283</v>
      </c>
      <c r="G299" s="1" t="s">
        <v>3577</v>
      </c>
      <c r="H299" s="1" t="s">
        <v>2135</v>
      </c>
      <c r="I299" s="1" t="str">
        <f t="shared" si="4"/>
        <v>F</v>
      </c>
      <c r="J299" s="1" t="s">
        <v>2127</v>
      </c>
      <c r="K299" s="1" t="s">
        <v>919</v>
      </c>
      <c r="L299" s="1" t="s">
        <v>2192</v>
      </c>
      <c r="M299" s="1" t="s">
        <v>3578</v>
      </c>
      <c r="N299" s="1" t="s">
        <v>2130</v>
      </c>
      <c r="O299" s="1" t="s">
        <v>90</v>
      </c>
      <c r="P299" s="1" t="s">
        <v>368</v>
      </c>
      <c r="Q299" s="1" t="s">
        <v>3579</v>
      </c>
    </row>
    <row r="300" spans="1:17" x14ac:dyDescent="0.25">
      <c r="A300" s="38" t="s">
        <v>4549</v>
      </c>
      <c r="B300" s="1">
        <v>299</v>
      </c>
      <c r="C300" s="1" t="s">
        <v>1327</v>
      </c>
      <c r="D300" s="1" t="s">
        <v>3580</v>
      </c>
      <c r="E300" s="1" t="s">
        <v>239</v>
      </c>
      <c r="F300" s="1">
        <v>991672212</v>
      </c>
      <c r="G300" s="1" t="s">
        <v>3581</v>
      </c>
      <c r="H300" s="1" t="s">
        <v>2126</v>
      </c>
      <c r="I300" s="1" t="str">
        <f t="shared" si="4"/>
        <v>M</v>
      </c>
      <c r="J300" s="1" t="s">
        <v>2127</v>
      </c>
      <c r="K300" s="1" t="s">
        <v>919</v>
      </c>
      <c r="L300" s="1" t="s">
        <v>919</v>
      </c>
      <c r="M300" s="1" t="s">
        <v>3582</v>
      </c>
      <c r="N300" s="1" t="s">
        <v>2140</v>
      </c>
      <c r="O300" s="1" t="s">
        <v>90</v>
      </c>
      <c r="P300" s="1" t="s">
        <v>223</v>
      </c>
      <c r="Q300" s="1" t="s">
        <v>3583</v>
      </c>
    </row>
    <row r="301" spans="1:17" x14ac:dyDescent="0.25">
      <c r="A301" s="38" t="s">
        <v>4986</v>
      </c>
      <c r="B301" s="1">
        <v>300</v>
      </c>
      <c r="C301" s="1" t="s">
        <v>3584</v>
      </c>
      <c r="D301" s="1" t="s">
        <v>3585</v>
      </c>
      <c r="E301" s="1" t="s">
        <v>3586</v>
      </c>
      <c r="F301" s="1">
        <v>914081584</v>
      </c>
      <c r="G301" s="1" t="s">
        <v>3587</v>
      </c>
      <c r="H301" s="1" t="s">
        <v>2126</v>
      </c>
      <c r="I301" s="1" t="str">
        <f t="shared" si="4"/>
        <v>M</v>
      </c>
      <c r="J301" s="1" t="s">
        <v>2127</v>
      </c>
      <c r="K301" s="1" t="s">
        <v>2127</v>
      </c>
      <c r="L301" s="1" t="s">
        <v>2366</v>
      </c>
      <c r="M301" s="1" t="s">
        <v>3588</v>
      </c>
      <c r="N301" s="1" t="s">
        <v>2315</v>
      </c>
      <c r="O301" s="1" t="s">
        <v>90</v>
      </c>
      <c r="P301" s="1" t="s">
        <v>2316</v>
      </c>
      <c r="Q301" s="1" t="s">
        <v>3589</v>
      </c>
    </row>
    <row r="302" spans="1:17" x14ac:dyDescent="0.25">
      <c r="A302" s="38" t="s">
        <v>4567</v>
      </c>
      <c r="B302" s="1">
        <v>301</v>
      </c>
      <c r="C302" s="1" t="s">
        <v>1346</v>
      </c>
      <c r="D302" s="1" t="s">
        <v>3590</v>
      </c>
      <c r="E302" s="1" t="s">
        <v>629</v>
      </c>
      <c r="F302" s="1">
        <v>930226970</v>
      </c>
      <c r="G302" s="1" t="s">
        <v>3591</v>
      </c>
      <c r="H302" s="1" t="s">
        <v>2126</v>
      </c>
      <c r="I302" s="1" t="str">
        <f t="shared" si="4"/>
        <v>M</v>
      </c>
      <c r="J302" s="1" t="s">
        <v>2127</v>
      </c>
      <c r="K302" s="1" t="s">
        <v>919</v>
      </c>
      <c r="L302" s="1" t="s">
        <v>919</v>
      </c>
      <c r="M302" s="1" t="s">
        <v>3592</v>
      </c>
      <c r="N302" s="1" t="s">
        <v>2140</v>
      </c>
      <c r="O302" s="1" t="s">
        <v>90</v>
      </c>
      <c r="P302" s="1" t="s">
        <v>619</v>
      </c>
      <c r="Q302" s="1" t="s">
        <v>3593</v>
      </c>
    </row>
    <row r="303" spans="1:17" x14ac:dyDescent="0.25">
      <c r="A303" s="38" t="s">
        <v>4625</v>
      </c>
      <c r="B303" s="1">
        <v>302</v>
      </c>
      <c r="C303" s="1" t="s">
        <v>1401</v>
      </c>
      <c r="D303" s="1" t="s">
        <v>3594</v>
      </c>
      <c r="E303" s="1" t="s">
        <v>754</v>
      </c>
      <c r="F303" s="1">
        <v>963679166</v>
      </c>
      <c r="G303" s="1" t="s">
        <v>3595</v>
      </c>
      <c r="H303" s="1" t="s">
        <v>2126</v>
      </c>
      <c r="I303" s="1" t="str">
        <f t="shared" si="4"/>
        <v>M</v>
      </c>
      <c r="J303" s="1" t="s">
        <v>2127</v>
      </c>
      <c r="K303" s="1" t="s">
        <v>2376</v>
      </c>
      <c r="L303" s="1" t="s">
        <v>2376</v>
      </c>
      <c r="M303" s="1" t="s">
        <v>3596</v>
      </c>
      <c r="N303" s="1" t="s">
        <v>2140</v>
      </c>
      <c r="O303" s="1" t="s">
        <v>90</v>
      </c>
      <c r="P303" s="1" t="s">
        <v>730</v>
      </c>
      <c r="Q303" s="1" t="s">
        <v>3597</v>
      </c>
    </row>
    <row r="304" spans="1:17" x14ac:dyDescent="0.25">
      <c r="A304" s="38" t="s">
        <v>4987</v>
      </c>
      <c r="B304" s="1">
        <v>303</v>
      </c>
      <c r="C304" s="1" t="s">
        <v>3598</v>
      </c>
      <c r="D304" s="1" t="s">
        <v>3599</v>
      </c>
      <c r="E304" s="1" t="s">
        <v>721</v>
      </c>
      <c r="F304" s="1">
        <v>957810913</v>
      </c>
      <c r="G304" s="1" t="s">
        <v>3600</v>
      </c>
      <c r="H304" s="1" t="s">
        <v>2126</v>
      </c>
      <c r="I304" s="1" t="str">
        <f t="shared" si="4"/>
        <v>M</v>
      </c>
      <c r="J304" s="1" t="s">
        <v>2127</v>
      </c>
      <c r="K304" s="1" t="s">
        <v>919</v>
      </c>
      <c r="L304" s="1" t="s">
        <v>2192</v>
      </c>
      <c r="M304" s="1" t="s">
        <v>3601</v>
      </c>
      <c r="N304" s="1" t="s">
        <v>2140</v>
      </c>
      <c r="O304" s="1" t="s">
        <v>90</v>
      </c>
      <c r="P304" s="1" t="s">
        <v>619</v>
      </c>
      <c r="Q304" s="1" t="s">
        <v>3602</v>
      </c>
    </row>
    <row r="305" spans="1:17" x14ac:dyDescent="0.25">
      <c r="A305" s="38" t="s">
        <v>4646</v>
      </c>
      <c r="B305" s="1">
        <v>304</v>
      </c>
      <c r="C305" s="1" t="s">
        <v>1422</v>
      </c>
      <c r="D305" s="1" t="s">
        <v>3603</v>
      </c>
      <c r="E305" s="1" t="s">
        <v>566</v>
      </c>
      <c r="F305" s="1">
        <v>956995046</v>
      </c>
      <c r="G305" s="1" t="s">
        <v>3604</v>
      </c>
      <c r="H305" s="1" t="s">
        <v>2126</v>
      </c>
      <c r="I305" s="1" t="str">
        <f t="shared" si="4"/>
        <v>M</v>
      </c>
      <c r="J305" s="1" t="s">
        <v>2127</v>
      </c>
      <c r="K305" s="1" t="s">
        <v>2127</v>
      </c>
      <c r="L305" s="1" t="s">
        <v>2127</v>
      </c>
      <c r="M305" s="1" t="s">
        <v>3605</v>
      </c>
      <c r="N305" s="1" t="s">
        <v>2150</v>
      </c>
      <c r="O305" s="1" t="s">
        <v>90</v>
      </c>
      <c r="P305" s="1" t="s">
        <v>532</v>
      </c>
      <c r="Q305" s="1" t="s">
        <v>3606</v>
      </c>
    </row>
    <row r="306" spans="1:17" x14ac:dyDescent="0.25">
      <c r="A306" s="38" t="s">
        <v>4647</v>
      </c>
      <c r="B306" s="1">
        <v>305</v>
      </c>
      <c r="C306" s="1" t="s">
        <v>1423</v>
      </c>
      <c r="D306" s="1" t="s">
        <v>3607</v>
      </c>
      <c r="E306" s="1" t="s">
        <v>568</v>
      </c>
      <c r="F306" s="1">
        <v>950497989</v>
      </c>
      <c r="G306" s="1" t="s">
        <v>3608</v>
      </c>
      <c r="H306" s="1" t="s">
        <v>2135</v>
      </c>
      <c r="I306" s="1" t="str">
        <f t="shared" si="4"/>
        <v>F</v>
      </c>
      <c r="J306" s="1" t="s">
        <v>2127</v>
      </c>
      <c r="K306" s="1" t="s">
        <v>2127</v>
      </c>
      <c r="L306" s="1" t="s">
        <v>2479</v>
      </c>
      <c r="M306" s="1" t="s">
        <v>3609</v>
      </c>
      <c r="N306" s="1" t="s">
        <v>2150</v>
      </c>
      <c r="O306" s="1" t="s">
        <v>90</v>
      </c>
      <c r="P306" s="1" t="s">
        <v>532</v>
      </c>
      <c r="Q306" s="1" t="s">
        <v>3610</v>
      </c>
    </row>
    <row r="307" spans="1:17" x14ac:dyDescent="0.25">
      <c r="A307" s="38" t="s">
        <v>4804</v>
      </c>
      <c r="B307" s="1">
        <v>306</v>
      </c>
      <c r="C307" s="1" t="s">
        <v>1572</v>
      </c>
      <c r="D307" s="1" t="s">
        <v>3611</v>
      </c>
      <c r="E307" s="1" t="s">
        <v>43</v>
      </c>
      <c r="F307" s="1">
        <v>959148878</v>
      </c>
      <c r="G307" s="1" t="s">
        <v>3612</v>
      </c>
      <c r="H307" s="1" t="s">
        <v>2126</v>
      </c>
      <c r="I307" s="1" t="str">
        <f t="shared" si="4"/>
        <v>M</v>
      </c>
      <c r="J307" s="1" t="s">
        <v>2127</v>
      </c>
      <c r="K307" s="1" t="s">
        <v>2127</v>
      </c>
      <c r="L307" s="1" t="s">
        <v>2127</v>
      </c>
      <c r="M307" s="1" t="s">
        <v>3613</v>
      </c>
      <c r="N307" s="1" t="s">
        <v>2130</v>
      </c>
      <c r="O307" s="1" t="s">
        <v>9</v>
      </c>
      <c r="P307" s="1" t="s">
        <v>10</v>
      </c>
      <c r="Q307" s="1" t="s">
        <v>3614</v>
      </c>
    </row>
    <row r="308" spans="1:17" x14ac:dyDescent="0.25">
      <c r="A308" s="38" t="s">
        <v>4665</v>
      </c>
      <c r="B308" s="1">
        <v>307</v>
      </c>
      <c r="C308" s="1" t="s">
        <v>1441</v>
      </c>
      <c r="D308" s="1" t="s">
        <v>3615</v>
      </c>
      <c r="E308" s="1" t="s">
        <v>604</v>
      </c>
      <c r="F308" s="1">
        <v>914702819</v>
      </c>
      <c r="G308" s="1" t="s">
        <v>3616</v>
      </c>
      <c r="H308" s="1" t="s">
        <v>2135</v>
      </c>
      <c r="I308" s="1" t="str">
        <f t="shared" si="4"/>
        <v>F</v>
      </c>
      <c r="J308" s="1" t="s">
        <v>2127</v>
      </c>
      <c r="K308" s="1" t="s">
        <v>919</v>
      </c>
      <c r="L308" s="1" t="s">
        <v>919</v>
      </c>
      <c r="M308" s="1" t="s">
        <v>3617</v>
      </c>
      <c r="N308" s="1" t="s">
        <v>2150</v>
      </c>
      <c r="O308" s="1" t="s">
        <v>90</v>
      </c>
      <c r="P308" s="1" t="s">
        <v>532</v>
      </c>
      <c r="Q308" s="1" t="s">
        <v>3618</v>
      </c>
    </row>
    <row r="309" spans="1:17" x14ac:dyDescent="0.25">
      <c r="A309" s="38" t="s">
        <v>4597</v>
      </c>
      <c r="B309" s="1">
        <v>308</v>
      </c>
      <c r="C309" s="1" t="s">
        <v>1376</v>
      </c>
      <c r="D309" s="1" t="s">
        <v>3619</v>
      </c>
      <c r="E309" s="1" t="s">
        <v>689</v>
      </c>
      <c r="F309" s="1">
        <v>976841193</v>
      </c>
      <c r="G309" s="1" t="s">
        <v>3620</v>
      </c>
      <c r="H309" s="1" t="s">
        <v>2126</v>
      </c>
      <c r="I309" s="1" t="str">
        <f t="shared" si="4"/>
        <v>M</v>
      </c>
      <c r="J309" s="1" t="s">
        <v>2127</v>
      </c>
      <c r="K309" s="1" t="s">
        <v>919</v>
      </c>
      <c r="L309" s="1" t="s">
        <v>919</v>
      </c>
      <c r="M309" s="1" t="s">
        <v>3621</v>
      </c>
      <c r="N309" s="1" t="s">
        <v>2140</v>
      </c>
      <c r="O309" s="1" t="s">
        <v>90</v>
      </c>
      <c r="P309" s="1" t="s">
        <v>619</v>
      </c>
      <c r="Q309" s="1" t="s">
        <v>3622</v>
      </c>
    </row>
    <row r="310" spans="1:17" x14ac:dyDescent="0.25">
      <c r="A310" s="38" t="s">
        <v>4759</v>
      </c>
      <c r="B310" s="1">
        <v>309</v>
      </c>
      <c r="C310" s="1" t="s">
        <v>1532</v>
      </c>
      <c r="D310" s="1" t="s">
        <v>3623</v>
      </c>
      <c r="E310" s="1" t="s">
        <v>474</v>
      </c>
      <c r="F310" s="1">
        <v>924025705</v>
      </c>
      <c r="G310" s="1" t="s">
        <v>3624</v>
      </c>
      <c r="H310" s="1" t="s">
        <v>2135</v>
      </c>
      <c r="I310" s="1" t="str">
        <f t="shared" si="4"/>
        <v>F</v>
      </c>
      <c r="J310" s="1" t="s">
        <v>2127</v>
      </c>
      <c r="K310" s="1" t="s">
        <v>919</v>
      </c>
      <c r="L310" s="1" t="s">
        <v>919</v>
      </c>
      <c r="M310" s="1" t="s">
        <v>3625</v>
      </c>
      <c r="N310" s="1" t="s">
        <v>2130</v>
      </c>
      <c r="O310" s="1" t="s">
        <v>90</v>
      </c>
      <c r="P310" s="1" t="s">
        <v>418</v>
      </c>
      <c r="Q310" s="1" t="s">
        <v>3626</v>
      </c>
    </row>
    <row r="311" spans="1:17" x14ac:dyDescent="0.25">
      <c r="A311" s="38" t="s">
        <v>4988</v>
      </c>
      <c r="B311" s="1">
        <v>310</v>
      </c>
      <c r="C311" s="1" t="s">
        <v>3627</v>
      </c>
      <c r="D311" s="1" t="s">
        <v>3628</v>
      </c>
      <c r="E311" s="1" t="s">
        <v>3629</v>
      </c>
      <c r="F311" s="1">
        <v>916176518</v>
      </c>
      <c r="G311" s="1" t="s">
        <v>3630</v>
      </c>
      <c r="H311" s="1" t="s">
        <v>2135</v>
      </c>
      <c r="I311" s="1" t="str">
        <f t="shared" si="4"/>
        <v>F</v>
      </c>
      <c r="J311" s="1" t="s">
        <v>2127</v>
      </c>
      <c r="K311" s="1" t="s">
        <v>919</v>
      </c>
      <c r="L311" s="1" t="s">
        <v>2186</v>
      </c>
      <c r="M311" s="1" t="s">
        <v>3631</v>
      </c>
      <c r="N311" s="1" t="s">
        <v>2698</v>
      </c>
      <c r="O311" s="1" t="s">
        <v>90</v>
      </c>
      <c r="P311" s="1" t="s">
        <v>2699</v>
      </c>
      <c r="Q311" s="1" t="s">
        <v>3632</v>
      </c>
    </row>
    <row r="312" spans="1:17" x14ac:dyDescent="0.25">
      <c r="A312" s="38" t="s">
        <v>4552</v>
      </c>
      <c r="B312" s="1">
        <v>311</v>
      </c>
      <c r="C312" s="1" t="s">
        <v>1330</v>
      </c>
      <c r="D312" s="1" t="s">
        <v>3633</v>
      </c>
      <c r="E312" s="1" t="s">
        <v>245</v>
      </c>
      <c r="F312" s="1">
        <v>942238971</v>
      </c>
      <c r="G312" s="1" t="s">
        <v>3634</v>
      </c>
      <c r="H312" s="1" t="s">
        <v>2135</v>
      </c>
      <c r="I312" s="1" t="str">
        <f t="shared" si="4"/>
        <v>F</v>
      </c>
      <c r="J312" s="1" t="s">
        <v>2127</v>
      </c>
      <c r="K312" s="1" t="s">
        <v>919</v>
      </c>
      <c r="L312" s="1" t="s">
        <v>919</v>
      </c>
      <c r="M312" s="1" t="s">
        <v>3635</v>
      </c>
      <c r="N312" s="1" t="s">
        <v>2140</v>
      </c>
      <c r="O312" s="1" t="s">
        <v>90</v>
      </c>
      <c r="P312" s="1" t="s">
        <v>223</v>
      </c>
      <c r="Q312" s="1" t="s">
        <v>3636</v>
      </c>
    </row>
    <row r="313" spans="1:17" x14ac:dyDescent="0.25">
      <c r="A313" s="38" t="s">
        <v>4538</v>
      </c>
      <c r="B313" s="1">
        <v>312</v>
      </c>
      <c r="C313" s="1" t="s">
        <v>1316</v>
      </c>
      <c r="D313" s="1" t="s">
        <v>3637</v>
      </c>
      <c r="E313" s="1" t="s">
        <v>165</v>
      </c>
      <c r="F313" s="1">
        <v>913428467</v>
      </c>
      <c r="G313" s="1" t="s">
        <v>3638</v>
      </c>
      <c r="H313" s="1" t="s">
        <v>2126</v>
      </c>
      <c r="I313" s="1" t="str">
        <f t="shared" si="4"/>
        <v>M</v>
      </c>
      <c r="J313" s="1" t="s">
        <v>2127</v>
      </c>
      <c r="K313" s="1" t="s">
        <v>2127</v>
      </c>
      <c r="L313" s="1" t="s">
        <v>2479</v>
      </c>
      <c r="M313" s="1" t="s">
        <v>3639</v>
      </c>
      <c r="N313" s="1" t="s">
        <v>2140</v>
      </c>
      <c r="O313" s="1" t="s">
        <v>90</v>
      </c>
      <c r="P313" s="1" t="s">
        <v>135</v>
      </c>
      <c r="Q313" s="1" t="s">
        <v>3640</v>
      </c>
    </row>
    <row r="314" spans="1:17" x14ac:dyDescent="0.25">
      <c r="A314" s="38" t="s">
        <v>4989</v>
      </c>
      <c r="B314" s="1">
        <v>313</v>
      </c>
      <c r="C314" s="1" t="s">
        <v>3641</v>
      </c>
      <c r="D314" s="1" t="s">
        <v>3642</v>
      </c>
      <c r="E314" s="1" t="s">
        <v>3643</v>
      </c>
      <c r="F314" s="1">
        <v>910505308</v>
      </c>
      <c r="G314" s="1" t="s">
        <v>3644</v>
      </c>
      <c r="H314" s="1" t="s">
        <v>2135</v>
      </c>
      <c r="I314" s="1" t="str">
        <f t="shared" si="4"/>
        <v>F</v>
      </c>
      <c r="J314" s="1" t="s">
        <v>2127</v>
      </c>
      <c r="K314" s="1" t="s">
        <v>919</v>
      </c>
      <c r="L314" s="1" t="s">
        <v>919</v>
      </c>
      <c r="M314" s="1" t="s">
        <v>3645</v>
      </c>
      <c r="N314" s="1" t="s">
        <v>2150</v>
      </c>
      <c r="O314" s="1" t="s">
        <v>90</v>
      </c>
      <c r="P314" s="1" t="s">
        <v>2475</v>
      </c>
      <c r="Q314" s="1" t="s">
        <v>3646</v>
      </c>
    </row>
    <row r="315" spans="1:17" x14ac:dyDescent="0.25">
      <c r="A315" s="38" t="s">
        <v>4596</v>
      </c>
      <c r="B315" s="1">
        <v>314</v>
      </c>
      <c r="C315" s="1" t="s">
        <v>1375</v>
      </c>
      <c r="D315" s="1" t="s">
        <v>3647</v>
      </c>
      <c r="E315" s="1" t="s">
        <v>687</v>
      </c>
      <c r="F315" s="1">
        <v>937352418</v>
      </c>
      <c r="G315" s="1" t="s">
        <v>3648</v>
      </c>
      <c r="H315" s="1" t="s">
        <v>2126</v>
      </c>
      <c r="I315" s="1" t="str">
        <f t="shared" si="4"/>
        <v>M</v>
      </c>
      <c r="J315" s="1" t="s">
        <v>2127</v>
      </c>
      <c r="K315" s="1" t="s">
        <v>919</v>
      </c>
      <c r="L315" s="1" t="s">
        <v>2457</v>
      </c>
      <c r="M315" s="1" t="s">
        <v>3649</v>
      </c>
      <c r="N315" s="1" t="s">
        <v>2140</v>
      </c>
      <c r="O315" s="1" t="s">
        <v>90</v>
      </c>
      <c r="P315" s="1" t="s">
        <v>619</v>
      </c>
      <c r="Q315" s="1" t="s">
        <v>3650</v>
      </c>
    </row>
    <row r="316" spans="1:17" x14ac:dyDescent="0.25">
      <c r="A316" s="38" t="s">
        <v>4990</v>
      </c>
      <c r="B316" s="1">
        <v>315</v>
      </c>
      <c r="C316" s="1" t="s">
        <v>3651</v>
      </c>
      <c r="D316" s="1" t="s">
        <v>3652</v>
      </c>
      <c r="E316" s="1" t="s">
        <v>3653</v>
      </c>
      <c r="F316" s="1">
        <v>955995553</v>
      </c>
      <c r="G316" s="1" t="s">
        <v>3654</v>
      </c>
      <c r="H316" s="1" t="s">
        <v>2135</v>
      </c>
      <c r="I316" s="1" t="str">
        <f t="shared" si="4"/>
        <v>F</v>
      </c>
      <c r="J316" s="1" t="s">
        <v>2127</v>
      </c>
      <c r="K316" s="1" t="s">
        <v>2127</v>
      </c>
      <c r="L316" s="1" t="s">
        <v>2382</v>
      </c>
      <c r="M316" s="1" t="s">
        <v>3655</v>
      </c>
      <c r="N316" s="1" t="s">
        <v>2150</v>
      </c>
      <c r="O316" s="1" t="s">
        <v>90</v>
      </c>
      <c r="P316" s="1" t="s">
        <v>2160</v>
      </c>
      <c r="Q316" s="1" t="s">
        <v>3656</v>
      </c>
    </row>
    <row r="317" spans="1:17" x14ac:dyDescent="0.25">
      <c r="A317" s="38" t="s">
        <v>4991</v>
      </c>
      <c r="B317" s="1">
        <v>316</v>
      </c>
      <c r="C317" s="1" t="s">
        <v>3657</v>
      </c>
      <c r="D317" s="1" t="s">
        <v>3658</v>
      </c>
      <c r="E317" s="1" t="s">
        <v>3659</v>
      </c>
      <c r="F317" s="1">
        <v>930746753</v>
      </c>
      <c r="G317" s="1" t="s">
        <v>3660</v>
      </c>
      <c r="H317" s="1" t="s">
        <v>2126</v>
      </c>
      <c r="I317" s="1" t="str">
        <f t="shared" si="4"/>
        <v>M</v>
      </c>
      <c r="J317" s="1" t="s">
        <v>2127</v>
      </c>
      <c r="K317" s="1" t="s">
        <v>919</v>
      </c>
      <c r="L317" s="1" t="s">
        <v>2457</v>
      </c>
      <c r="M317" s="1" t="s">
        <v>3661</v>
      </c>
      <c r="N317" s="1" t="s">
        <v>2212</v>
      </c>
      <c r="O317" s="1" t="s">
        <v>90</v>
      </c>
      <c r="P317" s="1" t="s">
        <v>2213</v>
      </c>
      <c r="Q317" s="1" t="s">
        <v>3662</v>
      </c>
    </row>
    <row r="318" spans="1:17" x14ac:dyDescent="0.25">
      <c r="A318" s="38" t="s">
        <v>4992</v>
      </c>
      <c r="B318" s="1">
        <v>317</v>
      </c>
      <c r="C318" s="1" t="s">
        <v>3663</v>
      </c>
      <c r="D318" s="1" t="s">
        <v>3664</v>
      </c>
      <c r="E318" s="1" t="s">
        <v>3665</v>
      </c>
      <c r="F318" s="1">
        <v>985590267</v>
      </c>
      <c r="G318" s="1" t="s">
        <v>3666</v>
      </c>
      <c r="H318" s="1" t="s">
        <v>2135</v>
      </c>
      <c r="I318" s="1" t="str">
        <f t="shared" si="4"/>
        <v>F</v>
      </c>
      <c r="J318" s="1" t="s">
        <v>2127</v>
      </c>
      <c r="K318" s="1" t="s">
        <v>919</v>
      </c>
      <c r="L318" s="1" t="s">
        <v>2128</v>
      </c>
      <c r="M318" s="1" t="s">
        <v>3667</v>
      </c>
      <c r="N318" s="1" t="s">
        <v>2150</v>
      </c>
      <c r="O318" s="1" t="s">
        <v>90</v>
      </c>
      <c r="P318" s="1" t="s">
        <v>2475</v>
      </c>
      <c r="Q318" s="1" t="s">
        <v>3668</v>
      </c>
    </row>
    <row r="319" spans="1:17" x14ac:dyDescent="0.25">
      <c r="A319" s="38" t="s">
        <v>4993</v>
      </c>
      <c r="B319" s="1">
        <v>318</v>
      </c>
      <c r="C319" s="1" t="s">
        <v>3669</v>
      </c>
      <c r="D319" s="1" t="s">
        <v>3670</v>
      </c>
      <c r="E319" s="1" t="s">
        <v>171</v>
      </c>
      <c r="F319" s="1">
        <v>927874755</v>
      </c>
      <c r="G319" s="1" t="s">
        <v>3671</v>
      </c>
      <c r="H319" s="1" t="s">
        <v>2126</v>
      </c>
      <c r="I319" s="1" t="str">
        <f t="shared" si="4"/>
        <v>M</v>
      </c>
      <c r="J319" s="1" t="s">
        <v>2156</v>
      </c>
      <c r="K319" s="1" t="s">
        <v>2156</v>
      </c>
      <c r="L319" s="1" t="s">
        <v>3672</v>
      </c>
      <c r="M319" s="1" t="s">
        <v>3673</v>
      </c>
      <c r="N319" s="1" t="s">
        <v>2140</v>
      </c>
      <c r="O319" s="1" t="s">
        <v>90</v>
      </c>
      <c r="P319" s="1" t="s">
        <v>135</v>
      </c>
      <c r="Q319" s="1" t="s">
        <v>3674</v>
      </c>
    </row>
    <row r="320" spans="1:17" x14ac:dyDescent="0.25">
      <c r="A320" s="38" t="s">
        <v>4994</v>
      </c>
      <c r="B320" s="1">
        <v>319</v>
      </c>
      <c r="C320" s="1" t="s">
        <v>3675</v>
      </c>
      <c r="D320" s="1" t="s">
        <v>3676</v>
      </c>
      <c r="E320" s="1" t="s">
        <v>3677</v>
      </c>
      <c r="F320" s="1">
        <v>959295819</v>
      </c>
      <c r="G320" s="1" t="s">
        <v>3678</v>
      </c>
      <c r="H320" s="1" t="s">
        <v>2126</v>
      </c>
      <c r="I320" s="1" t="str">
        <f t="shared" si="4"/>
        <v>M</v>
      </c>
      <c r="J320" s="1" t="s">
        <v>2127</v>
      </c>
      <c r="K320" s="1" t="s">
        <v>919</v>
      </c>
      <c r="L320" s="1" t="s">
        <v>919</v>
      </c>
      <c r="M320" s="1" t="s">
        <v>3679</v>
      </c>
      <c r="N320" s="1" t="s">
        <v>2167</v>
      </c>
      <c r="O320" s="1" t="s">
        <v>90</v>
      </c>
      <c r="P320" s="1" t="s">
        <v>2168</v>
      </c>
      <c r="Q320" s="1" t="s">
        <v>3680</v>
      </c>
    </row>
    <row r="321" spans="1:17" x14ac:dyDescent="0.25">
      <c r="A321" s="38" t="s">
        <v>4529</v>
      </c>
      <c r="B321" s="1">
        <v>320</v>
      </c>
      <c r="C321" s="1" t="s">
        <v>1307</v>
      </c>
      <c r="D321" s="1" t="s">
        <v>3681</v>
      </c>
      <c r="E321" s="1" t="s">
        <v>147</v>
      </c>
      <c r="F321" s="1">
        <v>990453660</v>
      </c>
      <c r="G321" s="1" t="s">
        <v>3682</v>
      </c>
      <c r="H321" s="1" t="s">
        <v>2126</v>
      </c>
      <c r="I321" s="1" t="str">
        <f t="shared" si="4"/>
        <v>M</v>
      </c>
      <c r="J321" s="1" t="s">
        <v>2127</v>
      </c>
      <c r="K321" s="1" t="s">
        <v>919</v>
      </c>
      <c r="L321" s="1" t="s">
        <v>2192</v>
      </c>
      <c r="M321" s="1" t="s">
        <v>3683</v>
      </c>
      <c r="N321" s="1" t="s">
        <v>2140</v>
      </c>
      <c r="O321" s="1" t="s">
        <v>90</v>
      </c>
      <c r="P321" s="1" t="s">
        <v>135</v>
      </c>
      <c r="Q321" s="1" t="s">
        <v>3684</v>
      </c>
    </row>
    <row r="322" spans="1:17" x14ac:dyDescent="0.25">
      <c r="A322" s="38" t="s">
        <v>4885</v>
      </c>
      <c r="B322" s="1">
        <v>321</v>
      </c>
      <c r="C322" s="1" t="s">
        <v>1648</v>
      </c>
      <c r="D322" s="1" t="s">
        <v>3685</v>
      </c>
      <c r="E322" s="1" t="s">
        <v>180</v>
      </c>
      <c r="F322" s="1">
        <v>928720337</v>
      </c>
      <c r="G322" s="1" t="s">
        <v>3686</v>
      </c>
      <c r="H322" s="1" t="s">
        <v>2126</v>
      </c>
      <c r="I322" s="1" t="str">
        <f t="shared" si="4"/>
        <v>M</v>
      </c>
      <c r="J322" s="1" t="s">
        <v>3687</v>
      </c>
      <c r="K322" s="1" t="s">
        <v>3688</v>
      </c>
      <c r="L322" s="1" t="s">
        <v>3687</v>
      </c>
      <c r="M322" s="1" t="s">
        <v>3689</v>
      </c>
      <c r="N322" s="1" t="s">
        <v>2194</v>
      </c>
      <c r="O322" s="1" t="s">
        <v>90</v>
      </c>
      <c r="P322" s="1" t="s">
        <v>176</v>
      </c>
      <c r="Q322" s="1" t="s">
        <v>3690</v>
      </c>
    </row>
    <row r="323" spans="1:17" x14ac:dyDescent="0.25">
      <c r="A323" s="38" t="s">
        <v>4530</v>
      </c>
      <c r="B323" s="1">
        <v>322</v>
      </c>
      <c r="C323" s="1" t="s">
        <v>1308</v>
      </c>
      <c r="D323" s="1" t="s">
        <v>3691</v>
      </c>
      <c r="E323" s="1" t="s">
        <v>149</v>
      </c>
      <c r="F323" s="1">
        <v>963584802</v>
      </c>
      <c r="G323" s="1" t="s">
        <v>3692</v>
      </c>
      <c r="H323" s="1" t="s">
        <v>2126</v>
      </c>
      <c r="I323" s="1" t="str">
        <f t="shared" ref="I323:I386" si="5">IF(H323="MaSculino","M","F")</f>
        <v>M</v>
      </c>
      <c r="J323" s="1" t="s">
        <v>2127</v>
      </c>
      <c r="K323" s="1" t="s">
        <v>2127</v>
      </c>
      <c r="L323" s="1" t="s">
        <v>2127</v>
      </c>
      <c r="M323" s="1" t="s">
        <v>3693</v>
      </c>
      <c r="N323" s="1" t="s">
        <v>2140</v>
      </c>
      <c r="O323" s="1" t="s">
        <v>90</v>
      </c>
      <c r="P323" s="1" t="s">
        <v>135</v>
      </c>
      <c r="Q323" s="1" t="s">
        <v>3694</v>
      </c>
    </row>
    <row r="324" spans="1:17" x14ac:dyDescent="0.25">
      <c r="A324" s="38" t="s">
        <v>4663</v>
      </c>
      <c r="B324" s="1">
        <v>323</v>
      </c>
      <c r="C324" s="1" t="s">
        <v>1439</v>
      </c>
      <c r="D324" s="1" t="s">
        <v>3695</v>
      </c>
      <c r="E324" s="1" t="s">
        <v>600</v>
      </c>
      <c r="F324" s="1">
        <v>947384074</v>
      </c>
      <c r="G324" s="1" t="s">
        <v>3696</v>
      </c>
      <c r="H324" s="1" t="s">
        <v>2126</v>
      </c>
      <c r="I324" s="1" t="str">
        <f t="shared" si="5"/>
        <v>M</v>
      </c>
      <c r="J324" s="1" t="s">
        <v>2127</v>
      </c>
      <c r="K324" s="1" t="s">
        <v>919</v>
      </c>
      <c r="L324" s="1" t="s">
        <v>919</v>
      </c>
      <c r="M324" s="1" t="s">
        <v>3697</v>
      </c>
      <c r="N324" s="1" t="s">
        <v>2150</v>
      </c>
      <c r="O324" s="1" t="s">
        <v>90</v>
      </c>
      <c r="P324" s="1" t="s">
        <v>532</v>
      </c>
      <c r="Q324" s="1" t="s">
        <v>3698</v>
      </c>
    </row>
    <row r="325" spans="1:17" x14ac:dyDescent="0.25">
      <c r="A325" s="38" t="s">
        <v>4572</v>
      </c>
      <c r="B325" s="1">
        <v>324</v>
      </c>
      <c r="C325" s="1" t="s">
        <v>3699</v>
      </c>
      <c r="D325" s="1" t="s">
        <v>3700</v>
      </c>
      <c r="E325" s="1" t="s">
        <v>639</v>
      </c>
      <c r="F325" s="1">
        <v>939888555</v>
      </c>
      <c r="G325" s="1" t="s">
        <v>3701</v>
      </c>
      <c r="H325" s="1" t="s">
        <v>2126</v>
      </c>
      <c r="I325" s="1" t="str">
        <f t="shared" si="5"/>
        <v>M</v>
      </c>
      <c r="J325" s="1" t="s">
        <v>3172</v>
      </c>
      <c r="K325" s="1" t="s">
        <v>3702</v>
      </c>
      <c r="L325" s="1" t="s">
        <v>3703</v>
      </c>
      <c r="M325" s="1" t="s">
        <v>3704</v>
      </c>
      <c r="N325" s="1" t="s">
        <v>2140</v>
      </c>
      <c r="O325" s="1" t="s">
        <v>90</v>
      </c>
      <c r="P325" s="1" t="s">
        <v>619</v>
      </c>
      <c r="Q325" s="1" t="s">
        <v>3705</v>
      </c>
    </row>
    <row r="326" spans="1:17" x14ac:dyDescent="0.25">
      <c r="A326" s="38" t="s">
        <v>4837</v>
      </c>
      <c r="B326" s="1">
        <v>325</v>
      </c>
      <c r="C326" s="1" t="s">
        <v>1603</v>
      </c>
      <c r="D326" s="1" t="s">
        <v>3706</v>
      </c>
      <c r="E326" s="1" t="s">
        <v>515</v>
      </c>
      <c r="F326" s="1">
        <v>978878772</v>
      </c>
      <c r="G326" s="1" t="s">
        <v>3707</v>
      </c>
      <c r="H326" s="1" t="s">
        <v>2135</v>
      </c>
      <c r="I326" s="1" t="str">
        <f t="shared" si="5"/>
        <v>F</v>
      </c>
      <c r="J326" s="1" t="s">
        <v>2127</v>
      </c>
      <c r="K326" s="1" t="s">
        <v>919</v>
      </c>
      <c r="L326" s="1" t="s">
        <v>2192</v>
      </c>
      <c r="M326" s="1" t="s">
        <v>3708</v>
      </c>
      <c r="N326" s="1" t="s">
        <v>2329</v>
      </c>
      <c r="O326" s="1" t="s">
        <v>90</v>
      </c>
      <c r="P326" s="1" t="s">
        <v>493</v>
      </c>
      <c r="Q326" s="1" t="s">
        <v>3709</v>
      </c>
    </row>
    <row r="327" spans="1:17" x14ac:dyDescent="0.25">
      <c r="A327" s="38" t="s">
        <v>4728</v>
      </c>
      <c r="B327" s="1">
        <v>326</v>
      </c>
      <c r="C327" s="1" t="s">
        <v>3710</v>
      </c>
      <c r="D327" s="1" t="s">
        <v>3711</v>
      </c>
      <c r="E327" s="1" t="s">
        <v>357</v>
      </c>
      <c r="F327" s="1">
        <v>979410962</v>
      </c>
      <c r="G327" s="1" t="s">
        <v>3712</v>
      </c>
      <c r="H327" s="1" t="s">
        <v>2135</v>
      </c>
      <c r="I327" s="1" t="str">
        <f t="shared" si="5"/>
        <v>F</v>
      </c>
      <c r="J327" s="1" t="s">
        <v>2127</v>
      </c>
      <c r="K327" s="1" t="s">
        <v>919</v>
      </c>
      <c r="L327" s="1" t="s">
        <v>919</v>
      </c>
      <c r="M327" s="1" t="s">
        <v>3713</v>
      </c>
      <c r="N327" s="1" t="s">
        <v>2130</v>
      </c>
      <c r="O327" s="1" t="s">
        <v>90</v>
      </c>
      <c r="P327" s="1" t="s">
        <v>272</v>
      </c>
      <c r="Q327" s="1" t="s">
        <v>3714</v>
      </c>
    </row>
    <row r="328" spans="1:17" x14ac:dyDescent="0.25">
      <c r="A328" s="38" t="s">
        <v>4891</v>
      </c>
      <c r="B328" s="1">
        <v>327</v>
      </c>
      <c r="C328" s="1" t="s">
        <v>1327</v>
      </c>
      <c r="D328" s="1" t="s">
        <v>3715</v>
      </c>
      <c r="E328" s="1" t="s">
        <v>192</v>
      </c>
      <c r="F328" s="1">
        <v>929304528</v>
      </c>
      <c r="G328" s="1" t="s">
        <v>3716</v>
      </c>
      <c r="H328" s="1" t="s">
        <v>2126</v>
      </c>
      <c r="I328" s="1" t="str">
        <f t="shared" si="5"/>
        <v>M</v>
      </c>
      <c r="J328" s="1" t="s">
        <v>2127</v>
      </c>
      <c r="K328" s="1" t="s">
        <v>919</v>
      </c>
      <c r="L328" s="1" t="s">
        <v>919</v>
      </c>
      <c r="M328" s="1" t="s">
        <v>3717</v>
      </c>
      <c r="N328" s="1" t="s">
        <v>2194</v>
      </c>
      <c r="O328" s="1" t="s">
        <v>90</v>
      </c>
      <c r="P328" s="1" t="s">
        <v>176</v>
      </c>
      <c r="Q328" s="1" t="s">
        <v>3718</v>
      </c>
    </row>
    <row r="329" spans="1:17" x14ac:dyDescent="0.25">
      <c r="A329" s="38" t="s">
        <v>4841</v>
      </c>
      <c r="B329" s="1">
        <v>328</v>
      </c>
      <c r="C329" s="1" t="s">
        <v>1606</v>
      </c>
      <c r="D329" s="1" t="s">
        <v>3719</v>
      </c>
      <c r="E329" s="1" t="s">
        <v>523</v>
      </c>
      <c r="F329" s="1">
        <v>927919376</v>
      </c>
      <c r="G329" s="1" t="s">
        <v>3720</v>
      </c>
      <c r="H329" s="1" t="s">
        <v>2135</v>
      </c>
      <c r="I329" s="1" t="str">
        <f t="shared" si="5"/>
        <v>F</v>
      </c>
      <c r="J329" s="1" t="s">
        <v>2127</v>
      </c>
      <c r="K329" s="1" t="s">
        <v>919</v>
      </c>
      <c r="L329" s="1" t="s">
        <v>919</v>
      </c>
      <c r="M329" s="1" t="s">
        <v>3721</v>
      </c>
      <c r="N329" s="1" t="s">
        <v>2329</v>
      </c>
      <c r="O329" s="1" t="s">
        <v>90</v>
      </c>
      <c r="P329" s="1" t="s">
        <v>493</v>
      </c>
      <c r="Q329" s="1" t="s">
        <v>3722</v>
      </c>
    </row>
    <row r="330" spans="1:17" x14ac:dyDescent="0.25">
      <c r="A330" s="38" t="s">
        <v>4833</v>
      </c>
      <c r="B330" s="1">
        <v>329</v>
      </c>
      <c r="C330" s="1" t="s">
        <v>1599</v>
      </c>
      <c r="D330" s="1" t="s">
        <v>3723</v>
      </c>
      <c r="E330" s="1" t="s">
        <v>507</v>
      </c>
      <c r="F330" s="1">
        <v>920190315</v>
      </c>
      <c r="G330" s="1" t="s">
        <v>3724</v>
      </c>
      <c r="H330" s="1" t="s">
        <v>2135</v>
      </c>
      <c r="I330" s="1" t="str">
        <f t="shared" si="5"/>
        <v>F</v>
      </c>
      <c r="J330" s="1" t="s">
        <v>2127</v>
      </c>
      <c r="K330" s="1" t="s">
        <v>919</v>
      </c>
      <c r="L330" s="1" t="s">
        <v>919</v>
      </c>
      <c r="M330" s="1" t="s">
        <v>3725</v>
      </c>
      <c r="N330" s="1" t="s">
        <v>2329</v>
      </c>
      <c r="O330" s="1" t="s">
        <v>90</v>
      </c>
      <c r="P330" s="1" t="s">
        <v>493</v>
      </c>
      <c r="Q330" s="1" t="s">
        <v>3726</v>
      </c>
    </row>
    <row r="331" spans="1:17" x14ac:dyDescent="0.25">
      <c r="A331" s="38" t="s">
        <v>4706</v>
      </c>
      <c r="B331" s="1">
        <v>330</v>
      </c>
      <c r="C331" s="1" t="s">
        <v>1480</v>
      </c>
      <c r="D331" s="1" t="s">
        <v>3727</v>
      </c>
      <c r="E331" s="1" t="s">
        <v>311</v>
      </c>
      <c r="F331" s="1">
        <v>951044200</v>
      </c>
      <c r="G331" s="1" t="s">
        <v>3728</v>
      </c>
      <c r="H331" s="1" t="s">
        <v>2135</v>
      </c>
      <c r="I331" s="1" t="str">
        <f t="shared" si="5"/>
        <v>F</v>
      </c>
      <c r="J331" s="1" t="s">
        <v>2127</v>
      </c>
      <c r="K331" s="1" t="s">
        <v>919</v>
      </c>
      <c r="L331" s="1" t="s">
        <v>919</v>
      </c>
      <c r="M331" s="1" t="s">
        <v>3729</v>
      </c>
      <c r="N331" s="1" t="s">
        <v>2130</v>
      </c>
      <c r="O331" s="1" t="s">
        <v>90</v>
      </c>
      <c r="P331" s="1" t="s">
        <v>272</v>
      </c>
      <c r="Q331" s="1" t="s">
        <v>3730</v>
      </c>
    </row>
    <row r="332" spans="1:17" x14ac:dyDescent="0.25">
      <c r="A332" s="38" t="s">
        <v>4995</v>
      </c>
      <c r="B332" s="1">
        <v>331</v>
      </c>
      <c r="C332" s="1" t="s">
        <v>3731</v>
      </c>
      <c r="D332" s="1" t="s">
        <v>3732</v>
      </c>
      <c r="E332" s="1" t="s">
        <v>3733</v>
      </c>
      <c r="F332" s="1">
        <v>966424228</v>
      </c>
      <c r="G332" s="1" t="s">
        <v>3734</v>
      </c>
      <c r="H332" s="1" t="s">
        <v>2135</v>
      </c>
      <c r="I332" s="1" t="str">
        <f t="shared" si="5"/>
        <v>F</v>
      </c>
      <c r="J332" s="1" t="s">
        <v>2127</v>
      </c>
      <c r="K332" s="1" t="s">
        <v>919</v>
      </c>
      <c r="L332" s="1" t="s">
        <v>919</v>
      </c>
      <c r="M332" s="1" t="s">
        <v>3735</v>
      </c>
      <c r="N332" s="1" t="s">
        <v>2150</v>
      </c>
      <c r="O332" s="1" t="s">
        <v>90</v>
      </c>
      <c r="P332" s="1" t="s">
        <v>2475</v>
      </c>
      <c r="Q332" s="1" t="s">
        <v>3736</v>
      </c>
    </row>
    <row r="333" spans="1:17" x14ac:dyDescent="0.25">
      <c r="A333" s="38" t="s">
        <v>4996</v>
      </c>
      <c r="B333" s="1">
        <v>332</v>
      </c>
      <c r="C333" s="1" t="s">
        <v>3737</v>
      </c>
      <c r="D333" s="1" t="s">
        <v>3738</v>
      </c>
      <c r="E333" s="1" t="s">
        <v>3739</v>
      </c>
      <c r="F333" s="1">
        <v>921667578</v>
      </c>
      <c r="G333" s="1" t="s">
        <v>3740</v>
      </c>
      <c r="H333" s="1" t="s">
        <v>2126</v>
      </c>
      <c r="I333" s="1" t="str">
        <f t="shared" si="5"/>
        <v>M</v>
      </c>
      <c r="J333" s="1" t="s">
        <v>2127</v>
      </c>
      <c r="K333" s="1" t="s">
        <v>2127</v>
      </c>
      <c r="L333" s="1" t="s">
        <v>3251</v>
      </c>
      <c r="M333" s="1" t="s">
        <v>3741</v>
      </c>
      <c r="N333" s="1" t="s">
        <v>2212</v>
      </c>
      <c r="O333" s="1" t="s">
        <v>90</v>
      </c>
      <c r="P333" s="1" t="s">
        <v>2213</v>
      </c>
      <c r="Q333" s="1" t="s">
        <v>3742</v>
      </c>
    </row>
    <row r="334" spans="1:17" x14ac:dyDescent="0.25">
      <c r="A334" s="38" t="s">
        <v>4997</v>
      </c>
      <c r="B334" s="1">
        <v>333</v>
      </c>
      <c r="C334" s="1" t="s">
        <v>3743</v>
      </c>
      <c r="D334" s="1" t="s">
        <v>3744</v>
      </c>
      <c r="E334" s="1" t="s">
        <v>3745</v>
      </c>
      <c r="F334" s="1">
        <v>917176183</v>
      </c>
      <c r="G334" s="1" t="s">
        <v>3746</v>
      </c>
      <c r="H334" s="1" t="s">
        <v>2126</v>
      </c>
      <c r="I334" s="1" t="str">
        <f t="shared" si="5"/>
        <v>M</v>
      </c>
      <c r="J334" s="1" t="s">
        <v>2156</v>
      </c>
      <c r="K334" s="1" t="s">
        <v>2157</v>
      </c>
      <c r="L334" s="1" t="s">
        <v>2348</v>
      </c>
      <c r="M334" s="1" t="s">
        <v>3747</v>
      </c>
      <c r="N334" s="1" t="s">
        <v>2212</v>
      </c>
      <c r="O334" s="1" t="s">
        <v>90</v>
      </c>
      <c r="P334" s="1" t="s">
        <v>2213</v>
      </c>
      <c r="Q334" s="1" t="s">
        <v>3748</v>
      </c>
    </row>
    <row r="335" spans="1:17" x14ac:dyDescent="0.25">
      <c r="A335" s="38" t="s">
        <v>4998</v>
      </c>
      <c r="B335" s="1">
        <v>334</v>
      </c>
      <c r="C335" s="1" t="s">
        <v>3749</v>
      </c>
      <c r="D335" s="1" t="s">
        <v>3750</v>
      </c>
      <c r="E335" s="1" t="s">
        <v>3751</v>
      </c>
      <c r="F335" s="1">
        <v>957143554</v>
      </c>
      <c r="G335" s="1" t="s">
        <v>3752</v>
      </c>
      <c r="H335" s="1" t="s">
        <v>2126</v>
      </c>
      <c r="I335" s="1" t="str">
        <f t="shared" si="5"/>
        <v>M</v>
      </c>
      <c r="J335" s="1" t="s">
        <v>2127</v>
      </c>
      <c r="K335" s="1" t="s">
        <v>919</v>
      </c>
      <c r="L335" s="1" t="s">
        <v>919</v>
      </c>
      <c r="M335" s="1" t="s">
        <v>3753</v>
      </c>
      <c r="N335" s="1" t="s">
        <v>2167</v>
      </c>
      <c r="O335" s="1" t="s">
        <v>90</v>
      </c>
      <c r="P335" s="1" t="s">
        <v>2710</v>
      </c>
      <c r="Q335" s="1" t="s">
        <v>3754</v>
      </c>
    </row>
    <row r="336" spans="1:17" x14ac:dyDescent="0.25">
      <c r="A336" s="38" t="s">
        <v>4555</v>
      </c>
      <c r="B336" s="1">
        <v>335</v>
      </c>
      <c r="C336" s="1" t="s">
        <v>1334</v>
      </c>
      <c r="D336" s="1" t="s">
        <v>3755</v>
      </c>
      <c r="E336" s="1" t="s">
        <v>253</v>
      </c>
      <c r="F336" s="1">
        <v>975822946</v>
      </c>
      <c r="G336" s="1" t="s">
        <v>3756</v>
      </c>
      <c r="H336" s="1" t="s">
        <v>2126</v>
      </c>
      <c r="I336" s="1" t="str">
        <f t="shared" si="5"/>
        <v>M</v>
      </c>
      <c r="J336" s="1" t="s">
        <v>2127</v>
      </c>
      <c r="K336" s="1" t="s">
        <v>2127</v>
      </c>
      <c r="L336" s="1" t="s">
        <v>2127</v>
      </c>
      <c r="M336" s="1" t="s">
        <v>3757</v>
      </c>
      <c r="N336" s="1" t="s">
        <v>2140</v>
      </c>
      <c r="O336" s="1" t="s">
        <v>90</v>
      </c>
      <c r="P336" s="1" t="s">
        <v>223</v>
      </c>
      <c r="Q336" s="1" t="s">
        <v>3758</v>
      </c>
    </row>
    <row r="337" spans="1:17" x14ac:dyDescent="0.25">
      <c r="A337" s="38" t="s">
        <v>4690</v>
      </c>
      <c r="B337" s="1">
        <v>336</v>
      </c>
      <c r="C337" s="1" t="s">
        <v>1466</v>
      </c>
      <c r="D337" s="1" t="s">
        <v>3759</v>
      </c>
      <c r="E337" s="1" t="s">
        <v>279</v>
      </c>
      <c r="F337" s="1">
        <v>940115835</v>
      </c>
      <c r="G337" s="1" t="s">
        <v>3760</v>
      </c>
      <c r="H337" s="1" t="s">
        <v>2126</v>
      </c>
      <c r="I337" s="1" t="str">
        <f t="shared" si="5"/>
        <v>M</v>
      </c>
      <c r="J337" s="1" t="s">
        <v>2127</v>
      </c>
      <c r="K337" s="1" t="s">
        <v>919</v>
      </c>
      <c r="L337" s="1" t="s">
        <v>919</v>
      </c>
      <c r="M337" s="1" t="s">
        <v>3761</v>
      </c>
      <c r="N337" s="1" t="s">
        <v>2130</v>
      </c>
      <c r="O337" s="1" t="s">
        <v>90</v>
      </c>
      <c r="P337" s="1" t="s">
        <v>272</v>
      </c>
      <c r="Q337" s="1" t="s">
        <v>3762</v>
      </c>
    </row>
    <row r="338" spans="1:17" x14ac:dyDescent="0.25">
      <c r="A338" s="38" t="s">
        <v>4525</v>
      </c>
      <c r="B338" s="1">
        <v>337</v>
      </c>
      <c r="C338" s="1" t="s">
        <v>1302</v>
      </c>
      <c r="D338" s="1" t="s">
        <v>3763</v>
      </c>
      <c r="E338" s="1" t="s">
        <v>137</v>
      </c>
      <c r="F338" s="1">
        <v>926186587</v>
      </c>
      <c r="G338" s="1" t="s">
        <v>3764</v>
      </c>
      <c r="H338" s="1" t="s">
        <v>2126</v>
      </c>
      <c r="I338" s="1" t="str">
        <f t="shared" si="5"/>
        <v>M</v>
      </c>
      <c r="J338" s="1" t="s">
        <v>2268</v>
      </c>
      <c r="K338" s="1" t="s">
        <v>2268</v>
      </c>
      <c r="L338" s="1" t="s">
        <v>3387</v>
      </c>
      <c r="M338" s="1" t="s">
        <v>3765</v>
      </c>
      <c r="N338" s="1" t="s">
        <v>2140</v>
      </c>
      <c r="O338" s="1" t="s">
        <v>90</v>
      </c>
      <c r="P338" s="1" t="s">
        <v>135</v>
      </c>
      <c r="Q338" s="1" t="s">
        <v>3766</v>
      </c>
    </row>
    <row r="339" spans="1:17" x14ac:dyDescent="0.25">
      <c r="A339" s="38" t="s">
        <v>4717</v>
      </c>
      <c r="B339" s="1">
        <v>338</v>
      </c>
      <c r="C339" s="1" t="s">
        <v>1491</v>
      </c>
      <c r="D339" s="1" t="s">
        <v>3767</v>
      </c>
      <c r="E339" s="1" t="s">
        <v>333</v>
      </c>
      <c r="F339" s="1">
        <v>989473749</v>
      </c>
      <c r="G339" s="1" t="s">
        <v>3768</v>
      </c>
      <c r="H339" s="1" t="s">
        <v>2126</v>
      </c>
      <c r="I339" s="1" t="str">
        <f t="shared" si="5"/>
        <v>M</v>
      </c>
      <c r="J339" s="1" t="s">
        <v>3172</v>
      </c>
      <c r="K339" s="1" t="s">
        <v>3769</v>
      </c>
      <c r="L339" s="1" t="s">
        <v>3769</v>
      </c>
      <c r="M339" s="1" t="s">
        <v>3770</v>
      </c>
      <c r="N339" s="1" t="s">
        <v>2130</v>
      </c>
      <c r="O339" s="1" t="s">
        <v>90</v>
      </c>
      <c r="P339" s="1" t="s">
        <v>272</v>
      </c>
      <c r="Q339" s="1" t="s">
        <v>3771</v>
      </c>
    </row>
    <row r="340" spans="1:17" x14ac:dyDescent="0.25">
      <c r="A340" s="38" t="s">
        <v>4750</v>
      </c>
      <c r="B340" s="1">
        <v>339</v>
      </c>
      <c r="C340" s="1" t="s">
        <v>1523</v>
      </c>
      <c r="D340" s="1" t="s">
        <v>3772</v>
      </c>
      <c r="E340" s="1" t="s">
        <v>456</v>
      </c>
      <c r="F340" s="1">
        <v>935374145</v>
      </c>
      <c r="G340" s="1" t="s">
        <v>3595</v>
      </c>
      <c r="H340" s="1" t="s">
        <v>2135</v>
      </c>
      <c r="I340" s="1" t="str">
        <f t="shared" si="5"/>
        <v>F</v>
      </c>
      <c r="J340" s="1" t="s">
        <v>2127</v>
      </c>
      <c r="K340" s="1" t="s">
        <v>2127</v>
      </c>
      <c r="L340" s="1" t="s">
        <v>3773</v>
      </c>
      <c r="M340" s="1" t="s">
        <v>3774</v>
      </c>
      <c r="N340" s="1" t="s">
        <v>2130</v>
      </c>
      <c r="O340" s="1" t="s">
        <v>90</v>
      </c>
      <c r="P340" s="1" t="s">
        <v>418</v>
      </c>
      <c r="Q340" s="1" t="s">
        <v>3775</v>
      </c>
    </row>
    <row r="341" spans="1:17" x14ac:dyDescent="0.25">
      <c r="A341" s="38" t="s">
        <v>4999</v>
      </c>
      <c r="B341" s="1">
        <v>340</v>
      </c>
      <c r="C341" s="1" t="s">
        <v>3776</v>
      </c>
      <c r="D341" s="1" t="s">
        <v>3278</v>
      </c>
      <c r="E341" s="1" t="s">
        <v>3777</v>
      </c>
      <c r="F341" s="1">
        <v>985722954</v>
      </c>
      <c r="G341" s="1" t="s">
        <v>3778</v>
      </c>
      <c r="H341" s="1" t="s">
        <v>2126</v>
      </c>
      <c r="I341" s="1" t="str">
        <f t="shared" si="5"/>
        <v>M</v>
      </c>
      <c r="J341" s="1" t="s">
        <v>2127</v>
      </c>
      <c r="K341" s="1" t="s">
        <v>919</v>
      </c>
      <c r="L341" s="1" t="s">
        <v>2128</v>
      </c>
      <c r="M341" s="1" t="s">
        <v>3779</v>
      </c>
      <c r="N341" s="1" t="s">
        <v>2150</v>
      </c>
      <c r="O341" s="1" t="s">
        <v>90</v>
      </c>
      <c r="P341" s="1" t="s">
        <v>2160</v>
      </c>
      <c r="Q341" s="1" t="s">
        <v>3780</v>
      </c>
    </row>
    <row r="342" spans="1:17" x14ac:dyDescent="0.25">
      <c r="A342" s="38" t="s">
        <v>4578</v>
      </c>
      <c r="B342" s="1">
        <v>341</v>
      </c>
      <c r="C342" s="1" t="s">
        <v>1357</v>
      </c>
      <c r="D342" s="1" t="s">
        <v>3781</v>
      </c>
      <c r="E342" s="1" t="s">
        <v>651</v>
      </c>
      <c r="F342" s="1">
        <v>974272916</v>
      </c>
      <c r="G342" s="1" t="s">
        <v>3782</v>
      </c>
      <c r="H342" s="1" t="s">
        <v>2135</v>
      </c>
      <c r="I342" s="1" t="str">
        <f t="shared" si="5"/>
        <v>F</v>
      </c>
      <c r="J342" s="1" t="s">
        <v>2127</v>
      </c>
      <c r="K342" s="1" t="s">
        <v>919</v>
      </c>
      <c r="L342" s="1" t="s">
        <v>2418</v>
      </c>
      <c r="M342" s="1" t="s">
        <v>3783</v>
      </c>
      <c r="N342" s="1" t="s">
        <v>2140</v>
      </c>
      <c r="O342" s="1" t="s">
        <v>90</v>
      </c>
      <c r="P342" s="1" t="s">
        <v>619</v>
      </c>
      <c r="Q342" s="1" t="s">
        <v>3784</v>
      </c>
    </row>
    <row r="343" spans="1:17" x14ac:dyDescent="0.25">
      <c r="A343" s="38" t="s">
        <v>4573</v>
      </c>
      <c r="B343" s="1">
        <v>342</v>
      </c>
      <c r="C343" s="1" t="s">
        <v>1352</v>
      </c>
      <c r="D343" s="1" t="s">
        <v>3785</v>
      </c>
      <c r="E343" s="1" t="s">
        <v>641</v>
      </c>
      <c r="F343" s="1">
        <v>945214015</v>
      </c>
      <c r="G343" s="1" t="s">
        <v>3786</v>
      </c>
      <c r="H343" s="1" t="s">
        <v>2126</v>
      </c>
      <c r="I343" s="1" t="str">
        <f t="shared" si="5"/>
        <v>M</v>
      </c>
      <c r="J343" s="1" t="s">
        <v>2156</v>
      </c>
      <c r="K343" s="1" t="s">
        <v>2157</v>
      </c>
      <c r="L343" s="1" t="s">
        <v>2158</v>
      </c>
      <c r="M343" s="1" t="s">
        <v>3787</v>
      </c>
      <c r="N343" s="1" t="s">
        <v>2140</v>
      </c>
      <c r="O343" s="1" t="s">
        <v>90</v>
      </c>
      <c r="P343" s="1" t="s">
        <v>619</v>
      </c>
      <c r="Q343" s="1" t="s">
        <v>3788</v>
      </c>
    </row>
    <row r="344" spans="1:17" x14ac:dyDescent="0.25">
      <c r="A344" s="38" t="s">
        <v>4527</v>
      </c>
      <c r="B344" s="1">
        <v>343</v>
      </c>
      <c r="C344" s="1" t="s">
        <v>1305</v>
      </c>
      <c r="D344" s="1" t="s">
        <v>3789</v>
      </c>
      <c r="E344" s="1" t="s">
        <v>143</v>
      </c>
      <c r="F344" s="1">
        <v>972026173</v>
      </c>
      <c r="G344" s="1" t="s">
        <v>3790</v>
      </c>
      <c r="H344" s="1" t="s">
        <v>2126</v>
      </c>
      <c r="I344" s="1" t="str">
        <f t="shared" si="5"/>
        <v>M</v>
      </c>
      <c r="J344" s="1" t="s">
        <v>2127</v>
      </c>
      <c r="K344" s="1" t="s">
        <v>919</v>
      </c>
      <c r="L344" s="1" t="s">
        <v>919</v>
      </c>
      <c r="M344" s="1" t="s">
        <v>3791</v>
      </c>
      <c r="N344" s="1" t="s">
        <v>2140</v>
      </c>
      <c r="O344" s="1" t="s">
        <v>90</v>
      </c>
      <c r="P344" s="1" t="s">
        <v>135</v>
      </c>
      <c r="Q344" s="1" t="s">
        <v>3792</v>
      </c>
    </row>
    <row r="345" spans="1:17" x14ac:dyDescent="0.25">
      <c r="A345" s="38" t="s">
        <v>4668</v>
      </c>
      <c r="B345" s="1">
        <v>344</v>
      </c>
      <c r="C345" s="1" t="s">
        <v>1444</v>
      </c>
      <c r="D345" s="1" t="s">
        <v>3793</v>
      </c>
      <c r="E345" s="1" t="s">
        <v>610</v>
      </c>
      <c r="F345" s="1">
        <v>984634038</v>
      </c>
      <c r="G345" s="1" t="s">
        <v>3794</v>
      </c>
      <c r="H345" s="1" t="s">
        <v>2135</v>
      </c>
      <c r="I345" s="1" t="str">
        <f t="shared" si="5"/>
        <v>F</v>
      </c>
      <c r="J345" s="1" t="s">
        <v>2127</v>
      </c>
      <c r="K345" s="1" t="s">
        <v>2127</v>
      </c>
      <c r="L345" s="1" t="s">
        <v>2127</v>
      </c>
      <c r="M345" s="1" t="s">
        <v>3795</v>
      </c>
      <c r="N345" s="1" t="s">
        <v>2150</v>
      </c>
      <c r="O345" s="1" t="s">
        <v>90</v>
      </c>
      <c r="P345" s="1" t="s">
        <v>532</v>
      </c>
      <c r="Q345" s="1" t="s">
        <v>3796</v>
      </c>
    </row>
    <row r="346" spans="1:17" x14ac:dyDescent="0.25">
      <c r="A346" s="38" t="s">
        <v>4556</v>
      </c>
      <c r="B346" s="1">
        <v>345</v>
      </c>
      <c r="C346" s="1" t="s">
        <v>1335</v>
      </c>
      <c r="D346" s="1" t="s">
        <v>3797</v>
      </c>
      <c r="E346" s="1" t="s">
        <v>255</v>
      </c>
      <c r="F346" s="1">
        <v>916705746</v>
      </c>
      <c r="G346" s="1" t="s">
        <v>3798</v>
      </c>
      <c r="H346" s="1" t="s">
        <v>2135</v>
      </c>
      <c r="I346" s="1" t="str">
        <f t="shared" si="5"/>
        <v>F</v>
      </c>
      <c r="J346" s="1" t="s">
        <v>2127</v>
      </c>
      <c r="K346" s="1" t="s">
        <v>919</v>
      </c>
      <c r="L346" s="1" t="s">
        <v>919</v>
      </c>
      <c r="M346" s="1" t="s">
        <v>3799</v>
      </c>
      <c r="N346" s="1" t="s">
        <v>2140</v>
      </c>
      <c r="O346" s="1" t="s">
        <v>90</v>
      </c>
      <c r="P346" s="1" t="s">
        <v>223</v>
      </c>
      <c r="Q346" s="1" t="s">
        <v>3800</v>
      </c>
    </row>
    <row r="347" spans="1:17" x14ac:dyDescent="0.25">
      <c r="A347" s="38" t="s">
        <v>4724</v>
      </c>
      <c r="B347" s="1">
        <v>346</v>
      </c>
      <c r="C347" s="1" t="s">
        <v>1498</v>
      </c>
      <c r="D347" s="1" t="s">
        <v>3801</v>
      </c>
      <c r="E347" s="1" t="s">
        <v>347</v>
      </c>
      <c r="F347" s="1">
        <v>968185208</v>
      </c>
      <c r="G347" s="1" t="s">
        <v>3802</v>
      </c>
      <c r="H347" s="1" t="s">
        <v>2135</v>
      </c>
      <c r="I347" s="1" t="str">
        <f t="shared" si="5"/>
        <v>F</v>
      </c>
      <c r="J347" s="1" t="s">
        <v>2127</v>
      </c>
      <c r="K347" s="1" t="s">
        <v>2127</v>
      </c>
      <c r="L347" s="1" t="s">
        <v>2127</v>
      </c>
      <c r="M347" s="1" t="s">
        <v>3803</v>
      </c>
      <c r="N347" s="1" t="s">
        <v>2130</v>
      </c>
      <c r="O347" s="1" t="s">
        <v>90</v>
      </c>
      <c r="P347" s="1" t="s">
        <v>272</v>
      </c>
      <c r="Q347" s="1" t="s">
        <v>3804</v>
      </c>
    </row>
    <row r="348" spans="1:17" x14ac:dyDescent="0.25">
      <c r="A348" s="38" t="s">
        <v>5000</v>
      </c>
      <c r="B348" s="1">
        <v>347</v>
      </c>
      <c r="C348" s="1" t="s">
        <v>3805</v>
      </c>
      <c r="D348" s="1" t="s">
        <v>3806</v>
      </c>
      <c r="E348" s="1" t="s">
        <v>3807</v>
      </c>
      <c r="F348" s="1">
        <v>974160982</v>
      </c>
      <c r="G348" s="1" t="s">
        <v>3808</v>
      </c>
      <c r="H348" s="1" t="s">
        <v>2126</v>
      </c>
      <c r="I348" s="1" t="str">
        <f t="shared" si="5"/>
        <v>M</v>
      </c>
      <c r="J348" s="1" t="s">
        <v>2127</v>
      </c>
      <c r="K348" s="1" t="s">
        <v>919</v>
      </c>
      <c r="L348" s="1" t="s">
        <v>919</v>
      </c>
      <c r="M348" s="1" t="s">
        <v>3809</v>
      </c>
      <c r="N348" s="1" t="s">
        <v>2150</v>
      </c>
      <c r="O348" s="1" t="s">
        <v>90</v>
      </c>
      <c r="P348" s="1" t="s">
        <v>2475</v>
      </c>
      <c r="Q348" s="1" t="s">
        <v>3810</v>
      </c>
    </row>
    <row r="349" spans="1:17" x14ac:dyDescent="0.25">
      <c r="A349" s="38" t="s">
        <v>4561</v>
      </c>
      <c r="B349" s="1">
        <v>348</v>
      </c>
      <c r="C349" s="1" t="s">
        <v>1340</v>
      </c>
      <c r="D349" s="1" t="s">
        <v>3811</v>
      </c>
      <c r="E349" s="1" t="s">
        <v>265</v>
      </c>
      <c r="F349" s="1">
        <v>995782624</v>
      </c>
      <c r="G349" s="1" t="s">
        <v>3812</v>
      </c>
      <c r="H349" s="1" t="s">
        <v>2126</v>
      </c>
      <c r="I349" s="1" t="str">
        <f t="shared" si="5"/>
        <v>M</v>
      </c>
      <c r="J349" s="1" t="s">
        <v>2127</v>
      </c>
      <c r="K349" s="1" t="s">
        <v>919</v>
      </c>
      <c r="L349" s="1" t="s">
        <v>919</v>
      </c>
      <c r="M349" s="1" t="s">
        <v>3813</v>
      </c>
      <c r="N349" s="1" t="s">
        <v>2140</v>
      </c>
      <c r="O349" s="1" t="s">
        <v>90</v>
      </c>
      <c r="P349" s="1" t="s">
        <v>223</v>
      </c>
      <c r="Q349" s="1" t="s">
        <v>3814</v>
      </c>
    </row>
    <row r="350" spans="1:17" x14ac:dyDescent="0.25">
      <c r="A350" s="38" t="s">
        <v>4898</v>
      </c>
      <c r="B350" s="1">
        <v>349</v>
      </c>
      <c r="C350" s="1" t="s">
        <v>1656</v>
      </c>
      <c r="D350" s="1" t="s">
        <v>3815</v>
      </c>
      <c r="E350" s="1" t="s">
        <v>206</v>
      </c>
      <c r="F350" s="1">
        <v>954573441</v>
      </c>
      <c r="G350" s="1" t="s">
        <v>3816</v>
      </c>
      <c r="H350" s="1" t="s">
        <v>2126</v>
      </c>
      <c r="I350" s="1" t="str">
        <f t="shared" si="5"/>
        <v>M</v>
      </c>
      <c r="J350" s="1" t="s">
        <v>2127</v>
      </c>
      <c r="K350" s="1" t="s">
        <v>919</v>
      </c>
      <c r="L350" s="1" t="s">
        <v>919</v>
      </c>
      <c r="M350" s="1" t="s">
        <v>3817</v>
      </c>
      <c r="N350" s="1" t="s">
        <v>2194</v>
      </c>
      <c r="O350" s="1" t="s">
        <v>90</v>
      </c>
      <c r="P350" s="1" t="s">
        <v>176</v>
      </c>
      <c r="Q350" s="1" t="s">
        <v>3818</v>
      </c>
    </row>
    <row r="351" spans="1:17" x14ac:dyDescent="0.25">
      <c r="A351" s="38" t="s">
        <v>4740</v>
      </c>
      <c r="B351" s="1">
        <v>350</v>
      </c>
      <c r="C351" s="1" t="s">
        <v>3819</v>
      </c>
      <c r="D351" s="1" t="s">
        <v>3820</v>
      </c>
      <c r="E351" s="1" t="s">
        <v>436</v>
      </c>
      <c r="F351" s="1">
        <v>927372334</v>
      </c>
      <c r="G351" s="1" t="s">
        <v>3821</v>
      </c>
      <c r="H351" s="1" t="s">
        <v>2126</v>
      </c>
      <c r="I351" s="1" t="str">
        <f t="shared" si="5"/>
        <v>M</v>
      </c>
      <c r="J351" s="1" t="s">
        <v>2127</v>
      </c>
      <c r="K351" s="1" t="s">
        <v>919</v>
      </c>
      <c r="L351" s="1" t="s">
        <v>2192</v>
      </c>
      <c r="M351" s="1" t="s">
        <v>3822</v>
      </c>
      <c r="N351" s="1" t="s">
        <v>2130</v>
      </c>
      <c r="O351" s="1" t="s">
        <v>90</v>
      </c>
      <c r="P351" s="1" t="s">
        <v>418</v>
      </c>
      <c r="Q351" s="1" t="s">
        <v>3823</v>
      </c>
    </row>
    <row r="352" spans="1:17" x14ac:dyDescent="0.25">
      <c r="A352" s="38" t="s">
        <v>4591</v>
      </c>
      <c r="B352" s="1">
        <v>351</v>
      </c>
      <c r="C352" s="1" t="s">
        <v>2247</v>
      </c>
      <c r="D352" s="1" t="s">
        <v>3824</v>
      </c>
      <c r="E352" s="1" t="s">
        <v>677</v>
      </c>
      <c r="F352" s="1">
        <v>949872191</v>
      </c>
      <c r="G352" s="1" t="s">
        <v>3825</v>
      </c>
      <c r="H352" s="1" t="s">
        <v>2126</v>
      </c>
      <c r="I352" s="1" t="str">
        <f t="shared" si="5"/>
        <v>M</v>
      </c>
      <c r="J352" s="1" t="s">
        <v>2127</v>
      </c>
      <c r="K352" s="1" t="s">
        <v>919</v>
      </c>
      <c r="L352" s="1" t="s">
        <v>919</v>
      </c>
      <c r="M352" s="1" t="s">
        <v>3826</v>
      </c>
      <c r="N352" s="1" t="s">
        <v>2140</v>
      </c>
      <c r="O352" s="1" t="s">
        <v>90</v>
      </c>
      <c r="P352" s="1" t="s">
        <v>619</v>
      </c>
      <c r="Q352" s="1" t="s">
        <v>3827</v>
      </c>
    </row>
    <row r="353" spans="1:17" x14ac:dyDescent="0.25">
      <c r="A353" s="38" t="s">
        <v>4844</v>
      </c>
      <c r="B353" s="1">
        <v>352</v>
      </c>
      <c r="C353" s="1" t="s">
        <v>3828</v>
      </c>
      <c r="D353" s="1" t="s">
        <v>3829</v>
      </c>
      <c r="E353" s="1" t="s">
        <v>89</v>
      </c>
      <c r="F353" s="1">
        <v>954689163</v>
      </c>
      <c r="G353" s="1" t="s">
        <v>3830</v>
      </c>
      <c r="H353" s="1" t="s">
        <v>2126</v>
      </c>
      <c r="I353" s="1" t="str">
        <f t="shared" si="5"/>
        <v>M</v>
      </c>
      <c r="J353" s="1" t="s">
        <v>2156</v>
      </c>
      <c r="K353" s="1" t="s">
        <v>2157</v>
      </c>
      <c r="L353" s="1" t="s">
        <v>2348</v>
      </c>
      <c r="M353" s="1" t="s">
        <v>3831</v>
      </c>
      <c r="N353" s="1" t="s">
        <v>2194</v>
      </c>
      <c r="O353" s="1" t="s">
        <v>90</v>
      </c>
      <c r="P353" s="1" t="s">
        <v>91</v>
      </c>
      <c r="Q353" s="1" t="s">
        <v>3832</v>
      </c>
    </row>
    <row r="354" spans="1:17" x14ac:dyDescent="0.25">
      <c r="A354" s="38" t="s">
        <v>4753</v>
      </c>
      <c r="B354" s="1">
        <v>353</v>
      </c>
      <c r="C354" s="1" t="s">
        <v>3833</v>
      </c>
      <c r="D354" s="1" t="s">
        <v>3834</v>
      </c>
      <c r="E354" s="1" t="s">
        <v>462</v>
      </c>
      <c r="F354" s="1">
        <v>991535733</v>
      </c>
      <c r="G354" s="1" t="s">
        <v>3835</v>
      </c>
      <c r="H354" s="1" t="s">
        <v>2126</v>
      </c>
      <c r="I354" s="1" t="str">
        <f t="shared" si="5"/>
        <v>M</v>
      </c>
      <c r="J354" s="1" t="s">
        <v>2127</v>
      </c>
      <c r="K354" s="1" t="s">
        <v>2127</v>
      </c>
      <c r="L354" s="1" t="s">
        <v>3773</v>
      </c>
      <c r="M354" s="1" t="s">
        <v>3836</v>
      </c>
      <c r="N354" s="1" t="s">
        <v>2130</v>
      </c>
      <c r="O354" s="1" t="s">
        <v>90</v>
      </c>
      <c r="P354" s="1" t="s">
        <v>418</v>
      </c>
      <c r="Q354" s="1" t="s">
        <v>3837</v>
      </c>
    </row>
    <row r="355" spans="1:17" x14ac:dyDescent="0.25">
      <c r="A355" s="38" t="s">
        <v>4797</v>
      </c>
      <c r="B355" s="1">
        <v>354</v>
      </c>
      <c r="C355" s="1" t="s">
        <v>1568</v>
      </c>
      <c r="D355" s="1" t="s">
        <v>3838</v>
      </c>
      <c r="E355" s="1" t="s">
        <v>29</v>
      </c>
      <c r="F355" s="1">
        <v>968092042</v>
      </c>
      <c r="G355" s="1" t="s">
        <v>3839</v>
      </c>
      <c r="H355" s="1" t="s">
        <v>2135</v>
      </c>
      <c r="I355" s="1" t="str">
        <f t="shared" si="5"/>
        <v>F</v>
      </c>
      <c r="J355" s="1" t="s">
        <v>2127</v>
      </c>
      <c r="K355" s="1" t="s">
        <v>919</v>
      </c>
      <c r="L355" s="1" t="s">
        <v>919</v>
      </c>
      <c r="M355" s="1" t="s">
        <v>3840</v>
      </c>
      <c r="N355" s="1" t="s">
        <v>2130</v>
      </c>
      <c r="O355" s="1" t="s">
        <v>9</v>
      </c>
      <c r="P355" s="1" t="s">
        <v>10</v>
      </c>
      <c r="Q355" s="1" t="s">
        <v>3841</v>
      </c>
    </row>
    <row r="356" spans="1:17" x14ac:dyDescent="0.25">
      <c r="A356" s="38" t="s">
        <v>4531</v>
      </c>
      <c r="B356" s="1">
        <v>355</v>
      </c>
      <c r="C356" s="1" t="s">
        <v>1309</v>
      </c>
      <c r="D356" s="1" t="s">
        <v>3842</v>
      </c>
      <c r="E356" s="1" t="s">
        <v>151</v>
      </c>
      <c r="F356" s="1">
        <v>941361826</v>
      </c>
      <c r="G356" s="1" t="s">
        <v>3573</v>
      </c>
      <c r="H356" s="1" t="s">
        <v>2126</v>
      </c>
      <c r="I356" s="1" t="str">
        <f t="shared" si="5"/>
        <v>M</v>
      </c>
      <c r="J356" s="1" t="s">
        <v>1276</v>
      </c>
      <c r="K356" s="1" t="s">
        <v>1276</v>
      </c>
      <c r="L356" s="1" t="s">
        <v>3843</v>
      </c>
      <c r="M356" s="1" t="s">
        <v>3844</v>
      </c>
      <c r="N356" s="1" t="s">
        <v>2140</v>
      </c>
      <c r="O356" s="1" t="s">
        <v>90</v>
      </c>
      <c r="P356" s="1" t="s">
        <v>135</v>
      </c>
      <c r="Q356" s="1" t="s">
        <v>3845</v>
      </c>
    </row>
    <row r="357" spans="1:17" x14ac:dyDescent="0.25">
      <c r="A357" s="38" t="s">
        <v>5001</v>
      </c>
      <c r="B357" s="1">
        <v>356</v>
      </c>
      <c r="C357" s="1" t="s">
        <v>3846</v>
      </c>
      <c r="D357" s="1" t="s">
        <v>3847</v>
      </c>
      <c r="E357" s="1" t="s">
        <v>3848</v>
      </c>
      <c r="F357" s="1">
        <v>978726801</v>
      </c>
      <c r="G357" s="1" t="s">
        <v>3849</v>
      </c>
      <c r="H357" s="1" t="s">
        <v>2126</v>
      </c>
      <c r="I357" s="1" t="str">
        <f t="shared" si="5"/>
        <v>M</v>
      </c>
      <c r="J357" s="1" t="s">
        <v>2127</v>
      </c>
      <c r="K357" s="1" t="s">
        <v>919</v>
      </c>
      <c r="L357" s="1" t="s">
        <v>919</v>
      </c>
      <c r="M357" s="1" t="s">
        <v>3850</v>
      </c>
      <c r="N357" s="1" t="s">
        <v>2140</v>
      </c>
      <c r="O357" s="1" t="s">
        <v>9</v>
      </c>
      <c r="P357" s="1" t="s">
        <v>2446</v>
      </c>
      <c r="Q357" s="1" t="s">
        <v>3851</v>
      </c>
    </row>
    <row r="358" spans="1:17" x14ac:dyDescent="0.25">
      <c r="A358" s="38" t="s">
        <v>4732</v>
      </c>
      <c r="B358" s="1">
        <v>357</v>
      </c>
      <c r="C358" s="1" t="s">
        <v>1505</v>
      </c>
      <c r="D358" s="1" t="s">
        <v>3852</v>
      </c>
      <c r="E358" s="1" t="s">
        <v>420</v>
      </c>
      <c r="F358" s="1">
        <v>992278663</v>
      </c>
      <c r="G358" s="1" t="s">
        <v>3853</v>
      </c>
      <c r="H358" s="1" t="s">
        <v>2126</v>
      </c>
      <c r="I358" s="1" t="str">
        <f t="shared" si="5"/>
        <v>M</v>
      </c>
      <c r="J358" s="1" t="s">
        <v>2127</v>
      </c>
      <c r="K358" s="1" t="s">
        <v>919</v>
      </c>
      <c r="L358" s="1" t="s">
        <v>919</v>
      </c>
      <c r="M358" s="1" t="s">
        <v>3854</v>
      </c>
      <c r="N358" s="1" t="s">
        <v>2130</v>
      </c>
      <c r="O358" s="1" t="s">
        <v>90</v>
      </c>
      <c r="P358" s="1" t="s">
        <v>418</v>
      </c>
      <c r="Q358" s="1" t="s">
        <v>3855</v>
      </c>
    </row>
    <row r="359" spans="1:17" x14ac:dyDescent="0.25">
      <c r="A359" s="38" t="s">
        <v>5002</v>
      </c>
      <c r="B359" s="1">
        <v>358</v>
      </c>
      <c r="C359" s="1" t="s">
        <v>3856</v>
      </c>
      <c r="D359" s="1" t="s">
        <v>3857</v>
      </c>
      <c r="E359" s="1" t="s">
        <v>3858</v>
      </c>
      <c r="F359" s="1">
        <v>904354564</v>
      </c>
      <c r="G359" s="1" t="s">
        <v>3859</v>
      </c>
      <c r="H359" s="1" t="s">
        <v>2126</v>
      </c>
      <c r="I359" s="1" t="str">
        <f t="shared" si="5"/>
        <v>M</v>
      </c>
      <c r="J359" s="1" t="s">
        <v>2127</v>
      </c>
      <c r="K359" s="1" t="s">
        <v>919</v>
      </c>
      <c r="L359" s="1" t="s">
        <v>2210</v>
      </c>
      <c r="M359" s="1" t="s">
        <v>3860</v>
      </c>
      <c r="N359" s="1" t="s">
        <v>2315</v>
      </c>
      <c r="O359" s="1" t="s">
        <v>90</v>
      </c>
      <c r="P359" s="1" t="s">
        <v>2316</v>
      </c>
      <c r="Q359" s="1" t="s">
        <v>3861</v>
      </c>
    </row>
    <row r="360" spans="1:17" x14ac:dyDescent="0.25">
      <c r="A360" s="38" t="s">
        <v>5003</v>
      </c>
      <c r="B360" s="1">
        <v>359</v>
      </c>
      <c r="C360" s="1" t="s">
        <v>3862</v>
      </c>
      <c r="D360" s="1" t="s">
        <v>3863</v>
      </c>
      <c r="E360" s="1" t="s">
        <v>3864</v>
      </c>
      <c r="F360" s="1">
        <v>967250012</v>
      </c>
      <c r="G360" s="1" t="s">
        <v>3865</v>
      </c>
      <c r="H360" s="1" t="s">
        <v>2126</v>
      </c>
      <c r="I360" s="1" t="str">
        <f t="shared" si="5"/>
        <v>M</v>
      </c>
      <c r="J360" s="1" t="s">
        <v>1276</v>
      </c>
      <c r="K360" s="1" t="s">
        <v>1276</v>
      </c>
      <c r="L360" s="1" t="s">
        <v>3866</v>
      </c>
      <c r="M360" s="1" t="s">
        <v>3867</v>
      </c>
      <c r="N360" s="1" t="s">
        <v>2140</v>
      </c>
      <c r="O360" s="1" t="s">
        <v>9</v>
      </c>
      <c r="P360" s="1" t="s">
        <v>2446</v>
      </c>
      <c r="Q360" s="1" t="s">
        <v>3868</v>
      </c>
    </row>
    <row r="361" spans="1:17" x14ac:dyDescent="0.25">
      <c r="A361" s="38" t="s">
        <v>4621</v>
      </c>
      <c r="B361" s="1">
        <v>360</v>
      </c>
      <c r="C361" s="1" t="s">
        <v>1398</v>
      </c>
      <c r="D361" s="1" t="s">
        <v>3869</v>
      </c>
      <c r="E361" s="1" t="s">
        <v>746</v>
      </c>
      <c r="F361" s="1">
        <v>950165364</v>
      </c>
      <c r="G361" s="1" t="s">
        <v>3870</v>
      </c>
      <c r="H361" s="1" t="s">
        <v>2135</v>
      </c>
      <c r="I361" s="1" t="str">
        <f t="shared" si="5"/>
        <v>F</v>
      </c>
      <c r="J361" s="1" t="s">
        <v>2127</v>
      </c>
      <c r="K361" s="1" t="s">
        <v>919</v>
      </c>
      <c r="L361" s="1" t="s">
        <v>2192</v>
      </c>
      <c r="M361" s="1" t="s">
        <v>3871</v>
      </c>
      <c r="N361" s="1" t="s">
        <v>2140</v>
      </c>
      <c r="O361" s="1" t="s">
        <v>90</v>
      </c>
      <c r="P361" s="1" t="s">
        <v>730</v>
      </c>
      <c r="Q361" s="1" t="s">
        <v>3872</v>
      </c>
    </row>
    <row r="362" spans="1:17" x14ac:dyDescent="0.25">
      <c r="A362" s="38" t="s">
        <v>5004</v>
      </c>
      <c r="B362" s="1">
        <v>361</v>
      </c>
      <c r="C362" s="1" t="s">
        <v>3873</v>
      </c>
      <c r="D362" s="1" t="s">
        <v>3874</v>
      </c>
      <c r="E362" s="1" t="s">
        <v>3875</v>
      </c>
      <c r="F362" s="1">
        <v>926868085</v>
      </c>
      <c r="G362" s="1" t="s">
        <v>3876</v>
      </c>
      <c r="H362" s="1" t="s">
        <v>2126</v>
      </c>
      <c r="I362" s="1" t="str">
        <f t="shared" si="5"/>
        <v>M</v>
      </c>
      <c r="J362" s="1" t="s">
        <v>2127</v>
      </c>
      <c r="K362" s="1" t="s">
        <v>919</v>
      </c>
      <c r="L362" s="1" t="s">
        <v>919</v>
      </c>
      <c r="M362" s="1" t="s">
        <v>3877</v>
      </c>
      <c r="N362" s="1" t="s">
        <v>2167</v>
      </c>
      <c r="O362" s="1" t="s">
        <v>90</v>
      </c>
      <c r="P362" s="1" t="s">
        <v>2710</v>
      </c>
      <c r="Q362" s="1" t="s">
        <v>3878</v>
      </c>
    </row>
    <row r="363" spans="1:17" x14ac:dyDescent="0.25">
      <c r="A363" s="38" t="s">
        <v>4614</v>
      </c>
      <c r="B363" s="1">
        <v>362</v>
      </c>
      <c r="C363" s="1" t="s">
        <v>3879</v>
      </c>
      <c r="D363" s="1" t="s">
        <v>3880</v>
      </c>
      <c r="E363" s="1" t="s">
        <v>732</v>
      </c>
      <c r="F363" s="1">
        <v>985112187</v>
      </c>
      <c r="G363" s="1" t="s">
        <v>3881</v>
      </c>
      <c r="H363" s="1" t="s">
        <v>2126</v>
      </c>
      <c r="I363" s="1" t="str">
        <f t="shared" si="5"/>
        <v>M</v>
      </c>
      <c r="J363" s="1" t="s">
        <v>1276</v>
      </c>
      <c r="K363" s="1" t="s">
        <v>1276</v>
      </c>
      <c r="L363" s="1" t="s">
        <v>3882</v>
      </c>
      <c r="M363" s="1" t="s">
        <v>3883</v>
      </c>
      <c r="N363" s="1" t="s">
        <v>2140</v>
      </c>
      <c r="O363" s="1" t="s">
        <v>90</v>
      </c>
      <c r="P363" s="1" t="s">
        <v>730</v>
      </c>
      <c r="Q363" s="1" t="s">
        <v>3884</v>
      </c>
    </row>
    <row r="364" spans="1:17" x14ac:dyDescent="0.25">
      <c r="A364" s="38" t="s">
        <v>4545</v>
      </c>
      <c r="B364" s="1">
        <v>363</v>
      </c>
      <c r="C364" s="1" t="s">
        <v>2460</v>
      </c>
      <c r="D364" s="1" t="s">
        <v>3885</v>
      </c>
      <c r="E364" s="1" t="s">
        <v>231</v>
      </c>
      <c r="F364" s="1">
        <v>979743526</v>
      </c>
      <c r="G364" s="1" t="s">
        <v>3886</v>
      </c>
      <c r="H364" s="1" t="s">
        <v>2126</v>
      </c>
      <c r="I364" s="1" t="str">
        <f t="shared" si="5"/>
        <v>M</v>
      </c>
      <c r="J364" s="1" t="s">
        <v>2127</v>
      </c>
      <c r="K364" s="1" t="s">
        <v>2127</v>
      </c>
      <c r="L364" s="1" t="s">
        <v>2127</v>
      </c>
      <c r="M364" s="1" t="s">
        <v>3887</v>
      </c>
      <c r="N364" s="1" t="s">
        <v>2140</v>
      </c>
      <c r="O364" s="1" t="s">
        <v>90</v>
      </c>
      <c r="P364" s="1" t="s">
        <v>223</v>
      </c>
      <c r="Q364" s="1" t="s">
        <v>3888</v>
      </c>
    </row>
    <row r="365" spans="1:17" x14ac:dyDescent="0.25">
      <c r="A365" s="38" t="s">
        <v>4785</v>
      </c>
      <c r="B365" s="1">
        <v>364</v>
      </c>
      <c r="C365" s="1" t="s">
        <v>1557</v>
      </c>
      <c r="D365" s="1" t="s">
        <v>3889</v>
      </c>
      <c r="E365" s="1" t="s">
        <v>406</v>
      </c>
      <c r="F365" s="1">
        <v>964543139</v>
      </c>
      <c r="G365" s="1" t="s">
        <v>3890</v>
      </c>
      <c r="H365" s="1" t="s">
        <v>2135</v>
      </c>
      <c r="I365" s="1" t="str">
        <f t="shared" si="5"/>
        <v>F</v>
      </c>
      <c r="J365" s="1" t="s">
        <v>2127</v>
      </c>
      <c r="K365" s="1" t="s">
        <v>919</v>
      </c>
      <c r="L365" s="1" t="s">
        <v>2128</v>
      </c>
      <c r="M365" s="1" t="s">
        <v>3891</v>
      </c>
      <c r="N365" s="1" t="s">
        <v>2130</v>
      </c>
      <c r="O365" s="1" t="s">
        <v>90</v>
      </c>
      <c r="P365" s="1" t="s">
        <v>368</v>
      </c>
      <c r="Q365" s="1" t="s">
        <v>3892</v>
      </c>
    </row>
    <row r="366" spans="1:17" x14ac:dyDescent="0.25">
      <c r="A366" s="38" t="s">
        <v>4543</v>
      </c>
      <c r="B366" s="1">
        <v>365</v>
      </c>
      <c r="C366" s="1" t="s">
        <v>1321</v>
      </c>
      <c r="D366" s="1" t="s">
        <v>3893</v>
      </c>
      <c r="E366" s="1" t="s">
        <v>227</v>
      </c>
      <c r="F366" s="1">
        <v>923075704</v>
      </c>
      <c r="G366" s="1" t="s">
        <v>3894</v>
      </c>
      <c r="H366" s="1" t="s">
        <v>2126</v>
      </c>
      <c r="I366" s="1" t="str">
        <f t="shared" si="5"/>
        <v>M</v>
      </c>
      <c r="J366" s="1" t="s">
        <v>2127</v>
      </c>
      <c r="K366" s="1" t="s">
        <v>2127</v>
      </c>
      <c r="L366" s="1" t="s">
        <v>2127</v>
      </c>
      <c r="M366" s="1" t="s">
        <v>3895</v>
      </c>
      <c r="N366" s="1" t="s">
        <v>2140</v>
      </c>
      <c r="O366" s="1" t="s">
        <v>90</v>
      </c>
      <c r="P366" s="1" t="s">
        <v>223</v>
      </c>
      <c r="Q366" s="1" t="s">
        <v>3896</v>
      </c>
    </row>
    <row r="367" spans="1:17" x14ac:dyDescent="0.25">
      <c r="A367" s="38" t="s">
        <v>4876</v>
      </c>
      <c r="B367" s="1">
        <v>366</v>
      </c>
      <c r="C367" s="1" t="s">
        <v>1639</v>
      </c>
      <c r="D367" s="1" t="s">
        <v>3897</v>
      </c>
      <c r="E367" s="1" t="s">
        <v>793</v>
      </c>
      <c r="F367" s="1">
        <v>923655551</v>
      </c>
      <c r="G367" s="1" t="s">
        <v>3898</v>
      </c>
      <c r="H367" s="1" t="s">
        <v>2126</v>
      </c>
      <c r="I367" s="1" t="str">
        <f t="shared" si="5"/>
        <v>M</v>
      </c>
      <c r="J367" s="1" t="s">
        <v>2156</v>
      </c>
      <c r="K367" s="1" t="s">
        <v>2577</v>
      </c>
      <c r="L367" s="1" t="s">
        <v>3452</v>
      </c>
      <c r="M367" s="1" t="s">
        <v>3280</v>
      </c>
      <c r="N367" s="1" t="s">
        <v>2194</v>
      </c>
      <c r="O367" s="1" t="s">
        <v>90</v>
      </c>
      <c r="P367" s="1" t="s">
        <v>769</v>
      </c>
      <c r="Q367" s="1" t="s">
        <v>3899</v>
      </c>
    </row>
    <row r="368" spans="1:17" x14ac:dyDescent="0.25">
      <c r="A368" s="38" t="s">
        <v>4749</v>
      </c>
      <c r="B368" s="1">
        <v>367</v>
      </c>
      <c r="C368" s="1" t="s">
        <v>1522</v>
      </c>
      <c r="D368" s="1" t="s">
        <v>3900</v>
      </c>
      <c r="E368" s="1" t="s">
        <v>454</v>
      </c>
      <c r="F368" s="1">
        <v>992957804</v>
      </c>
      <c r="G368" s="1" t="s">
        <v>3901</v>
      </c>
      <c r="H368" s="1" t="s">
        <v>2135</v>
      </c>
      <c r="I368" s="1" t="str">
        <f t="shared" si="5"/>
        <v>F</v>
      </c>
      <c r="J368" s="1" t="s">
        <v>2127</v>
      </c>
      <c r="K368" s="1" t="s">
        <v>2127</v>
      </c>
      <c r="L368" s="1" t="s">
        <v>2479</v>
      </c>
      <c r="M368" s="1" t="s">
        <v>3902</v>
      </c>
      <c r="N368" s="1" t="s">
        <v>2130</v>
      </c>
      <c r="O368" s="1" t="s">
        <v>90</v>
      </c>
      <c r="P368" s="1" t="s">
        <v>418</v>
      </c>
      <c r="Q368" s="1" t="s">
        <v>3903</v>
      </c>
    </row>
    <row r="369" spans="1:17" x14ac:dyDescent="0.25">
      <c r="A369" s="38" t="s">
        <v>4623</v>
      </c>
      <c r="B369" s="1">
        <v>368</v>
      </c>
      <c r="C369" s="1" t="s">
        <v>1399</v>
      </c>
      <c r="D369" s="1" t="s">
        <v>3904</v>
      </c>
      <c r="E369" s="1" t="s">
        <v>750</v>
      </c>
      <c r="F369" s="1">
        <v>952529823</v>
      </c>
      <c r="G369" s="1" t="s">
        <v>3905</v>
      </c>
      <c r="H369" s="1" t="s">
        <v>2126</v>
      </c>
      <c r="I369" s="1" t="str">
        <f t="shared" si="5"/>
        <v>M</v>
      </c>
      <c r="J369" s="1" t="s">
        <v>2127</v>
      </c>
      <c r="K369" s="1" t="s">
        <v>919</v>
      </c>
      <c r="L369" s="1" t="s">
        <v>2452</v>
      </c>
      <c r="M369" s="1" t="s">
        <v>3906</v>
      </c>
      <c r="N369" s="1" t="s">
        <v>2140</v>
      </c>
      <c r="O369" s="1" t="s">
        <v>90</v>
      </c>
      <c r="P369" s="1" t="s">
        <v>730</v>
      </c>
      <c r="Q369" s="1" t="s">
        <v>3907</v>
      </c>
    </row>
    <row r="370" spans="1:17" x14ac:dyDescent="0.25">
      <c r="A370" s="38" t="s">
        <v>4762</v>
      </c>
      <c r="B370" s="1">
        <v>369</v>
      </c>
      <c r="C370" s="1" t="s">
        <v>1535</v>
      </c>
      <c r="D370" s="1" t="s">
        <v>3908</v>
      </c>
      <c r="E370" s="1" t="s">
        <v>480</v>
      </c>
      <c r="F370" s="1">
        <v>936770441</v>
      </c>
      <c r="G370" s="1" t="s">
        <v>3909</v>
      </c>
      <c r="H370" s="1" t="s">
        <v>2135</v>
      </c>
      <c r="I370" s="1" t="str">
        <f t="shared" si="5"/>
        <v>F</v>
      </c>
      <c r="J370" s="1" t="s">
        <v>2127</v>
      </c>
      <c r="K370" s="1" t="s">
        <v>919</v>
      </c>
      <c r="L370" s="1" t="s">
        <v>2186</v>
      </c>
      <c r="M370" s="1" t="s">
        <v>3910</v>
      </c>
      <c r="N370" s="1" t="s">
        <v>2130</v>
      </c>
      <c r="O370" s="1" t="s">
        <v>90</v>
      </c>
      <c r="P370" s="1" t="s">
        <v>418</v>
      </c>
      <c r="Q370" s="1" t="s">
        <v>3911</v>
      </c>
    </row>
    <row r="371" spans="1:17" x14ac:dyDescent="0.25">
      <c r="A371" s="38" t="s">
        <v>4571</v>
      </c>
      <c r="B371" s="1">
        <v>370</v>
      </c>
      <c r="C371" s="1" t="s">
        <v>3912</v>
      </c>
      <c r="D371" s="1" t="s">
        <v>3913</v>
      </c>
      <c r="E371" s="1" t="s">
        <v>637</v>
      </c>
      <c r="F371" s="1">
        <v>945782644</v>
      </c>
      <c r="G371" s="1" t="s">
        <v>3914</v>
      </c>
      <c r="H371" s="1" t="s">
        <v>2126</v>
      </c>
      <c r="I371" s="1" t="str">
        <f t="shared" si="5"/>
        <v>M</v>
      </c>
      <c r="J371" s="1" t="s">
        <v>3568</v>
      </c>
      <c r="K371" s="1" t="s">
        <v>3915</v>
      </c>
      <c r="L371" s="1" t="s">
        <v>3916</v>
      </c>
      <c r="M371" s="1" t="s">
        <v>3917</v>
      </c>
      <c r="N371" s="1" t="s">
        <v>2140</v>
      </c>
      <c r="O371" s="1" t="s">
        <v>90</v>
      </c>
      <c r="P371" s="1" t="s">
        <v>619</v>
      </c>
      <c r="Q371" s="1" t="s">
        <v>3918</v>
      </c>
    </row>
    <row r="372" spans="1:17" x14ac:dyDescent="0.25">
      <c r="A372" s="38" t="s">
        <v>4756</v>
      </c>
      <c r="B372" s="1">
        <v>371</v>
      </c>
      <c r="C372" s="1" t="s">
        <v>1529</v>
      </c>
      <c r="D372" s="1" t="s">
        <v>3919</v>
      </c>
      <c r="E372" s="1" t="s">
        <v>468</v>
      </c>
      <c r="F372" s="1">
        <v>923629576</v>
      </c>
      <c r="G372" s="1" t="s">
        <v>3920</v>
      </c>
      <c r="H372" s="1" t="s">
        <v>2135</v>
      </c>
      <c r="I372" s="1" t="str">
        <f t="shared" si="5"/>
        <v>F</v>
      </c>
      <c r="J372" s="1" t="s">
        <v>2127</v>
      </c>
      <c r="K372" s="1" t="s">
        <v>2127</v>
      </c>
      <c r="L372" s="1" t="s">
        <v>2127</v>
      </c>
      <c r="M372" s="1" t="s">
        <v>3921</v>
      </c>
      <c r="N372" s="1" t="s">
        <v>2130</v>
      </c>
      <c r="O372" s="1" t="s">
        <v>90</v>
      </c>
      <c r="P372" s="1" t="s">
        <v>418</v>
      </c>
      <c r="Q372" s="1" t="s">
        <v>3922</v>
      </c>
    </row>
    <row r="373" spans="1:17" x14ac:dyDescent="0.25">
      <c r="A373" s="38" t="s">
        <v>4634</v>
      </c>
      <c r="B373" s="1">
        <v>372</v>
      </c>
      <c r="C373" s="1" t="s">
        <v>1410</v>
      </c>
      <c r="D373" s="1" t="s">
        <v>3923</v>
      </c>
      <c r="E373" s="1" t="s">
        <v>542</v>
      </c>
      <c r="F373" s="1">
        <v>961470746</v>
      </c>
      <c r="G373" s="1" t="s">
        <v>3924</v>
      </c>
      <c r="H373" s="1" t="s">
        <v>2126</v>
      </c>
      <c r="I373" s="1" t="str">
        <f t="shared" si="5"/>
        <v>M</v>
      </c>
      <c r="J373" s="1" t="s">
        <v>2127</v>
      </c>
      <c r="K373" s="1" t="s">
        <v>919</v>
      </c>
      <c r="L373" s="1" t="s">
        <v>919</v>
      </c>
      <c r="M373" s="1" t="s">
        <v>3925</v>
      </c>
      <c r="N373" s="1" t="s">
        <v>2150</v>
      </c>
      <c r="O373" s="1" t="s">
        <v>90</v>
      </c>
      <c r="P373" s="1" t="s">
        <v>532</v>
      </c>
      <c r="Q373" s="1" t="s">
        <v>3926</v>
      </c>
    </row>
    <row r="374" spans="1:17" x14ac:dyDescent="0.25">
      <c r="A374" s="38" t="s">
        <v>4789</v>
      </c>
      <c r="B374" s="1">
        <v>373</v>
      </c>
      <c r="C374" s="1" t="s">
        <v>1561</v>
      </c>
      <c r="D374" s="1" t="s">
        <v>3927</v>
      </c>
      <c r="E374" s="1" t="s">
        <v>13</v>
      </c>
      <c r="F374" s="1">
        <v>965197190</v>
      </c>
      <c r="G374" s="1" t="s">
        <v>3928</v>
      </c>
      <c r="H374" s="1" t="s">
        <v>2126</v>
      </c>
      <c r="I374" s="1" t="str">
        <f t="shared" si="5"/>
        <v>M</v>
      </c>
      <c r="J374" s="1" t="s">
        <v>2127</v>
      </c>
      <c r="K374" s="1" t="s">
        <v>919</v>
      </c>
      <c r="L374" s="1" t="s">
        <v>2192</v>
      </c>
      <c r="M374" s="1" t="s">
        <v>3929</v>
      </c>
      <c r="N374" s="1" t="s">
        <v>2130</v>
      </c>
      <c r="O374" s="1" t="s">
        <v>9</v>
      </c>
      <c r="P374" s="1" t="s">
        <v>10</v>
      </c>
      <c r="Q374" s="1" t="s">
        <v>3930</v>
      </c>
    </row>
    <row r="375" spans="1:17" x14ac:dyDescent="0.25">
      <c r="A375" s="38" t="s">
        <v>5005</v>
      </c>
      <c r="B375" s="1">
        <v>374</v>
      </c>
      <c r="C375" s="1" t="s">
        <v>3931</v>
      </c>
      <c r="D375" s="1" t="s">
        <v>3932</v>
      </c>
      <c r="E375" s="1" t="s">
        <v>3933</v>
      </c>
      <c r="F375" s="1">
        <v>979886177</v>
      </c>
      <c r="G375" s="1" t="s">
        <v>3934</v>
      </c>
      <c r="H375" s="1" t="s">
        <v>2126</v>
      </c>
      <c r="I375" s="1" t="str">
        <f t="shared" si="5"/>
        <v>M</v>
      </c>
      <c r="J375" s="1" t="s">
        <v>2127</v>
      </c>
      <c r="K375" s="1" t="s">
        <v>919</v>
      </c>
      <c r="L375" s="1" t="s">
        <v>2128</v>
      </c>
      <c r="M375" s="1" t="s">
        <v>3935</v>
      </c>
      <c r="N375" s="1" t="s">
        <v>2212</v>
      </c>
      <c r="O375" s="1" t="s">
        <v>9</v>
      </c>
      <c r="P375" s="1" t="s">
        <v>2213</v>
      </c>
      <c r="Q375" s="1" t="s">
        <v>3936</v>
      </c>
    </row>
    <row r="376" spans="1:17" x14ac:dyDescent="0.25">
      <c r="A376" s="38" t="s">
        <v>5006</v>
      </c>
      <c r="B376" s="1">
        <v>375</v>
      </c>
      <c r="C376" s="1" t="s">
        <v>3937</v>
      </c>
      <c r="D376" s="1" t="s">
        <v>3455</v>
      </c>
      <c r="E376" s="1" t="s">
        <v>3938</v>
      </c>
      <c r="F376" s="1">
        <v>957573382</v>
      </c>
      <c r="G376" s="1" t="s">
        <v>3939</v>
      </c>
      <c r="H376" s="1" t="s">
        <v>2126</v>
      </c>
      <c r="I376" s="1" t="str">
        <f t="shared" si="5"/>
        <v>M</v>
      </c>
      <c r="J376" s="1" t="s">
        <v>2127</v>
      </c>
      <c r="K376" s="1" t="s">
        <v>919</v>
      </c>
      <c r="L376" s="1" t="s">
        <v>2128</v>
      </c>
      <c r="M376" s="1" t="s">
        <v>3940</v>
      </c>
      <c r="N376" s="1" t="s">
        <v>2167</v>
      </c>
      <c r="O376" s="1" t="s">
        <v>90</v>
      </c>
      <c r="P376" s="1" t="s">
        <v>2168</v>
      </c>
      <c r="Q376" s="1" t="s">
        <v>3941</v>
      </c>
    </row>
    <row r="377" spans="1:17" x14ac:dyDescent="0.25">
      <c r="A377" s="38" t="s">
        <v>4776</v>
      </c>
      <c r="B377" s="1">
        <v>376</v>
      </c>
      <c r="C377" s="1" t="s">
        <v>3942</v>
      </c>
      <c r="D377" s="1" t="s">
        <v>3943</v>
      </c>
      <c r="E377" s="1" t="s">
        <v>388</v>
      </c>
      <c r="F377" s="1">
        <v>904183225</v>
      </c>
      <c r="G377" s="1" t="s">
        <v>3944</v>
      </c>
      <c r="H377" s="1" t="s">
        <v>2126</v>
      </c>
      <c r="I377" s="1" t="str">
        <f t="shared" si="5"/>
        <v>M</v>
      </c>
      <c r="J377" s="1" t="s">
        <v>2127</v>
      </c>
      <c r="K377" s="1" t="s">
        <v>919</v>
      </c>
      <c r="L377" s="1" t="s">
        <v>2452</v>
      </c>
      <c r="M377" s="1" t="s">
        <v>3945</v>
      </c>
      <c r="N377" s="1" t="s">
        <v>2130</v>
      </c>
      <c r="O377" s="1" t="s">
        <v>90</v>
      </c>
      <c r="P377" s="1" t="s">
        <v>368</v>
      </c>
      <c r="Q377" s="1" t="s">
        <v>3946</v>
      </c>
    </row>
    <row r="378" spans="1:17" x14ac:dyDescent="0.25">
      <c r="A378" s="38" t="s">
        <v>4813</v>
      </c>
      <c r="B378" s="1">
        <v>377</v>
      </c>
      <c r="C378" s="1" t="s">
        <v>1581</v>
      </c>
      <c r="D378" s="1" t="s">
        <v>3947</v>
      </c>
      <c r="E378" s="1" t="s">
        <v>825</v>
      </c>
      <c r="F378" s="1">
        <v>966227751</v>
      </c>
      <c r="G378" s="1" t="s">
        <v>3948</v>
      </c>
      <c r="H378" s="1" t="s">
        <v>2135</v>
      </c>
      <c r="I378" s="1" t="str">
        <f t="shared" si="5"/>
        <v>F</v>
      </c>
      <c r="J378" s="1" t="s">
        <v>2127</v>
      </c>
      <c r="K378" s="1" t="s">
        <v>919</v>
      </c>
      <c r="L378" s="1" t="s">
        <v>919</v>
      </c>
      <c r="M378" s="1" t="s">
        <v>3949</v>
      </c>
      <c r="N378" s="1" t="s">
        <v>2176</v>
      </c>
      <c r="O378" s="1" t="s">
        <v>812</v>
      </c>
      <c r="P378" s="1" t="s">
        <v>813</v>
      </c>
      <c r="Q378" s="1" t="s">
        <v>3950</v>
      </c>
    </row>
    <row r="379" spans="1:17" x14ac:dyDescent="0.25">
      <c r="A379" s="38" t="s">
        <v>4870</v>
      </c>
      <c r="B379" s="1">
        <v>378</v>
      </c>
      <c r="C379" s="1" t="s">
        <v>1633</v>
      </c>
      <c r="D379" s="1" t="s">
        <v>3951</v>
      </c>
      <c r="E379" s="1" t="s">
        <v>780</v>
      </c>
      <c r="F379" s="1">
        <v>979066416</v>
      </c>
      <c r="G379" s="1" t="s">
        <v>3952</v>
      </c>
      <c r="H379" s="1" t="s">
        <v>2126</v>
      </c>
      <c r="I379" s="1" t="str">
        <f t="shared" si="5"/>
        <v>M</v>
      </c>
      <c r="J379" s="1" t="s">
        <v>2127</v>
      </c>
      <c r="K379" s="1" t="s">
        <v>919</v>
      </c>
      <c r="L379" s="1" t="s">
        <v>2128</v>
      </c>
      <c r="M379" s="1" t="s">
        <v>3953</v>
      </c>
      <c r="N379" s="1" t="s">
        <v>2194</v>
      </c>
      <c r="O379" s="1" t="s">
        <v>90</v>
      </c>
      <c r="P379" s="1" t="s">
        <v>769</v>
      </c>
      <c r="Q379" s="1" t="s">
        <v>3954</v>
      </c>
    </row>
    <row r="380" spans="1:17" x14ac:dyDescent="0.25">
      <c r="A380" s="38" t="s">
        <v>4542</v>
      </c>
      <c r="B380" s="1">
        <v>379</v>
      </c>
      <c r="C380" s="1" t="s">
        <v>1320</v>
      </c>
      <c r="D380" s="1" t="s">
        <v>3955</v>
      </c>
      <c r="E380" s="1" t="s">
        <v>225</v>
      </c>
      <c r="F380" s="1">
        <v>921092300</v>
      </c>
      <c r="G380" s="1" t="s">
        <v>3956</v>
      </c>
      <c r="H380" s="1" t="s">
        <v>2126</v>
      </c>
      <c r="I380" s="1" t="str">
        <f t="shared" si="5"/>
        <v>M</v>
      </c>
      <c r="J380" s="1" t="s">
        <v>2127</v>
      </c>
      <c r="K380" s="1" t="s">
        <v>919</v>
      </c>
      <c r="L380" s="1" t="s">
        <v>919</v>
      </c>
      <c r="M380" s="1" t="s">
        <v>3957</v>
      </c>
      <c r="N380" s="1" t="s">
        <v>2140</v>
      </c>
      <c r="O380" s="1" t="s">
        <v>90</v>
      </c>
      <c r="P380" s="1" t="s">
        <v>223</v>
      </c>
      <c r="Q380" s="1" t="s">
        <v>3958</v>
      </c>
    </row>
    <row r="381" spans="1:17" x14ac:dyDescent="0.25">
      <c r="A381" s="38" t="s">
        <v>4752</v>
      </c>
      <c r="B381" s="1">
        <v>380</v>
      </c>
      <c r="C381" s="1" t="s">
        <v>1525</v>
      </c>
      <c r="D381" s="1" t="s">
        <v>3959</v>
      </c>
      <c r="E381" s="1" t="s">
        <v>460</v>
      </c>
      <c r="F381" s="1">
        <v>983156775</v>
      </c>
      <c r="G381" s="1" t="s">
        <v>3960</v>
      </c>
      <c r="H381" s="1" t="s">
        <v>2126</v>
      </c>
      <c r="I381" s="1" t="str">
        <f t="shared" si="5"/>
        <v>M</v>
      </c>
      <c r="J381" s="1" t="s">
        <v>2127</v>
      </c>
      <c r="K381" s="1" t="s">
        <v>919</v>
      </c>
      <c r="L381" s="1" t="s">
        <v>919</v>
      </c>
      <c r="M381" s="1" t="s">
        <v>3961</v>
      </c>
      <c r="N381" s="1" t="s">
        <v>2130</v>
      </c>
      <c r="O381" s="1" t="s">
        <v>90</v>
      </c>
      <c r="P381" s="1" t="s">
        <v>418</v>
      </c>
      <c r="Q381" s="1" t="s">
        <v>3962</v>
      </c>
    </row>
    <row r="382" spans="1:17" x14ac:dyDescent="0.25">
      <c r="A382" s="38" t="s">
        <v>4869</v>
      </c>
      <c r="B382" s="1">
        <v>381</v>
      </c>
      <c r="C382" s="1" t="s">
        <v>1390</v>
      </c>
      <c r="D382" s="1" t="s">
        <v>3963</v>
      </c>
      <c r="E382" s="1" t="s">
        <v>778</v>
      </c>
      <c r="F382" s="1">
        <v>969268674</v>
      </c>
      <c r="G382" s="1" t="s">
        <v>3964</v>
      </c>
      <c r="H382" s="1" t="s">
        <v>2126</v>
      </c>
      <c r="I382" s="1" t="str">
        <f t="shared" si="5"/>
        <v>M</v>
      </c>
      <c r="J382" s="1" t="s">
        <v>2268</v>
      </c>
      <c r="K382" s="1" t="s">
        <v>2268</v>
      </c>
      <c r="L382" s="1" t="s">
        <v>2268</v>
      </c>
      <c r="M382" s="1" t="s">
        <v>3965</v>
      </c>
      <c r="N382" s="1" t="s">
        <v>2194</v>
      </c>
      <c r="O382" s="1" t="s">
        <v>90</v>
      </c>
      <c r="P382" s="1" t="s">
        <v>769</v>
      </c>
      <c r="Q382" s="1" t="s">
        <v>3966</v>
      </c>
    </row>
    <row r="383" spans="1:17" x14ac:dyDescent="0.25">
      <c r="A383" s="38" t="s">
        <v>4677</v>
      </c>
      <c r="B383" s="1">
        <v>382</v>
      </c>
      <c r="C383" s="1" t="s">
        <v>1453</v>
      </c>
      <c r="D383" s="1" t="s">
        <v>3967</v>
      </c>
      <c r="E383" s="1" t="s">
        <v>65</v>
      </c>
      <c r="F383" s="1">
        <v>978290008</v>
      </c>
      <c r="G383" s="1" t="s">
        <v>3968</v>
      </c>
      <c r="H383" s="1" t="s">
        <v>2126</v>
      </c>
      <c r="I383" s="1" t="str">
        <f t="shared" si="5"/>
        <v>M</v>
      </c>
      <c r="J383" s="1" t="s">
        <v>2127</v>
      </c>
      <c r="K383" s="1" t="s">
        <v>2127</v>
      </c>
      <c r="L383" s="1" t="s">
        <v>2382</v>
      </c>
      <c r="M383" s="1" t="s">
        <v>3969</v>
      </c>
      <c r="N383" s="1" t="s">
        <v>2150</v>
      </c>
      <c r="O383" s="1" t="s">
        <v>9</v>
      </c>
      <c r="P383" s="1" t="s">
        <v>53</v>
      </c>
      <c r="Q383" s="1" t="s">
        <v>3970</v>
      </c>
    </row>
    <row r="384" spans="1:17" x14ac:dyDescent="0.25">
      <c r="A384" s="38" t="s">
        <v>4746</v>
      </c>
      <c r="B384" s="1">
        <v>383</v>
      </c>
      <c r="C384" s="1" t="s">
        <v>1519</v>
      </c>
      <c r="D384" s="1" t="s">
        <v>3971</v>
      </c>
      <c r="E384" s="1" t="s">
        <v>448</v>
      </c>
      <c r="F384" s="1">
        <v>907600864</v>
      </c>
      <c r="G384" s="1" t="s">
        <v>3972</v>
      </c>
      <c r="H384" s="1" t="s">
        <v>2135</v>
      </c>
      <c r="I384" s="1" t="str">
        <f t="shared" si="5"/>
        <v>F</v>
      </c>
      <c r="J384" s="1" t="s">
        <v>2127</v>
      </c>
      <c r="K384" s="1" t="s">
        <v>919</v>
      </c>
      <c r="L384" s="1" t="s">
        <v>919</v>
      </c>
      <c r="M384" s="1" t="s">
        <v>3973</v>
      </c>
      <c r="N384" s="1" t="s">
        <v>2130</v>
      </c>
      <c r="O384" s="1" t="s">
        <v>90</v>
      </c>
      <c r="P384" s="1" t="s">
        <v>418</v>
      </c>
      <c r="Q384" s="1" t="s">
        <v>3974</v>
      </c>
    </row>
    <row r="385" spans="1:17" x14ac:dyDescent="0.25">
      <c r="A385" s="38" t="s">
        <v>4620</v>
      </c>
      <c r="B385" s="1">
        <v>384</v>
      </c>
      <c r="C385" s="1" t="s">
        <v>1397</v>
      </c>
      <c r="D385" s="1" t="s">
        <v>3975</v>
      </c>
      <c r="E385" s="1" t="s">
        <v>744</v>
      </c>
      <c r="F385" s="1">
        <v>910129487</v>
      </c>
      <c r="G385" s="1" t="s">
        <v>3976</v>
      </c>
      <c r="H385" s="1" t="s">
        <v>2135</v>
      </c>
      <c r="I385" s="1" t="str">
        <f t="shared" si="5"/>
        <v>F</v>
      </c>
      <c r="J385" s="1" t="s">
        <v>2156</v>
      </c>
      <c r="K385" s="1" t="s">
        <v>2577</v>
      </c>
      <c r="L385" s="1" t="s">
        <v>2577</v>
      </c>
      <c r="M385" s="1" t="s">
        <v>3977</v>
      </c>
      <c r="N385" s="1" t="s">
        <v>2140</v>
      </c>
      <c r="O385" s="1" t="s">
        <v>90</v>
      </c>
      <c r="P385" s="1" t="s">
        <v>730</v>
      </c>
      <c r="Q385" s="1" t="s">
        <v>3978</v>
      </c>
    </row>
    <row r="386" spans="1:17" x14ac:dyDescent="0.25">
      <c r="A386" s="38" t="s">
        <v>4581</v>
      </c>
      <c r="B386" s="1">
        <v>385</v>
      </c>
      <c r="C386" s="1" t="s">
        <v>1360</v>
      </c>
      <c r="D386" s="1" t="s">
        <v>3979</v>
      </c>
      <c r="E386" s="1" t="s">
        <v>657</v>
      </c>
      <c r="F386" s="1">
        <v>966328518</v>
      </c>
      <c r="G386" s="1" t="s">
        <v>3980</v>
      </c>
      <c r="H386" s="1" t="s">
        <v>2126</v>
      </c>
      <c r="I386" s="1" t="str">
        <f t="shared" si="5"/>
        <v>M</v>
      </c>
      <c r="J386" s="1" t="s">
        <v>2127</v>
      </c>
      <c r="K386" s="1" t="s">
        <v>919</v>
      </c>
      <c r="L386" s="1" t="s">
        <v>919</v>
      </c>
      <c r="M386" s="1" t="s">
        <v>3981</v>
      </c>
      <c r="N386" s="1" t="s">
        <v>2140</v>
      </c>
      <c r="O386" s="1" t="s">
        <v>90</v>
      </c>
      <c r="P386" s="1" t="s">
        <v>619</v>
      </c>
      <c r="Q386" s="1" t="s">
        <v>3982</v>
      </c>
    </row>
    <row r="387" spans="1:17" x14ac:dyDescent="0.25">
      <c r="A387" s="38" t="s">
        <v>4550</v>
      </c>
      <c r="B387" s="1">
        <v>386</v>
      </c>
      <c r="C387" s="1" t="s">
        <v>1328</v>
      </c>
      <c r="D387" s="1" t="s">
        <v>3983</v>
      </c>
      <c r="E387" s="1" t="s">
        <v>241</v>
      </c>
      <c r="F387" s="1">
        <v>941776414</v>
      </c>
      <c r="G387" s="1" t="s">
        <v>3984</v>
      </c>
      <c r="H387" s="1" t="s">
        <v>2135</v>
      </c>
      <c r="I387" s="1" t="str">
        <f t="shared" ref="I387:I450" si="6">IF(H387="MaSculino","M","F")</f>
        <v>F</v>
      </c>
      <c r="J387" s="1" t="s">
        <v>2127</v>
      </c>
      <c r="K387" s="1" t="s">
        <v>919</v>
      </c>
      <c r="L387" s="1" t="s">
        <v>2128</v>
      </c>
      <c r="M387" s="1" t="s">
        <v>3985</v>
      </c>
      <c r="N387" s="1" t="s">
        <v>2140</v>
      </c>
      <c r="O387" s="1" t="s">
        <v>90</v>
      </c>
      <c r="P387" s="1" t="s">
        <v>223</v>
      </c>
      <c r="Q387" s="1" t="s">
        <v>3986</v>
      </c>
    </row>
    <row r="388" spans="1:17" x14ac:dyDescent="0.25">
      <c r="A388" s="38" t="s">
        <v>4830</v>
      </c>
      <c r="B388" s="1">
        <v>387</v>
      </c>
      <c r="C388" s="1" t="s">
        <v>1596</v>
      </c>
      <c r="D388" s="1" t="s">
        <v>3987</v>
      </c>
      <c r="E388" s="1" t="s">
        <v>501</v>
      </c>
      <c r="F388" s="1">
        <v>995488843</v>
      </c>
      <c r="G388" s="1" t="s">
        <v>3988</v>
      </c>
      <c r="H388" s="1" t="s">
        <v>2126</v>
      </c>
      <c r="I388" s="1" t="str">
        <f t="shared" si="6"/>
        <v>M</v>
      </c>
      <c r="J388" s="1" t="s">
        <v>2127</v>
      </c>
      <c r="K388" s="1" t="s">
        <v>2127</v>
      </c>
      <c r="L388" s="1" t="s">
        <v>2127</v>
      </c>
      <c r="M388" s="1" t="s">
        <v>3989</v>
      </c>
      <c r="N388" s="1" t="s">
        <v>2329</v>
      </c>
      <c r="O388" s="1" t="s">
        <v>90</v>
      </c>
      <c r="P388" s="1" t="s">
        <v>493</v>
      </c>
      <c r="Q388" s="1" t="s">
        <v>3990</v>
      </c>
    </row>
    <row r="389" spans="1:17" x14ac:dyDescent="0.25">
      <c r="A389" s="38" t="s">
        <v>4544</v>
      </c>
      <c r="B389" s="1">
        <v>388</v>
      </c>
      <c r="C389" s="1" t="s">
        <v>1322</v>
      </c>
      <c r="D389" s="1" t="s">
        <v>3991</v>
      </c>
      <c r="E389" s="1" t="s">
        <v>229</v>
      </c>
      <c r="F389" s="1">
        <v>927503554</v>
      </c>
      <c r="G389" s="1" t="s">
        <v>3992</v>
      </c>
      <c r="H389" s="1" t="s">
        <v>2135</v>
      </c>
      <c r="I389" s="1" t="str">
        <f t="shared" si="6"/>
        <v>F</v>
      </c>
      <c r="J389" s="1" t="s">
        <v>2127</v>
      </c>
      <c r="K389" s="1" t="s">
        <v>2127</v>
      </c>
      <c r="L389" s="1" t="s">
        <v>3993</v>
      </c>
      <c r="M389" s="1" t="s">
        <v>3994</v>
      </c>
      <c r="N389" s="1" t="s">
        <v>2140</v>
      </c>
      <c r="O389" s="1" t="s">
        <v>90</v>
      </c>
      <c r="P389" s="1" t="s">
        <v>223</v>
      </c>
      <c r="Q389" s="1" t="s">
        <v>3995</v>
      </c>
    </row>
    <row r="390" spans="1:17" x14ac:dyDescent="0.25">
      <c r="A390" s="38" t="s">
        <v>4565</v>
      </c>
      <c r="B390" s="1">
        <v>389</v>
      </c>
      <c r="C390" s="1" t="s">
        <v>3996</v>
      </c>
      <c r="D390" s="1" t="s">
        <v>3997</v>
      </c>
      <c r="E390" s="1" t="s">
        <v>625</v>
      </c>
      <c r="F390" s="1">
        <v>981710342</v>
      </c>
      <c r="G390" s="1" t="s">
        <v>3998</v>
      </c>
      <c r="H390" s="1" t="s">
        <v>2126</v>
      </c>
      <c r="I390" s="1" t="str">
        <f t="shared" si="6"/>
        <v>M</v>
      </c>
      <c r="J390" s="1" t="s">
        <v>2156</v>
      </c>
      <c r="K390" s="1" t="s">
        <v>2157</v>
      </c>
      <c r="L390" s="1" t="s">
        <v>3999</v>
      </c>
      <c r="M390" s="1" t="s">
        <v>4000</v>
      </c>
      <c r="N390" s="1" t="s">
        <v>2140</v>
      </c>
      <c r="O390" s="1" t="s">
        <v>90</v>
      </c>
      <c r="P390" s="1" t="s">
        <v>619</v>
      </c>
      <c r="Q390" s="1" t="s">
        <v>4001</v>
      </c>
    </row>
    <row r="391" spans="1:17" x14ac:dyDescent="0.25">
      <c r="A391" s="38" t="s">
        <v>4601</v>
      </c>
      <c r="B391" s="1">
        <v>390</v>
      </c>
      <c r="C391" s="1" t="s">
        <v>1379</v>
      </c>
      <c r="D391" s="1" t="s">
        <v>4002</v>
      </c>
      <c r="E391" s="1" t="s">
        <v>697</v>
      </c>
      <c r="F391" s="1">
        <v>936616909</v>
      </c>
      <c r="G391" s="1" t="s">
        <v>4003</v>
      </c>
      <c r="H391" s="1" t="s">
        <v>2126</v>
      </c>
      <c r="I391" s="1" t="str">
        <f t="shared" si="6"/>
        <v>M</v>
      </c>
      <c r="J391" s="1" t="s">
        <v>2136</v>
      </c>
      <c r="K391" s="1" t="s">
        <v>3191</v>
      </c>
      <c r="L391" s="1" t="s">
        <v>3191</v>
      </c>
      <c r="M391" s="1" t="s">
        <v>4004</v>
      </c>
      <c r="N391" s="1" t="s">
        <v>2140</v>
      </c>
      <c r="O391" s="1" t="s">
        <v>90</v>
      </c>
      <c r="P391" s="1" t="s">
        <v>619</v>
      </c>
      <c r="Q391" s="1" t="s">
        <v>4005</v>
      </c>
    </row>
    <row r="392" spans="1:17" x14ac:dyDescent="0.25">
      <c r="A392" s="38" t="s">
        <v>4590</v>
      </c>
      <c r="B392" s="1">
        <v>391</v>
      </c>
      <c r="C392" s="1" t="s">
        <v>1369</v>
      </c>
      <c r="D392" s="1" t="s">
        <v>4006</v>
      </c>
      <c r="E392" s="1" t="s">
        <v>675</v>
      </c>
      <c r="F392" s="1">
        <v>901854704</v>
      </c>
      <c r="G392" s="1" t="s">
        <v>4007</v>
      </c>
      <c r="H392" s="1" t="s">
        <v>2126</v>
      </c>
      <c r="I392" s="1" t="str">
        <f t="shared" si="6"/>
        <v>M</v>
      </c>
      <c r="J392" s="1" t="s">
        <v>2127</v>
      </c>
      <c r="K392" s="1" t="s">
        <v>2127</v>
      </c>
      <c r="L392" s="1" t="s">
        <v>2127</v>
      </c>
      <c r="M392" s="1" t="s">
        <v>4008</v>
      </c>
      <c r="N392" s="1" t="s">
        <v>2140</v>
      </c>
      <c r="O392" s="1" t="s">
        <v>90</v>
      </c>
      <c r="P392" s="1" t="s">
        <v>619</v>
      </c>
      <c r="Q392" s="1" t="s">
        <v>4009</v>
      </c>
    </row>
    <row r="393" spans="1:17" x14ac:dyDescent="0.25">
      <c r="A393" s="38" t="s">
        <v>4809</v>
      </c>
      <c r="B393" s="1">
        <v>392</v>
      </c>
      <c r="C393" s="1" t="s">
        <v>1577</v>
      </c>
      <c r="D393" s="1" t="s">
        <v>4010</v>
      </c>
      <c r="E393" s="1" t="s">
        <v>817</v>
      </c>
      <c r="F393" s="1">
        <v>980376038</v>
      </c>
      <c r="G393" s="1" t="s">
        <v>4011</v>
      </c>
      <c r="H393" s="1" t="s">
        <v>2126</v>
      </c>
      <c r="I393" s="1" t="str">
        <f t="shared" si="6"/>
        <v>M</v>
      </c>
      <c r="J393" s="1" t="s">
        <v>2127</v>
      </c>
      <c r="K393" s="1" t="s">
        <v>2127</v>
      </c>
      <c r="L393" s="1" t="s">
        <v>2127</v>
      </c>
      <c r="M393" s="1" t="s">
        <v>4012</v>
      </c>
      <c r="N393" s="1" t="s">
        <v>2176</v>
      </c>
      <c r="O393" s="1" t="s">
        <v>812</v>
      </c>
      <c r="P393" s="1" t="s">
        <v>813</v>
      </c>
      <c r="Q393" s="1" t="s">
        <v>4013</v>
      </c>
    </row>
    <row r="394" spans="1:17" x14ac:dyDescent="0.25">
      <c r="A394" s="38" t="s">
        <v>4526</v>
      </c>
      <c r="B394" s="1">
        <v>393</v>
      </c>
      <c r="C394" s="1" t="s">
        <v>1304</v>
      </c>
      <c r="D394" s="1" t="s">
        <v>4014</v>
      </c>
      <c r="E394" s="1" t="s">
        <v>141</v>
      </c>
      <c r="F394" s="1">
        <v>975609988</v>
      </c>
      <c r="G394" s="1" t="s">
        <v>4015</v>
      </c>
      <c r="H394" s="1" t="s">
        <v>2126</v>
      </c>
      <c r="I394" s="1" t="str">
        <f t="shared" si="6"/>
        <v>M</v>
      </c>
      <c r="J394" s="1" t="s">
        <v>2156</v>
      </c>
      <c r="K394" s="1" t="s">
        <v>2157</v>
      </c>
      <c r="L394" s="1" t="s">
        <v>2348</v>
      </c>
      <c r="M394" s="1" t="s">
        <v>4016</v>
      </c>
      <c r="N394" s="1" t="s">
        <v>2140</v>
      </c>
      <c r="O394" s="1" t="s">
        <v>90</v>
      </c>
      <c r="P394" s="1" t="s">
        <v>135</v>
      </c>
      <c r="Q394" s="1" t="s">
        <v>4017</v>
      </c>
    </row>
    <row r="395" spans="1:17" x14ac:dyDescent="0.25">
      <c r="A395" s="38" t="s">
        <v>5007</v>
      </c>
      <c r="B395" s="1">
        <v>394</v>
      </c>
      <c r="C395" s="1" t="s">
        <v>4018</v>
      </c>
      <c r="D395" s="1" t="s">
        <v>4019</v>
      </c>
      <c r="E395" s="1" t="s">
        <v>4020</v>
      </c>
      <c r="F395" s="1">
        <v>978952513</v>
      </c>
      <c r="G395" s="1" t="s">
        <v>4021</v>
      </c>
      <c r="H395" s="1" t="s">
        <v>2126</v>
      </c>
      <c r="I395" s="1" t="str">
        <f t="shared" si="6"/>
        <v>M</v>
      </c>
      <c r="J395" s="1" t="s">
        <v>2136</v>
      </c>
      <c r="K395" s="1" t="s">
        <v>4022</v>
      </c>
      <c r="L395" s="1" t="s">
        <v>4023</v>
      </c>
      <c r="M395" s="1" t="s">
        <v>4024</v>
      </c>
      <c r="N395" s="1" t="s">
        <v>2167</v>
      </c>
      <c r="O395" s="1" t="s">
        <v>90</v>
      </c>
      <c r="P395" s="1" t="s">
        <v>2710</v>
      </c>
      <c r="Q395" s="1" t="s">
        <v>4025</v>
      </c>
    </row>
    <row r="396" spans="1:17" x14ac:dyDescent="0.25">
      <c r="A396" s="38" t="s">
        <v>4857</v>
      </c>
      <c r="B396" s="1">
        <v>395</v>
      </c>
      <c r="C396" s="1" t="s">
        <v>1622</v>
      </c>
      <c r="D396" s="1" t="s">
        <v>4026</v>
      </c>
      <c r="E396" s="1" t="s">
        <v>118</v>
      </c>
      <c r="F396" s="1">
        <v>926294937</v>
      </c>
      <c r="G396" s="1" t="s">
        <v>4027</v>
      </c>
      <c r="H396" s="1" t="s">
        <v>2126</v>
      </c>
      <c r="I396" s="1" t="str">
        <f t="shared" si="6"/>
        <v>M</v>
      </c>
      <c r="J396" s="1" t="s">
        <v>2156</v>
      </c>
      <c r="K396" s="1" t="s">
        <v>2203</v>
      </c>
      <c r="L396" s="1" t="s">
        <v>4028</v>
      </c>
      <c r="M396" s="1" t="s">
        <v>4029</v>
      </c>
      <c r="N396" s="1" t="s">
        <v>2194</v>
      </c>
      <c r="O396" s="1" t="s">
        <v>90</v>
      </c>
      <c r="P396" s="1" t="s">
        <v>91</v>
      </c>
      <c r="Q396" s="1" t="s">
        <v>4030</v>
      </c>
    </row>
    <row r="397" spans="1:17" x14ac:dyDescent="0.25">
      <c r="A397" s="38" t="s">
        <v>4651</v>
      </c>
      <c r="B397" s="1">
        <v>396</v>
      </c>
      <c r="C397" s="1" t="s">
        <v>1427</v>
      </c>
      <c r="D397" s="1" t="s">
        <v>4031</v>
      </c>
      <c r="E397" s="1" t="s">
        <v>576</v>
      </c>
      <c r="F397" s="1">
        <v>920692447</v>
      </c>
      <c r="G397" s="1" t="s">
        <v>4032</v>
      </c>
      <c r="H397" s="1" t="s">
        <v>2135</v>
      </c>
      <c r="I397" s="1" t="str">
        <f t="shared" si="6"/>
        <v>F</v>
      </c>
      <c r="J397" s="1" t="s">
        <v>2127</v>
      </c>
      <c r="K397" s="1" t="s">
        <v>919</v>
      </c>
      <c r="L397" s="1" t="s">
        <v>919</v>
      </c>
      <c r="M397" s="1" t="s">
        <v>4033</v>
      </c>
      <c r="N397" s="1" t="s">
        <v>2150</v>
      </c>
      <c r="O397" s="1" t="s">
        <v>90</v>
      </c>
      <c r="P397" s="1" t="s">
        <v>532</v>
      </c>
      <c r="Q397" s="1" t="s">
        <v>4034</v>
      </c>
    </row>
    <row r="398" spans="1:17" x14ac:dyDescent="0.25">
      <c r="A398" s="38" t="s">
        <v>4701</v>
      </c>
      <c r="B398" s="1">
        <v>397</v>
      </c>
      <c r="C398" s="1" t="s">
        <v>1475</v>
      </c>
      <c r="D398" s="1" t="s">
        <v>4035</v>
      </c>
      <c r="E398" s="1" t="s">
        <v>301</v>
      </c>
      <c r="F398" s="1">
        <v>933961193</v>
      </c>
      <c r="G398" s="1" t="s">
        <v>4036</v>
      </c>
      <c r="H398" s="1" t="s">
        <v>2135</v>
      </c>
      <c r="I398" s="1" t="str">
        <f t="shared" si="6"/>
        <v>F</v>
      </c>
      <c r="J398" s="1" t="s">
        <v>2127</v>
      </c>
      <c r="K398" s="1" t="s">
        <v>919</v>
      </c>
      <c r="L398" s="1" t="s">
        <v>919</v>
      </c>
      <c r="M398" s="1" t="s">
        <v>4037</v>
      </c>
      <c r="N398" s="1" t="s">
        <v>2130</v>
      </c>
      <c r="O398" s="1" t="s">
        <v>90</v>
      </c>
      <c r="P398" s="1" t="s">
        <v>272</v>
      </c>
      <c r="Q398" s="1" t="s">
        <v>4038</v>
      </c>
    </row>
    <row r="399" spans="1:17" x14ac:dyDescent="0.25">
      <c r="A399" s="38" t="s">
        <v>4825</v>
      </c>
      <c r="B399" s="1">
        <v>398</v>
      </c>
      <c r="C399" s="1" t="s">
        <v>1390</v>
      </c>
      <c r="D399" s="1" t="s">
        <v>4039</v>
      </c>
      <c r="E399" s="1" t="s">
        <v>850</v>
      </c>
      <c r="F399" s="1">
        <v>968054988</v>
      </c>
      <c r="G399" s="1" t="s">
        <v>4040</v>
      </c>
      <c r="H399" s="1" t="s">
        <v>2126</v>
      </c>
      <c r="I399" s="1" t="str">
        <f t="shared" si="6"/>
        <v>M</v>
      </c>
      <c r="J399" s="1" t="s">
        <v>2268</v>
      </c>
      <c r="K399" s="1" t="s">
        <v>4041</v>
      </c>
      <c r="L399" s="1" t="s">
        <v>4042</v>
      </c>
      <c r="M399" s="1" t="s">
        <v>4043</v>
      </c>
      <c r="N399" s="1" t="s">
        <v>2176</v>
      </c>
      <c r="O399" s="1" t="s">
        <v>812</v>
      </c>
      <c r="P399" s="1" t="s">
        <v>813</v>
      </c>
      <c r="Q399" s="1" t="s">
        <v>4044</v>
      </c>
    </row>
    <row r="400" spans="1:17" x14ac:dyDescent="0.25">
      <c r="A400" s="38" t="s">
        <v>4666</v>
      </c>
      <c r="B400" s="1">
        <v>399</v>
      </c>
      <c r="C400" s="1" t="s">
        <v>1442</v>
      </c>
      <c r="D400" s="1" t="s">
        <v>4045</v>
      </c>
      <c r="E400" s="1" t="s">
        <v>606</v>
      </c>
      <c r="F400" s="1">
        <v>951664645</v>
      </c>
      <c r="G400" s="1" t="s">
        <v>4046</v>
      </c>
      <c r="H400" s="1" t="s">
        <v>2135</v>
      </c>
      <c r="I400" s="1" t="str">
        <f t="shared" si="6"/>
        <v>F</v>
      </c>
      <c r="J400" s="1" t="s">
        <v>2127</v>
      </c>
      <c r="K400" s="1" t="s">
        <v>2376</v>
      </c>
      <c r="L400" s="1" t="s">
        <v>2376</v>
      </c>
      <c r="M400" s="1" t="s">
        <v>4047</v>
      </c>
      <c r="N400" s="1" t="s">
        <v>2150</v>
      </c>
      <c r="O400" s="1" t="s">
        <v>90</v>
      </c>
      <c r="P400" s="1" t="s">
        <v>532</v>
      </c>
      <c r="Q400" s="1" t="s">
        <v>4048</v>
      </c>
    </row>
    <row r="401" spans="1:17" x14ac:dyDescent="0.25">
      <c r="A401" s="38" t="s">
        <v>5008</v>
      </c>
      <c r="B401" s="1">
        <v>400</v>
      </c>
      <c r="C401" s="1" t="s">
        <v>4049</v>
      </c>
      <c r="D401" s="1" t="s">
        <v>4050</v>
      </c>
      <c r="E401" s="1" t="s">
        <v>4051</v>
      </c>
      <c r="F401" s="1">
        <v>940635253</v>
      </c>
      <c r="G401" s="1" t="s">
        <v>4052</v>
      </c>
      <c r="H401" s="1" t="s">
        <v>2135</v>
      </c>
      <c r="I401" s="1" t="str">
        <f t="shared" si="6"/>
        <v>F</v>
      </c>
      <c r="J401" s="1" t="s">
        <v>2127</v>
      </c>
      <c r="K401" s="1" t="s">
        <v>919</v>
      </c>
      <c r="L401" s="1" t="s">
        <v>2457</v>
      </c>
      <c r="M401" s="1" t="s">
        <v>4053</v>
      </c>
      <c r="N401" s="1" t="s">
        <v>2130</v>
      </c>
      <c r="O401" s="1" t="s">
        <v>90</v>
      </c>
      <c r="P401" s="1" t="s">
        <v>2586</v>
      </c>
      <c r="Q401" s="1" t="s">
        <v>4054</v>
      </c>
    </row>
    <row r="402" spans="1:17" x14ac:dyDescent="0.25">
      <c r="A402" s="38" t="s">
        <v>4781</v>
      </c>
      <c r="B402" s="1">
        <v>401</v>
      </c>
      <c r="C402" s="1" t="s">
        <v>4055</v>
      </c>
      <c r="D402" s="1" t="s">
        <v>4056</v>
      </c>
      <c r="E402" s="1" t="s">
        <v>398</v>
      </c>
      <c r="F402" s="1">
        <v>972287939</v>
      </c>
      <c r="G402" s="1" t="s">
        <v>4057</v>
      </c>
      <c r="H402" s="1" t="s">
        <v>2126</v>
      </c>
      <c r="I402" s="1" t="str">
        <f t="shared" si="6"/>
        <v>M</v>
      </c>
      <c r="J402" s="1" t="s">
        <v>2127</v>
      </c>
      <c r="K402" s="1" t="s">
        <v>919</v>
      </c>
      <c r="L402" s="1" t="s">
        <v>2128</v>
      </c>
      <c r="M402" s="1" t="s">
        <v>4058</v>
      </c>
      <c r="N402" s="1" t="s">
        <v>2130</v>
      </c>
      <c r="O402" s="1" t="s">
        <v>90</v>
      </c>
      <c r="P402" s="1" t="s">
        <v>368</v>
      </c>
      <c r="Q402" s="1" t="s">
        <v>4059</v>
      </c>
    </row>
    <row r="403" spans="1:17" x14ac:dyDescent="0.25">
      <c r="A403" s="38" t="s">
        <v>4782</v>
      </c>
      <c r="B403" s="1">
        <v>402</v>
      </c>
      <c r="C403" s="1" t="s">
        <v>1554</v>
      </c>
      <c r="D403" s="1" t="s">
        <v>4060</v>
      </c>
      <c r="E403" s="1" t="s">
        <v>400</v>
      </c>
      <c r="F403" s="1">
        <v>969612526</v>
      </c>
      <c r="G403" s="1" t="s">
        <v>4061</v>
      </c>
      <c r="H403" s="1" t="s">
        <v>2135</v>
      </c>
      <c r="I403" s="1" t="str">
        <f t="shared" si="6"/>
        <v>F</v>
      </c>
      <c r="J403" s="1" t="s">
        <v>2127</v>
      </c>
      <c r="K403" s="1" t="s">
        <v>2127</v>
      </c>
      <c r="L403" s="1" t="s">
        <v>2127</v>
      </c>
      <c r="M403" s="1" t="s">
        <v>4062</v>
      </c>
      <c r="N403" s="1" t="s">
        <v>2130</v>
      </c>
      <c r="O403" s="1" t="s">
        <v>90</v>
      </c>
      <c r="P403" s="1" t="s">
        <v>368</v>
      </c>
      <c r="Q403" s="1" t="s">
        <v>4063</v>
      </c>
    </row>
    <row r="404" spans="1:17" x14ac:dyDescent="0.25">
      <c r="A404" s="38" t="s">
        <v>5009</v>
      </c>
      <c r="B404" s="1">
        <v>403</v>
      </c>
      <c r="C404" s="1" t="s">
        <v>4064</v>
      </c>
      <c r="D404" s="1" t="s">
        <v>4065</v>
      </c>
      <c r="E404" s="1" t="s">
        <v>4066</v>
      </c>
      <c r="F404" s="1">
        <v>955241871</v>
      </c>
      <c r="G404" s="1" t="s">
        <v>4067</v>
      </c>
      <c r="H404" s="1" t="s">
        <v>2135</v>
      </c>
      <c r="I404" s="1" t="str">
        <f t="shared" si="6"/>
        <v>F</v>
      </c>
      <c r="J404" s="1" t="s">
        <v>2127</v>
      </c>
      <c r="K404" s="1" t="s">
        <v>2127</v>
      </c>
      <c r="L404" s="1" t="s">
        <v>2127</v>
      </c>
      <c r="M404" s="1" t="s">
        <v>4068</v>
      </c>
      <c r="N404" s="1" t="s">
        <v>2150</v>
      </c>
      <c r="O404" s="1" t="s">
        <v>90</v>
      </c>
      <c r="P404" s="1" t="s">
        <v>2475</v>
      </c>
      <c r="Q404" s="1" t="s">
        <v>4069</v>
      </c>
    </row>
    <row r="405" spans="1:17" x14ac:dyDescent="0.25">
      <c r="A405" s="38" t="s">
        <v>4849</v>
      </c>
      <c r="B405" s="1">
        <v>404</v>
      </c>
      <c r="C405" s="1" t="s">
        <v>4070</v>
      </c>
      <c r="D405" s="1" t="s">
        <v>4071</v>
      </c>
      <c r="E405" s="1" t="s">
        <v>101</v>
      </c>
      <c r="F405" s="1">
        <v>949782004</v>
      </c>
      <c r="G405" s="1" t="s">
        <v>4072</v>
      </c>
      <c r="H405" s="1" t="s">
        <v>2126</v>
      </c>
      <c r="I405" s="1" t="str">
        <f t="shared" si="6"/>
        <v>M</v>
      </c>
      <c r="J405" s="1" t="s">
        <v>3172</v>
      </c>
      <c r="K405" s="1" t="s">
        <v>3173</v>
      </c>
      <c r="L405" s="1" t="s">
        <v>3173</v>
      </c>
      <c r="M405" s="1" t="s">
        <v>4073</v>
      </c>
      <c r="N405" s="1" t="s">
        <v>2194</v>
      </c>
      <c r="O405" s="1" t="s">
        <v>90</v>
      </c>
      <c r="P405" s="1" t="s">
        <v>91</v>
      </c>
      <c r="Q405" s="1" t="s">
        <v>4074</v>
      </c>
    </row>
    <row r="406" spans="1:17" x14ac:dyDescent="0.25">
      <c r="A406" s="38" t="s">
        <v>4794</v>
      </c>
      <c r="B406" s="1">
        <v>405</v>
      </c>
      <c r="C406" s="1" t="s">
        <v>1565</v>
      </c>
      <c r="D406" s="1" t="s">
        <v>4075</v>
      </c>
      <c r="E406" s="1" t="s">
        <v>23</v>
      </c>
      <c r="F406" s="1">
        <v>971049145</v>
      </c>
      <c r="G406" s="1" t="s">
        <v>4076</v>
      </c>
      <c r="H406" s="1" t="s">
        <v>2126</v>
      </c>
      <c r="I406" s="1" t="str">
        <f t="shared" si="6"/>
        <v>M</v>
      </c>
      <c r="J406" s="1" t="s">
        <v>2156</v>
      </c>
      <c r="K406" s="1" t="s">
        <v>4077</v>
      </c>
      <c r="L406" s="1" t="s">
        <v>4077</v>
      </c>
      <c r="M406" s="1" t="s">
        <v>4078</v>
      </c>
      <c r="N406" s="1" t="s">
        <v>2130</v>
      </c>
      <c r="O406" s="1" t="s">
        <v>9</v>
      </c>
      <c r="P406" s="1" t="s">
        <v>10</v>
      </c>
      <c r="Q406" s="1" t="s">
        <v>4079</v>
      </c>
    </row>
    <row r="407" spans="1:17" x14ac:dyDescent="0.25">
      <c r="A407" s="38" t="s">
        <v>4693</v>
      </c>
      <c r="B407" s="1">
        <v>406</v>
      </c>
      <c r="C407" s="1" t="s">
        <v>1468</v>
      </c>
      <c r="D407" s="1" t="s">
        <v>4080</v>
      </c>
      <c r="E407" s="1" t="s">
        <v>285</v>
      </c>
      <c r="F407" s="1">
        <v>926104720</v>
      </c>
      <c r="G407" s="1" t="s">
        <v>4081</v>
      </c>
      <c r="H407" s="1" t="s">
        <v>2126</v>
      </c>
      <c r="I407" s="1" t="str">
        <f t="shared" si="6"/>
        <v>M</v>
      </c>
      <c r="J407" s="1" t="s">
        <v>2156</v>
      </c>
      <c r="K407" s="1" t="s">
        <v>2274</v>
      </c>
      <c r="L407" s="1" t="s">
        <v>2274</v>
      </c>
      <c r="M407" s="1" t="s">
        <v>4082</v>
      </c>
      <c r="N407" s="1" t="s">
        <v>2130</v>
      </c>
      <c r="O407" s="1" t="s">
        <v>90</v>
      </c>
      <c r="P407" s="1" t="s">
        <v>272</v>
      </c>
      <c r="Q407" s="1" t="s">
        <v>4083</v>
      </c>
    </row>
    <row r="408" spans="1:17" x14ac:dyDescent="0.25">
      <c r="A408" s="38" t="s">
        <v>5010</v>
      </c>
      <c r="B408" s="1">
        <v>407</v>
      </c>
      <c r="C408" s="1" t="s">
        <v>4084</v>
      </c>
      <c r="D408" s="1" t="s">
        <v>4085</v>
      </c>
      <c r="E408" s="1" t="s">
        <v>4086</v>
      </c>
      <c r="F408" s="1">
        <v>933876790</v>
      </c>
      <c r="G408" s="1" t="s">
        <v>4087</v>
      </c>
      <c r="H408" s="1" t="s">
        <v>2126</v>
      </c>
      <c r="I408" s="1" t="str">
        <f t="shared" si="6"/>
        <v>M</v>
      </c>
      <c r="J408" s="1" t="s">
        <v>2127</v>
      </c>
      <c r="K408" s="1" t="s">
        <v>919</v>
      </c>
      <c r="L408" s="1" t="s">
        <v>3122</v>
      </c>
      <c r="M408" s="1" t="s">
        <v>4088</v>
      </c>
      <c r="N408" s="1" t="s">
        <v>2315</v>
      </c>
      <c r="O408" s="1" t="s">
        <v>90</v>
      </c>
      <c r="P408" s="1" t="s">
        <v>2316</v>
      </c>
      <c r="Q408" s="1" t="s">
        <v>4089</v>
      </c>
    </row>
    <row r="409" spans="1:17" x14ac:dyDescent="0.25">
      <c r="A409" s="38" t="s">
        <v>4669</v>
      </c>
      <c r="B409" s="1">
        <v>408</v>
      </c>
      <c r="C409" s="1" t="s">
        <v>949</v>
      </c>
      <c r="D409" s="1" t="s">
        <v>4090</v>
      </c>
      <c r="E409" s="1" t="s">
        <v>612</v>
      </c>
      <c r="F409" s="1">
        <v>968137854</v>
      </c>
      <c r="G409" s="1" t="s">
        <v>2357</v>
      </c>
      <c r="H409" s="1" t="s">
        <v>2126</v>
      </c>
      <c r="I409" s="1" t="str">
        <f t="shared" si="6"/>
        <v>M</v>
      </c>
      <c r="J409" s="1" t="s">
        <v>2127</v>
      </c>
      <c r="K409" s="1" t="s">
        <v>2127</v>
      </c>
      <c r="L409" s="1" t="s">
        <v>2843</v>
      </c>
      <c r="M409" s="1" t="s">
        <v>4091</v>
      </c>
      <c r="N409" s="1" t="s">
        <v>2150</v>
      </c>
      <c r="O409" s="1" t="s">
        <v>90</v>
      </c>
      <c r="P409" s="1" t="s">
        <v>532</v>
      </c>
      <c r="Q409" s="1" t="s">
        <v>4092</v>
      </c>
    </row>
    <row r="410" spans="1:17" x14ac:dyDescent="0.25">
      <c r="A410" s="38" t="s">
        <v>4635</v>
      </c>
      <c r="B410" s="1">
        <v>409</v>
      </c>
      <c r="C410" s="1" t="s">
        <v>1411</v>
      </c>
      <c r="D410" s="1" t="s">
        <v>4093</v>
      </c>
      <c r="E410" s="1" t="s">
        <v>544</v>
      </c>
      <c r="F410" s="1">
        <v>984987561</v>
      </c>
      <c r="G410" s="1" t="s">
        <v>4094</v>
      </c>
      <c r="H410" s="1" t="s">
        <v>2126</v>
      </c>
      <c r="I410" s="1" t="str">
        <f t="shared" si="6"/>
        <v>M</v>
      </c>
      <c r="J410" s="1" t="s">
        <v>2127</v>
      </c>
      <c r="K410" s="1" t="s">
        <v>2127</v>
      </c>
      <c r="L410" s="1" t="s">
        <v>2127</v>
      </c>
      <c r="M410" s="1" t="s">
        <v>4095</v>
      </c>
      <c r="N410" s="1" t="s">
        <v>2150</v>
      </c>
      <c r="O410" s="1" t="s">
        <v>90</v>
      </c>
      <c r="P410" s="1" t="s">
        <v>532</v>
      </c>
      <c r="Q410" s="1" t="s">
        <v>4096</v>
      </c>
    </row>
    <row r="411" spans="1:17" x14ac:dyDescent="0.25">
      <c r="A411" s="38" t="s">
        <v>5011</v>
      </c>
      <c r="B411" s="1">
        <v>410</v>
      </c>
      <c r="C411" s="1" t="s">
        <v>4097</v>
      </c>
      <c r="D411" s="1" t="s">
        <v>4098</v>
      </c>
      <c r="E411" s="1" t="s">
        <v>4099</v>
      </c>
      <c r="F411" s="1">
        <v>990025456</v>
      </c>
      <c r="G411" s="1" t="s">
        <v>4100</v>
      </c>
      <c r="H411" s="1" t="s">
        <v>2126</v>
      </c>
      <c r="I411" s="1" t="str">
        <f t="shared" si="6"/>
        <v>M</v>
      </c>
      <c r="J411" s="1" t="s">
        <v>2127</v>
      </c>
      <c r="K411" s="1" t="s">
        <v>2127</v>
      </c>
      <c r="L411" s="1" t="s">
        <v>2127</v>
      </c>
      <c r="M411" s="1" t="s">
        <v>4101</v>
      </c>
      <c r="N411" s="1" t="s">
        <v>2150</v>
      </c>
      <c r="O411" s="1" t="s">
        <v>90</v>
      </c>
      <c r="P411" s="1" t="s">
        <v>2475</v>
      </c>
      <c r="Q411" s="1" t="s">
        <v>4102</v>
      </c>
    </row>
    <row r="412" spans="1:17" x14ac:dyDescent="0.25">
      <c r="A412" s="38" t="s">
        <v>4865</v>
      </c>
      <c r="B412" s="1">
        <v>411</v>
      </c>
      <c r="C412" s="1" t="s">
        <v>1630</v>
      </c>
      <c r="D412" s="1" t="s">
        <v>4103</v>
      </c>
      <c r="E412" s="1" t="s">
        <v>768</v>
      </c>
      <c r="F412" s="1">
        <v>979109191</v>
      </c>
      <c r="G412" s="1" t="s">
        <v>4104</v>
      </c>
      <c r="H412" s="1" t="s">
        <v>2135</v>
      </c>
      <c r="I412" s="1" t="str">
        <f t="shared" si="6"/>
        <v>F</v>
      </c>
      <c r="J412" s="1" t="s">
        <v>2127</v>
      </c>
      <c r="K412" s="1" t="s">
        <v>919</v>
      </c>
      <c r="L412" s="1" t="s">
        <v>2192</v>
      </c>
      <c r="M412" s="1" t="s">
        <v>4105</v>
      </c>
      <c r="N412" s="1" t="s">
        <v>2194</v>
      </c>
      <c r="O412" s="1" t="s">
        <v>90</v>
      </c>
      <c r="P412" s="1" t="s">
        <v>769</v>
      </c>
      <c r="Q412" s="1" t="s">
        <v>4106</v>
      </c>
    </row>
    <row r="413" spans="1:17" x14ac:dyDescent="0.25">
      <c r="A413" s="38" t="s">
        <v>5012</v>
      </c>
      <c r="B413" s="1">
        <v>412</v>
      </c>
      <c r="C413" s="1" t="s">
        <v>4107</v>
      </c>
      <c r="D413" s="1" t="s">
        <v>4108</v>
      </c>
      <c r="E413" s="1" t="s">
        <v>4109</v>
      </c>
      <c r="F413" s="1">
        <v>943810186</v>
      </c>
      <c r="G413" s="1" t="s">
        <v>4110</v>
      </c>
      <c r="H413" s="1" t="s">
        <v>2126</v>
      </c>
      <c r="I413" s="1" t="str">
        <f t="shared" si="6"/>
        <v>M</v>
      </c>
      <c r="J413" s="1" t="s">
        <v>2127</v>
      </c>
      <c r="K413" s="1" t="s">
        <v>919</v>
      </c>
      <c r="L413" s="1" t="s">
        <v>919</v>
      </c>
      <c r="M413" s="1" t="s">
        <v>4111</v>
      </c>
      <c r="N413" s="1" t="s">
        <v>2212</v>
      </c>
      <c r="O413" s="1" t="s">
        <v>90</v>
      </c>
      <c r="P413" s="1" t="s">
        <v>2213</v>
      </c>
      <c r="Q413" s="1" t="s">
        <v>4112</v>
      </c>
    </row>
    <row r="414" spans="1:17" x14ac:dyDescent="0.25">
      <c r="A414" s="38" t="s">
        <v>4737</v>
      </c>
      <c r="B414" s="1">
        <v>413</v>
      </c>
      <c r="C414" s="1" t="s">
        <v>1510</v>
      </c>
      <c r="D414" s="1" t="s">
        <v>4113</v>
      </c>
      <c r="E414" s="1" t="s">
        <v>430</v>
      </c>
      <c r="F414" s="1">
        <v>979014146</v>
      </c>
      <c r="G414" s="1" t="s">
        <v>4114</v>
      </c>
      <c r="H414" s="1" t="s">
        <v>2135</v>
      </c>
      <c r="I414" s="1" t="str">
        <f t="shared" si="6"/>
        <v>F</v>
      </c>
      <c r="J414" s="1" t="s">
        <v>2127</v>
      </c>
      <c r="K414" s="1" t="s">
        <v>919</v>
      </c>
      <c r="L414" s="1" t="s">
        <v>2192</v>
      </c>
      <c r="M414" s="1" t="s">
        <v>4115</v>
      </c>
      <c r="N414" s="1" t="s">
        <v>2130</v>
      </c>
      <c r="O414" s="1" t="s">
        <v>90</v>
      </c>
      <c r="P414" s="1" t="s">
        <v>418</v>
      </c>
      <c r="Q414" s="1" t="s">
        <v>4116</v>
      </c>
    </row>
    <row r="415" spans="1:17" x14ac:dyDescent="0.25">
      <c r="A415" s="38" t="s">
        <v>4672</v>
      </c>
      <c r="B415" s="1">
        <v>414</v>
      </c>
      <c r="C415" s="1" t="s">
        <v>1448</v>
      </c>
      <c r="D415" s="1" t="s">
        <v>4117</v>
      </c>
      <c r="E415" s="1" t="s">
        <v>55</v>
      </c>
      <c r="F415" s="1">
        <v>938854248</v>
      </c>
      <c r="G415" s="1" t="s">
        <v>4118</v>
      </c>
      <c r="H415" s="1" t="s">
        <v>2126</v>
      </c>
      <c r="I415" s="1" t="str">
        <f t="shared" si="6"/>
        <v>M</v>
      </c>
      <c r="J415" s="1" t="s">
        <v>2127</v>
      </c>
      <c r="K415" s="1" t="s">
        <v>919</v>
      </c>
      <c r="L415" s="1" t="s">
        <v>919</v>
      </c>
      <c r="M415" s="1" t="s">
        <v>4119</v>
      </c>
      <c r="N415" s="1" t="s">
        <v>2150</v>
      </c>
      <c r="O415" s="1" t="s">
        <v>9</v>
      </c>
      <c r="P415" s="1" t="s">
        <v>53</v>
      </c>
      <c r="Q415" s="1" t="s">
        <v>4120</v>
      </c>
    </row>
    <row r="416" spans="1:17" x14ac:dyDescent="0.25">
      <c r="A416" s="38" t="s">
        <v>4814</v>
      </c>
      <c r="B416" s="1">
        <v>415</v>
      </c>
      <c r="C416" s="1" t="s">
        <v>1582</v>
      </c>
      <c r="D416" s="1" t="s">
        <v>4121</v>
      </c>
      <c r="E416" s="1" t="s">
        <v>827</v>
      </c>
      <c r="F416" s="1">
        <v>966572701</v>
      </c>
      <c r="G416" s="1" t="s">
        <v>4122</v>
      </c>
      <c r="H416" s="1" t="s">
        <v>2126</v>
      </c>
      <c r="I416" s="1" t="str">
        <f t="shared" si="6"/>
        <v>M</v>
      </c>
      <c r="J416" s="1" t="s">
        <v>2127</v>
      </c>
      <c r="K416" s="1" t="s">
        <v>2127</v>
      </c>
      <c r="L416" s="1" t="s">
        <v>2382</v>
      </c>
      <c r="M416" s="1" t="s">
        <v>4123</v>
      </c>
      <c r="N416" s="1" t="s">
        <v>2176</v>
      </c>
      <c r="O416" s="1" t="s">
        <v>812</v>
      </c>
      <c r="P416" s="1" t="s">
        <v>813</v>
      </c>
      <c r="Q416" s="1" t="s">
        <v>4124</v>
      </c>
    </row>
    <row r="417" spans="1:17" x14ac:dyDescent="0.25">
      <c r="A417" s="38" t="s">
        <v>4657</v>
      </c>
      <c r="B417" s="1">
        <v>416</v>
      </c>
      <c r="C417" s="1" t="s">
        <v>1433</v>
      </c>
      <c r="D417" s="1" t="s">
        <v>4125</v>
      </c>
      <c r="E417" s="1" t="s">
        <v>588</v>
      </c>
      <c r="F417" s="1">
        <v>988812535</v>
      </c>
      <c r="G417" s="1" t="s">
        <v>4126</v>
      </c>
      <c r="H417" s="1" t="s">
        <v>2135</v>
      </c>
      <c r="I417" s="1" t="str">
        <f t="shared" si="6"/>
        <v>F</v>
      </c>
      <c r="J417" s="1" t="s">
        <v>2127</v>
      </c>
      <c r="K417" s="1" t="s">
        <v>919</v>
      </c>
      <c r="L417" s="1" t="s">
        <v>919</v>
      </c>
      <c r="M417" s="1" t="s">
        <v>4127</v>
      </c>
      <c r="N417" s="1" t="s">
        <v>2150</v>
      </c>
      <c r="O417" s="1" t="s">
        <v>90</v>
      </c>
      <c r="P417" s="1" t="s">
        <v>532</v>
      </c>
      <c r="Q417" s="1" t="s">
        <v>4128</v>
      </c>
    </row>
    <row r="418" spans="1:17" x14ac:dyDescent="0.25">
      <c r="A418" s="38" t="s">
        <v>4798</v>
      </c>
      <c r="B418" s="1">
        <v>417</v>
      </c>
      <c r="C418" s="1" t="s">
        <v>1569</v>
      </c>
      <c r="D418" s="1" t="s">
        <v>4129</v>
      </c>
      <c r="E418" s="1" t="s">
        <v>31</v>
      </c>
      <c r="F418" s="1">
        <v>960952982</v>
      </c>
      <c r="G418" s="1" t="s">
        <v>4130</v>
      </c>
      <c r="H418" s="1" t="s">
        <v>2126</v>
      </c>
      <c r="I418" s="1" t="str">
        <f t="shared" si="6"/>
        <v>M</v>
      </c>
      <c r="J418" s="1" t="s">
        <v>2127</v>
      </c>
      <c r="K418" s="1" t="s">
        <v>2127</v>
      </c>
      <c r="L418" s="1" t="s">
        <v>2127</v>
      </c>
      <c r="M418" s="1" t="s">
        <v>4131</v>
      </c>
      <c r="N418" s="1" t="s">
        <v>2130</v>
      </c>
      <c r="O418" s="1" t="s">
        <v>9</v>
      </c>
      <c r="P418" s="1" t="s">
        <v>10</v>
      </c>
      <c r="Q418" s="1" t="s">
        <v>4132</v>
      </c>
    </row>
    <row r="419" spans="1:17" x14ac:dyDescent="0.25">
      <c r="A419" s="38" t="s">
        <v>4704</v>
      </c>
      <c r="B419" s="1">
        <v>418</v>
      </c>
      <c r="C419" s="1" t="s">
        <v>1478</v>
      </c>
      <c r="D419" s="1" t="s">
        <v>4133</v>
      </c>
      <c r="E419" s="1" t="s">
        <v>307</v>
      </c>
      <c r="F419" s="1">
        <v>929094355</v>
      </c>
      <c r="G419" s="1" t="s">
        <v>4134</v>
      </c>
      <c r="H419" s="1" t="s">
        <v>2135</v>
      </c>
      <c r="I419" s="1" t="str">
        <f t="shared" si="6"/>
        <v>F</v>
      </c>
      <c r="J419" s="1" t="s">
        <v>2127</v>
      </c>
      <c r="K419" s="1" t="s">
        <v>2376</v>
      </c>
      <c r="L419" s="1" t="s">
        <v>2376</v>
      </c>
      <c r="M419" s="1" t="s">
        <v>4135</v>
      </c>
      <c r="N419" s="1" t="s">
        <v>2130</v>
      </c>
      <c r="O419" s="1" t="s">
        <v>90</v>
      </c>
      <c r="P419" s="1" t="s">
        <v>272</v>
      </c>
      <c r="Q419" s="1" t="s">
        <v>4136</v>
      </c>
    </row>
    <row r="420" spans="1:17" x14ac:dyDescent="0.25">
      <c r="A420" s="38" t="s">
        <v>4619</v>
      </c>
      <c r="B420" s="1">
        <v>419</v>
      </c>
      <c r="C420" s="1" t="s">
        <v>1396</v>
      </c>
      <c r="D420" s="1" t="s">
        <v>4137</v>
      </c>
      <c r="E420" s="1" t="s">
        <v>742</v>
      </c>
      <c r="F420" s="1">
        <v>939178567</v>
      </c>
      <c r="G420" s="1" t="s">
        <v>4138</v>
      </c>
      <c r="H420" s="1" t="s">
        <v>2126</v>
      </c>
      <c r="I420" s="1" t="str">
        <f t="shared" si="6"/>
        <v>M</v>
      </c>
      <c r="J420" s="1" t="s">
        <v>2127</v>
      </c>
      <c r="K420" s="1" t="s">
        <v>2127</v>
      </c>
      <c r="L420" s="1" t="s">
        <v>2479</v>
      </c>
      <c r="M420" s="1" t="s">
        <v>4139</v>
      </c>
      <c r="N420" s="1" t="s">
        <v>2140</v>
      </c>
      <c r="O420" s="1" t="s">
        <v>90</v>
      </c>
      <c r="P420" s="1" t="s">
        <v>730</v>
      </c>
      <c r="Q420" s="1" t="s">
        <v>4140</v>
      </c>
    </row>
    <row r="421" spans="1:17" x14ac:dyDescent="0.25">
      <c r="A421" s="38" t="s">
        <v>4747</v>
      </c>
      <c r="B421" s="1">
        <v>420</v>
      </c>
      <c r="C421" s="1" t="s">
        <v>1520</v>
      </c>
      <c r="D421" s="1" t="s">
        <v>4141</v>
      </c>
      <c r="E421" s="1" t="s">
        <v>450</v>
      </c>
      <c r="F421" s="1">
        <v>971728416</v>
      </c>
      <c r="G421" s="1" t="s">
        <v>4142</v>
      </c>
      <c r="H421" s="1" t="s">
        <v>2126</v>
      </c>
      <c r="I421" s="1" t="str">
        <f t="shared" si="6"/>
        <v>M</v>
      </c>
      <c r="J421" s="1" t="s">
        <v>2127</v>
      </c>
      <c r="K421" s="1" t="s">
        <v>919</v>
      </c>
      <c r="L421" s="1" t="s">
        <v>2128</v>
      </c>
      <c r="M421" s="1" t="s">
        <v>4143</v>
      </c>
      <c r="N421" s="1" t="s">
        <v>2130</v>
      </c>
      <c r="O421" s="1" t="s">
        <v>90</v>
      </c>
      <c r="P421" s="1" t="s">
        <v>418</v>
      </c>
      <c r="Q421" s="1" t="s">
        <v>4144</v>
      </c>
    </row>
    <row r="422" spans="1:17" x14ac:dyDescent="0.25">
      <c r="A422" s="38" t="s">
        <v>5013</v>
      </c>
      <c r="B422" s="1">
        <v>421</v>
      </c>
      <c r="C422" s="1" t="s">
        <v>4145</v>
      </c>
      <c r="D422" s="1" t="s">
        <v>4146</v>
      </c>
      <c r="E422" s="1" t="s">
        <v>4147</v>
      </c>
      <c r="F422" s="1">
        <v>987321640</v>
      </c>
      <c r="G422" s="1" t="s">
        <v>4148</v>
      </c>
      <c r="H422" s="1" t="s">
        <v>2135</v>
      </c>
      <c r="I422" s="1" t="str">
        <f t="shared" si="6"/>
        <v>F</v>
      </c>
      <c r="J422" s="1" t="s">
        <v>2127</v>
      </c>
      <c r="K422" s="1" t="s">
        <v>2127</v>
      </c>
      <c r="L422" s="1" t="s">
        <v>2127</v>
      </c>
      <c r="M422" s="1" t="s">
        <v>4149</v>
      </c>
      <c r="N422" s="1" t="s">
        <v>2403</v>
      </c>
      <c r="O422" s="1" t="s">
        <v>90</v>
      </c>
      <c r="P422" s="1" t="s">
        <v>2404</v>
      </c>
      <c r="Q422" s="1" t="s">
        <v>4150</v>
      </c>
    </row>
    <row r="423" spans="1:17" x14ac:dyDescent="0.25">
      <c r="A423" s="38" t="s">
        <v>4606</v>
      </c>
      <c r="B423" s="1">
        <v>422</v>
      </c>
      <c r="C423" s="1" t="s">
        <v>1384</v>
      </c>
      <c r="D423" s="1" t="s">
        <v>4151</v>
      </c>
      <c r="E423" s="1" t="s">
        <v>707</v>
      </c>
      <c r="F423" s="1">
        <v>969558679</v>
      </c>
      <c r="G423" s="1" t="s">
        <v>4152</v>
      </c>
      <c r="H423" s="1" t="s">
        <v>2126</v>
      </c>
      <c r="I423" s="1" t="str">
        <f t="shared" si="6"/>
        <v>M</v>
      </c>
      <c r="J423" s="1" t="s">
        <v>2268</v>
      </c>
      <c r="K423" s="1" t="s">
        <v>2268</v>
      </c>
      <c r="L423" s="1" t="s">
        <v>2268</v>
      </c>
      <c r="M423" s="1" t="s">
        <v>4153</v>
      </c>
      <c r="N423" s="1" t="s">
        <v>2140</v>
      </c>
      <c r="O423" s="1" t="s">
        <v>90</v>
      </c>
      <c r="P423" s="1" t="s">
        <v>619</v>
      </c>
      <c r="Q423" s="1" t="s">
        <v>4154</v>
      </c>
    </row>
    <row r="424" spans="1:17" x14ac:dyDescent="0.25">
      <c r="A424" s="38" t="s">
        <v>5014</v>
      </c>
      <c r="B424" s="1">
        <v>423</v>
      </c>
      <c r="C424" s="1" t="s">
        <v>4155</v>
      </c>
      <c r="D424" s="1" t="s">
        <v>4156</v>
      </c>
      <c r="E424" s="1" t="s">
        <v>4157</v>
      </c>
      <c r="F424" s="1">
        <v>979424641</v>
      </c>
      <c r="G424" s="1" t="s">
        <v>4158</v>
      </c>
      <c r="H424" s="1" t="s">
        <v>2126</v>
      </c>
      <c r="I424" s="1" t="str">
        <f t="shared" si="6"/>
        <v>M</v>
      </c>
      <c r="J424" s="1" t="s">
        <v>2127</v>
      </c>
      <c r="K424" s="1" t="s">
        <v>919</v>
      </c>
      <c r="L424" s="1" t="s">
        <v>2148</v>
      </c>
      <c r="M424" s="1" t="s">
        <v>4159</v>
      </c>
      <c r="N424" s="1" t="s">
        <v>2150</v>
      </c>
      <c r="O424" s="1" t="s">
        <v>90</v>
      </c>
      <c r="P424" s="1" t="s">
        <v>2160</v>
      </c>
      <c r="Q424" s="1" t="s">
        <v>4160</v>
      </c>
    </row>
    <row r="425" spans="1:17" x14ac:dyDescent="0.25">
      <c r="A425" s="38" t="s">
        <v>4854</v>
      </c>
      <c r="B425" s="1">
        <v>424</v>
      </c>
      <c r="C425" s="1" t="s">
        <v>1619</v>
      </c>
      <c r="D425" s="1" t="s">
        <v>4161</v>
      </c>
      <c r="E425" s="1" t="s">
        <v>111</v>
      </c>
      <c r="F425" s="1">
        <v>945585013</v>
      </c>
      <c r="G425" s="1" t="s">
        <v>4162</v>
      </c>
      <c r="H425" s="1" t="s">
        <v>2135</v>
      </c>
      <c r="I425" s="1" t="str">
        <f t="shared" si="6"/>
        <v>F</v>
      </c>
      <c r="J425" s="1" t="s">
        <v>2127</v>
      </c>
      <c r="K425" s="1" t="s">
        <v>2127</v>
      </c>
      <c r="L425" s="1" t="s">
        <v>2127</v>
      </c>
      <c r="M425" s="1" t="s">
        <v>4163</v>
      </c>
      <c r="N425" s="1" t="s">
        <v>2194</v>
      </c>
      <c r="O425" s="1" t="s">
        <v>90</v>
      </c>
      <c r="P425" s="1" t="s">
        <v>91</v>
      </c>
      <c r="Q425" s="1" t="s">
        <v>4164</v>
      </c>
    </row>
    <row r="426" spans="1:17" x14ac:dyDescent="0.25">
      <c r="A426" s="38" t="s">
        <v>4880</v>
      </c>
      <c r="B426" s="1">
        <v>425</v>
      </c>
      <c r="C426" s="1" t="s">
        <v>4165</v>
      </c>
      <c r="D426" s="1" t="s">
        <v>4166</v>
      </c>
      <c r="E426" s="1" t="s">
        <v>801</v>
      </c>
      <c r="F426" s="1">
        <v>962072750</v>
      </c>
      <c r="G426" s="1" t="s">
        <v>2812</v>
      </c>
      <c r="H426" s="1" t="s">
        <v>2126</v>
      </c>
      <c r="I426" s="1" t="str">
        <f t="shared" si="6"/>
        <v>M</v>
      </c>
      <c r="J426" s="1" t="s">
        <v>2136</v>
      </c>
      <c r="K426" s="1" t="s">
        <v>4167</v>
      </c>
      <c r="L426" s="1" t="s">
        <v>4168</v>
      </c>
      <c r="M426" s="1" t="s">
        <v>4169</v>
      </c>
      <c r="N426" s="1" t="s">
        <v>2194</v>
      </c>
      <c r="O426" s="1" t="s">
        <v>90</v>
      </c>
      <c r="P426" s="1" t="s">
        <v>769</v>
      </c>
      <c r="Q426" s="1" t="s">
        <v>4170</v>
      </c>
    </row>
    <row r="427" spans="1:17" x14ac:dyDescent="0.25">
      <c r="A427" s="38" t="s">
        <v>4863</v>
      </c>
      <c r="B427" s="1">
        <v>426</v>
      </c>
      <c r="C427" s="1" t="s">
        <v>1628</v>
      </c>
      <c r="D427" s="1" t="s">
        <v>4171</v>
      </c>
      <c r="E427" s="1" t="s">
        <v>130</v>
      </c>
      <c r="F427" s="1">
        <v>977177076</v>
      </c>
      <c r="G427" s="1" t="s">
        <v>4172</v>
      </c>
      <c r="H427" s="1" t="s">
        <v>2126</v>
      </c>
      <c r="I427" s="1" t="str">
        <f t="shared" si="6"/>
        <v>M</v>
      </c>
      <c r="J427" s="1" t="s">
        <v>2127</v>
      </c>
      <c r="K427" s="1" t="s">
        <v>2127</v>
      </c>
      <c r="L427" s="1" t="s">
        <v>2479</v>
      </c>
      <c r="M427" s="1" t="s">
        <v>4173</v>
      </c>
      <c r="N427" s="1" t="s">
        <v>2194</v>
      </c>
      <c r="O427" s="1" t="s">
        <v>90</v>
      </c>
      <c r="P427" s="1" t="s">
        <v>91</v>
      </c>
      <c r="Q427" s="1" t="s">
        <v>4174</v>
      </c>
    </row>
    <row r="428" spans="1:17" x14ac:dyDescent="0.25">
      <c r="A428" s="38" t="s">
        <v>4562</v>
      </c>
      <c r="B428" s="1">
        <v>427</v>
      </c>
      <c r="C428" s="1" t="s">
        <v>1341</v>
      </c>
      <c r="D428" s="1" t="s">
        <v>4175</v>
      </c>
      <c r="E428" s="1" t="s">
        <v>618</v>
      </c>
      <c r="F428" s="1">
        <v>996103952</v>
      </c>
      <c r="G428" s="1" t="s">
        <v>4176</v>
      </c>
      <c r="H428" s="1" t="s">
        <v>2126</v>
      </c>
      <c r="I428" s="1" t="str">
        <f t="shared" si="6"/>
        <v>M</v>
      </c>
      <c r="J428" s="1" t="s">
        <v>2127</v>
      </c>
      <c r="K428" s="1" t="s">
        <v>919</v>
      </c>
      <c r="L428" s="1" t="s">
        <v>919</v>
      </c>
      <c r="M428" s="1" t="s">
        <v>4177</v>
      </c>
      <c r="N428" s="1" t="s">
        <v>2140</v>
      </c>
      <c r="O428" s="1" t="s">
        <v>90</v>
      </c>
      <c r="P428" s="1" t="s">
        <v>619</v>
      </c>
      <c r="Q428" s="1" t="s">
        <v>4178</v>
      </c>
    </row>
    <row r="429" spans="1:17" x14ac:dyDescent="0.25">
      <c r="A429" s="38" t="s">
        <v>4872</v>
      </c>
      <c r="B429" s="1">
        <v>428</v>
      </c>
      <c r="C429" s="1" t="s">
        <v>1635</v>
      </c>
      <c r="D429" s="1" t="s">
        <v>4179</v>
      </c>
      <c r="E429" s="1" t="s">
        <v>784</v>
      </c>
      <c r="F429" s="1">
        <v>948721925</v>
      </c>
      <c r="G429" s="1" t="s">
        <v>4180</v>
      </c>
      <c r="H429" s="1" t="s">
        <v>2135</v>
      </c>
      <c r="I429" s="1" t="str">
        <f t="shared" si="6"/>
        <v>F</v>
      </c>
      <c r="J429" s="1" t="s">
        <v>2127</v>
      </c>
      <c r="K429" s="1" t="s">
        <v>919</v>
      </c>
      <c r="L429" s="1" t="s">
        <v>2793</v>
      </c>
      <c r="M429" s="1" t="s">
        <v>4181</v>
      </c>
      <c r="N429" s="1" t="s">
        <v>2194</v>
      </c>
      <c r="O429" s="1" t="s">
        <v>90</v>
      </c>
      <c r="P429" s="1" t="s">
        <v>769</v>
      </c>
      <c r="Q429" s="1" t="s">
        <v>4182</v>
      </c>
    </row>
    <row r="430" spans="1:17" x14ac:dyDescent="0.25">
      <c r="A430" s="38" t="s">
        <v>5015</v>
      </c>
      <c r="B430" s="1">
        <v>429</v>
      </c>
      <c r="C430" s="1" t="s">
        <v>4183</v>
      </c>
      <c r="D430" s="1" t="s">
        <v>4184</v>
      </c>
      <c r="E430" s="1" t="s">
        <v>4185</v>
      </c>
      <c r="F430" s="1">
        <v>952993492</v>
      </c>
      <c r="G430" s="1" t="s">
        <v>4186</v>
      </c>
      <c r="H430" s="1" t="s">
        <v>2135</v>
      </c>
      <c r="I430" s="1" t="str">
        <f t="shared" si="6"/>
        <v>F</v>
      </c>
      <c r="J430" s="1" t="s">
        <v>2127</v>
      </c>
      <c r="K430" s="1" t="s">
        <v>2127</v>
      </c>
      <c r="L430" s="1" t="s">
        <v>2127</v>
      </c>
      <c r="M430" s="1" t="s">
        <v>4187</v>
      </c>
      <c r="N430" s="1" t="s">
        <v>2698</v>
      </c>
      <c r="O430" s="1" t="s">
        <v>90</v>
      </c>
      <c r="P430" s="1" t="s">
        <v>2699</v>
      </c>
      <c r="Q430" s="1" t="s">
        <v>4188</v>
      </c>
    </row>
    <row r="431" spans="1:17" x14ac:dyDescent="0.25">
      <c r="A431" s="38" t="s">
        <v>5016</v>
      </c>
      <c r="B431" s="1">
        <v>430</v>
      </c>
      <c r="C431" s="1" t="s">
        <v>1395</v>
      </c>
      <c r="D431" s="1" t="s">
        <v>4189</v>
      </c>
      <c r="E431" s="1" t="s">
        <v>267</v>
      </c>
      <c r="F431" s="1">
        <v>964716784</v>
      </c>
      <c r="G431" s="1" t="s">
        <v>4190</v>
      </c>
      <c r="H431" s="1" t="s">
        <v>2126</v>
      </c>
      <c r="I431" s="1" t="str">
        <f t="shared" si="6"/>
        <v>M</v>
      </c>
      <c r="J431" s="1" t="s">
        <v>2127</v>
      </c>
      <c r="K431" s="1" t="s">
        <v>919</v>
      </c>
      <c r="L431" s="1" t="s">
        <v>919</v>
      </c>
      <c r="M431" s="1" t="s">
        <v>4191</v>
      </c>
      <c r="N431" s="1" t="s">
        <v>2140</v>
      </c>
      <c r="O431" s="1" t="s">
        <v>90</v>
      </c>
      <c r="P431" s="1" t="s">
        <v>223</v>
      </c>
      <c r="Q431" s="1" t="s">
        <v>4192</v>
      </c>
    </row>
    <row r="432" spans="1:17" x14ac:dyDescent="0.25">
      <c r="A432" s="38" t="s">
        <v>4900</v>
      </c>
      <c r="B432" s="1">
        <v>431</v>
      </c>
      <c r="C432" s="1" t="s">
        <v>4193</v>
      </c>
      <c r="D432" s="1" t="s">
        <v>4194</v>
      </c>
      <c r="E432" s="1" t="s">
        <v>210</v>
      </c>
      <c r="F432" s="1">
        <v>949255581</v>
      </c>
      <c r="G432" s="1" t="s">
        <v>4195</v>
      </c>
      <c r="H432" s="1" t="s">
        <v>2126</v>
      </c>
      <c r="I432" s="1" t="str">
        <f t="shared" si="6"/>
        <v>M</v>
      </c>
      <c r="J432" s="1" t="s">
        <v>2156</v>
      </c>
      <c r="K432" s="1" t="s">
        <v>2274</v>
      </c>
      <c r="L432" s="1" t="s">
        <v>2275</v>
      </c>
      <c r="M432" s="1" t="s">
        <v>4196</v>
      </c>
      <c r="N432" s="1" t="s">
        <v>2194</v>
      </c>
      <c r="O432" s="1" t="s">
        <v>90</v>
      </c>
      <c r="P432" s="1" t="s">
        <v>176</v>
      </c>
      <c r="Q432" s="1" t="s">
        <v>4197</v>
      </c>
    </row>
    <row r="433" spans="1:17" x14ac:dyDescent="0.25">
      <c r="A433" s="38" t="s">
        <v>5017</v>
      </c>
      <c r="B433" s="1">
        <v>432</v>
      </c>
      <c r="C433" s="1" t="s">
        <v>3657</v>
      </c>
      <c r="D433" s="1" t="s">
        <v>4198</v>
      </c>
      <c r="E433" s="1" t="s">
        <v>4199</v>
      </c>
      <c r="F433" s="1">
        <v>958456746</v>
      </c>
      <c r="G433" s="1" t="s">
        <v>4200</v>
      </c>
      <c r="H433" s="1" t="s">
        <v>2126</v>
      </c>
      <c r="I433" s="1" t="str">
        <f t="shared" si="6"/>
        <v>M</v>
      </c>
      <c r="J433" s="1" t="s">
        <v>2127</v>
      </c>
      <c r="K433" s="1" t="s">
        <v>919</v>
      </c>
      <c r="L433" s="1" t="s">
        <v>919</v>
      </c>
      <c r="M433" s="1" t="s">
        <v>4201</v>
      </c>
      <c r="N433" s="1" t="s">
        <v>2167</v>
      </c>
      <c r="O433" s="1" t="s">
        <v>90</v>
      </c>
      <c r="P433" s="1" t="s">
        <v>2168</v>
      </c>
      <c r="Q433" s="1" t="s">
        <v>4202</v>
      </c>
    </row>
    <row r="434" spans="1:17" x14ac:dyDescent="0.25">
      <c r="A434" s="38" t="s">
        <v>4815</v>
      </c>
      <c r="B434" s="1">
        <v>433</v>
      </c>
      <c r="C434" s="1" t="s">
        <v>1583</v>
      </c>
      <c r="D434" s="1" t="s">
        <v>4203</v>
      </c>
      <c r="E434" s="1" t="s">
        <v>829</v>
      </c>
      <c r="F434" s="1">
        <v>901415921</v>
      </c>
      <c r="G434" s="1" t="s">
        <v>4204</v>
      </c>
      <c r="H434" s="1" t="s">
        <v>2135</v>
      </c>
      <c r="I434" s="1" t="str">
        <f t="shared" si="6"/>
        <v>F</v>
      </c>
      <c r="J434" s="1" t="s">
        <v>2268</v>
      </c>
      <c r="K434" s="1" t="s">
        <v>4205</v>
      </c>
      <c r="L434" s="1" t="s">
        <v>4205</v>
      </c>
      <c r="M434" s="1" t="s">
        <v>4206</v>
      </c>
      <c r="N434" s="1" t="s">
        <v>2176</v>
      </c>
      <c r="O434" s="1" t="s">
        <v>812</v>
      </c>
      <c r="P434" s="1" t="s">
        <v>813</v>
      </c>
      <c r="Q434" s="1" t="s">
        <v>4207</v>
      </c>
    </row>
    <row r="435" spans="1:17" x14ac:dyDescent="0.25">
      <c r="A435" s="38" t="s">
        <v>4684</v>
      </c>
      <c r="B435" s="1">
        <v>434</v>
      </c>
      <c r="C435" s="1" t="s">
        <v>4208</v>
      </c>
      <c r="D435" s="1" t="s">
        <v>4209</v>
      </c>
      <c r="E435" s="1" t="s">
        <v>79</v>
      </c>
      <c r="F435" s="1">
        <v>979963142</v>
      </c>
      <c r="G435" s="1" t="s">
        <v>4210</v>
      </c>
      <c r="H435" s="1" t="s">
        <v>2135</v>
      </c>
      <c r="I435" s="1" t="str">
        <f t="shared" si="6"/>
        <v>F</v>
      </c>
      <c r="J435" s="1" t="s">
        <v>2127</v>
      </c>
      <c r="K435" s="1" t="s">
        <v>919</v>
      </c>
      <c r="L435" s="1" t="s">
        <v>919</v>
      </c>
      <c r="M435" s="1" t="s">
        <v>4211</v>
      </c>
      <c r="N435" s="1" t="s">
        <v>2150</v>
      </c>
      <c r="O435" s="1" t="s">
        <v>9</v>
      </c>
      <c r="P435" s="1" t="s">
        <v>53</v>
      </c>
      <c r="Q435" s="1" t="s">
        <v>4212</v>
      </c>
    </row>
    <row r="436" spans="1:17" x14ac:dyDescent="0.25">
      <c r="A436" s="38" t="s">
        <v>4754</v>
      </c>
      <c r="B436" s="1">
        <v>435</v>
      </c>
      <c r="C436" s="1" t="s">
        <v>4213</v>
      </c>
      <c r="D436" s="1" t="s">
        <v>4214</v>
      </c>
      <c r="E436" s="1" t="s">
        <v>464</v>
      </c>
      <c r="F436" s="1">
        <v>940218430</v>
      </c>
      <c r="G436" s="1" t="s">
        <v>4215</v>
      </c>
      <c r="H436" s="1" t="s">
        <v>2135</v>
      </c>
      <c r="I436" s="1" t="str">
        <f t="shared" si="6"/>
        <v>F</v>
      </c>
      <c r="J436" s="1" t="s">
        <v>2127</v>
      </c>
      <c r="K436" s="1" t="s">
        <v>2127</v>
      </c>
      <c r="L436" s="1" t="s">
        <v>2127</v>
      </c>
      <c r="M436" s="1" t="s">
        <v>4216</v>
      </c>
      <c r="N436" s="1" t="s">
        <v>2130</v>
      </c>
      <c r="O436" s="1" t="s">
        <v>90</v>
      </c>
      <c r="P436" s="1" t="s">
        <v>418</v>
      </c>
      <c r="Q436" s="1" t="s">
        <v>4217</v>
      </c>
    </row>
    <row r="437" spans="1:17" x14ac:dyDescent="0.25">
      <c r="A437" s="38" t="s">
        <v>4739</v>
      </c>
      <c r="B437" s="1">
        <v>436</v>
      </c>
      <c r="C437" s="1" t="s">
        <v>1512</v>
      </c>
      <c r="D437" s="1" t="s">
        <v>4218</v>
      </c>
      <c r="E437" s="1" t="s">
        <v>434</v>
      </c>
      <c r="F437" s="1">
        <v>979914401</v>
      </c>
      <c r="G437" s="1" t="s">
        <v>4219</v>
      </c>
      <c r="H437" s="1" t="s">
        <v>2126</v>
      </c>
      <c r="I437" s="1" t="str">
        <f t="shared" si="6"/>
        <v>M</v>
      </c>
      <c r="J437" s="1" t="s">
        <v>2127</v>
      </c>
      <c r="K437" s="1" t="s">
        <v>919</v>
      </c>
      <c r="L437" s="1" t="s">
        <v>919</v>
      </c>
      <c r="M437" s="1" t="s">
        <v>4220</v>
      </c>
      <c r="N437" s="1" t="s">
        <v>2130</v>
      </c>
      <c r="O437" s="1" t="s">
        <v>90</v>
      </c>
      <c r="P437" s="1" t="s">
        <v>418</v>
      </c>
      <c r="Q437" s="1" t="s">
        <v>4221</v>
      </c>
    </row>
    <row r="438" spans="1:17" x14ac:dyDescent="0.25">
      <c r="A438" s="38" t="s">
        <v>4563</v>
      </c>
      <c r="B438" s="1">
        <v>437</v>
      </c>
      <c r="C438" s="1" t="s">
        <v>1342</v>
      </c>
      <c r="D438" s="1" t="s">
        <v>4222</v>
      </c>
      <c r="E438" s="1" t="s">
        <v>621</v>
      </c>
      <c r="F438" s="1">
        <v>977956362</v>
      </c>
      <c r="G438" s="1" t="s">
        <v>2502</v>
      </c>
      <c r="H438" s="1" t="s">
        <v>2126</v>
      </c>
      <c r="I438" s="1" t="str">
        <f t="shared" si="6"/>
        <v>M</v>
      </c>
      <c r="J438" s="1" t="s">
        <v>2127</v>
      </c>
      <c r="K438" s="1" t="s">
        <v>919</v>
      </c>
      <c r="L438" s="1" t="s">
        <v>919</v>
      </c>
      <c r="M438" s="1" t="s">
        <v>4223</v>
      </c>
      <c r="N438" s="1" t="s">
        <v>2140</v>
      </c>
      <c r="O438" s="1" t="s">
        <v>90</v>
      </c>
      <c r="P438" s="1" t="s">
        <v>619</v>
      </c>
      <c r="Q438" s="1" t="s">
        <v>4224</v>
      </c>
    </row>
    <row r="439" spans="1:17" x14ac:dyDescent="0.25">
      <c r="A439" s="38" t="s">
        <v>5018</v>
      </c>
      <c r="B439" s="1">
        <v>438</v>
      </c>
      <c r="C439" s="1" t="s">
        <v>4225</v>
      </c>
      <c r="D439" s="1" t="s">
        <v>4226</v>
      </c>
      <c r="E439" s="1" t="s">
        <v>415</v>
      </c>
      <c r="F439" s="1">
        <v>962897813</v>
      </c>
      <c r="G439" s="1" t="s">
        <v>4227</v>
      </c>
      <c r="H439" s="1" t="s">
        <v>2135</v>
      </c>
      <c r="I439" s="1" t="str">
        <f t="shared" si="6"/>
        <v>F</v>
      </c>
      <c r="J439" s="1" t="s">
        <v>2127</v>
      </c>
      <c r="K439" s="1" t="s">
        <v>2127</v>
      </c>
      <c r="L439" s="1" t="s">
        <v>2127</v>
      </c>
      <c r="M439" s="1" t="s">
        <v>4228</v>
      </c>
      <c r="N439" s="1" t="s">
        <v>2130</v>
      </c>
      <c r="O439" s="1" t="s">
        <v>90</v>
      </c>
      <c r="P439" s="1" t="s">
        <v>368</v>
      </c>
      <c r="Q439" s="1" t="s">
        <v>4229</v>
      </c>
    </row>
    <row r="440" spans="1:17" x14ac:dyDescent="0.25">
      <c r="A440" s="38" t="s">
        <v>4831</v>
      </c>
      <c r="B440" s="1">
        <v>439</v>
      </c>
      <c r="C440" s="1" t="s">
        <v>1597</v>
      </c>
      <c r="D440" s="1" t="s">
        <v>4230</v>
      </c>
      <c r="E440" s="1" t="s">
        <v>503</v>
      </c>
      <c r="F440" s="1">
        <v>990382651</v>
      </c>
      <c r="G440" s="1" t="s">
        <v>4231</v>
      </c>
      <c r="H440" s="1" t="s">
        <v>2126</v>
      </c>
      <c r="I440" s="1" t="str">
        <f t="shared" si="6"/>
        <v>M</v>
      </c>
      <c r="J440" s="1" t="s">
        <v>2268</v>
      </c>
      <c r="K440" s="1" t="s">
        <v>3001</v>
      </c>
      <c r="L440" s="1" t="s">
        <v>2275</v>
      </c>
      <c r="M440" s="1" t="s">
        <v>4232</v>
      </c>
      <c r="N440" s="1" t="s">
        <v>2329</v>
      </c>
      <c r="O440" s="1" t="s">
        <v>90</v>
      </c>
      <c r="P440" s="1" t="s">
        <v>493</v>
      </c>
      <c r="Q440" s="1" t="s">
        <v>4233</v>
      </c>
    </row>
    <row r="441" spans="1:17" x14ac:dyDescent="0.25">
      <c r="A441" s="38" t="s">
        <v>4847</v>
      </c>
      <c r="B441" s="1">
        <v>440</v>
      </c>
      <c r="C441" s="1" t="s">
        <v>1612</v>
      </c>
      <c r="D441" s="1" t="s">
        <v>4234</v>
      </c>
      <c r="E441" s="1" t="s">
        <v>97</v>
      </c>
      <c r="F441" s="1">
        <v>914855171</v>
      </c>
      <c r="G441" s="1" t="s">
        <v>2413</v>
      </c>
      <c r="H441" s="1" t="s">
        <v>2135</v>
      </c>
      <c r="I441" s="1" t="str">
        <f t="shared" si="6"/>
        <v>F</v>
      </c>
      <c r="J441" s="1" t="s">
        <v>2127</v>
      </c>
      <c r="K441" s="1" t="s">
        <v>919</v>
      </c>
      <c r="L441" s="1" t="s">
        <v>919</v>
      </c>
      <c r="M441" s="1" t="s">
        <v>4235</v>
      </c>
      <c r="N441" s="1" t="s">
        <v>2194</v>
      </c>
      <c r="O441" s="1" t="s">
        <v>90</v>
      </c>
      <c r="P441" s="1" t="s">
        <v>91</v>
      </c>
      <c r="Q441" s="1" t="s">
        <v>4236</v>
      </c>
    </row>
    <row r="442" spans="1:17" x14ac:dyDescent="0.25">
      <c r="A442" s="38" t="s">
        <v>4607</v>
      </c>
      <c r="B442" s="1">
        <v>441</v>
      </c>
      <c r="C442" s="1" t="s">
        <v>1385</v>
      </c>
      <c r="D442" s="1" t="s">
        <v>4237</v>
      </c>
      <c r="E442" s="1" t="s">
        <v>709</v>
      </c>
      <c r="F442" s="1">
        <v>966223518</v>
      </c>
      <c r="G442" s="1" t="s">
        <v>4238</v>
      </c>
      <c r="H442" s="1" t="s">
        <v>2126</v>
      </c>
      <c r="I442" s="1" t="str">
        <f t="shared" si="6"/>
        <v>M</v>
      </c>
      <c r="J442" s="1" t="s">
        <v>2127</v>
      </c>
      <c r="K442" s="1" t="s">
        <v>919</v>
      </c>
      <c r="L442" s="1" t="s">
        <v>919</v>
      </c>
      <c r="M442" s="1" t="s">
        <v>4239</v>
      </c>
      <c r="N442" s="1" t="s">
        <v>2140</v>
      </c>
      <c r="O442" s="1" t="s">
        <v>90</v>
      </c>
      <c r="P442" s="1" t="s">
        <v>619</v>
      </c>
      <c r="Q442" s="1" t="s">
        <v>4240</v>
      </c>
    </row>
    <row r="443" spans="1:17" x14ac:dyDescent="0.25">
      <c r="A443" s="38" t="s">
        <v>4650</v>
      </c>
      <c r="B443" s="1">
        <v>442</v>
      </c>
      <c r="C443" s="1" t="s">
        <v>1426</v>
      </c>
      <c r="D443" s="1" t="s">
        <v>4241</v>
      </c>
      <c r="E443" s="1" t="s">
        <v>574</v>
      </c>
      <c r="F443" s="1">
        <v>999368378</v>
      </c>
      <c r="G443" s="1" t="s">
        <v>4242</v>
      </c>
      <c r="H443" s="1" t="s">
        <v>2126</v>
      </c>
      <c r="I443" s="1" t="str">
        <f t="shared" si="6"/>
        <v>M</v>
      </c>
      <c r="J443" s="1" t="s">
        <v>2156</v>
      </c>
      <c r="K443" s="1" t="s">
        <v>2577</v>
      </c>
      <c r="L443" s="1" t="s">
        <v>2577</v>
      </c>
      <c r="M443" s="1" t="s">
        <v>4243</v>
      </c>
      <c r="N443" s="1" t="s">
        <v>2150</v>
      </c>
      <c r="O443" s="1" t="s">
        <v>90</v>
      </c>
      <c r="P443" s="1" t="s">
        <v>532</v>
      </c>
      <c r="Q443" s="1" t="s">
        <v>4244</v>
      </c>
    </row>
    <row r="444" spans="1:17" x14ac:dyDescent="0.25">
      <c r="A444" s="38" t="s">
        <v>4755</v>
      </c>
      <c r="B444" s="1">
        <v>443</v>
      </c>
      <c r="C444" s="1" t="s">
        <v>1528</v>
      </c>
      <c r="D444" s="1" t="s">
        <v>4245</v>
      </c>
      <c r="E444" s="1" t="s">
        <v>466</v>
      </c>
      <c r="F444" s="1">
        <v>958015508</v>
      </c>
      <c r="G444" s="1" t="s">
        <v>4246</v>
      </c>
      <c r="H444" s="1" t="s">
        <v>2135</v>
      </c>
      <c r="I444" s="1" t="str">
        <f t="shared" si="6"/>
        <v>F</v>
      </c>
      <c r="J444" s="1" t="s">
        <v>2127</v>
      </c>
      <c r="K444" s="1" t="s">
        <v>2127</v>
      </c>
      <c r="L444" s="1" t="s">
        <v>2127</v>
      </c>
      <c r="M444" s="1" t="s">
        <v>4247</v>
      </c>
      <c r="N444" s="1" t="s">
        <v>2130</v>
      </c>
      <c r="O444" s="1" t="s">
        <v>90</v>
      </c>
      <c r="P444" s="1" t="s">
        <v>418</v>
      </c>
      <c r="Q444" s="1" t="s">
        <v>4248</v>
      </c>
    </row>
    <row r="445" spans="1:17" x14ac:dyDescent="0.25">
      <c r="A445" s="38" t="s">
        <v>4765</v>
      </c>
      <c r="B445" s="1">
        <v>444</v>
      </c>
      <c r="C445" s="1" t="s">
        <v>1538</v>
      </c>
      <c r="D445" s="1" t="s">
        <v>4249</v>
      </c>
      <c r="E445" s="1" t="s">
        <v>486</v>
      </c>
      <c r="F445" s="1">
        <v>978811747</v>
      </c>
      <c r="G445" s="1" t="s">
        <v>4250</v>
      </c>
      <c r="H445" s="1" t="s">
        <v>2135</v>
      </c>
      <c r="I445" s="1" t="str">
        <f t="shared" si="6"/>
        <v>F</v>
      </c>
      <c r="J445" s="1" t="s">
        <v>2127</v>
      </c>
      <c r="K445" s="1" t="s">
        <v>919</v>
      </c>
      <c r="L445" s="1" t="s">
        <v>919</v>
      </c>
      <c r="M445" s="1" t="s">
        <v>4251</v>
      </c>
      <c r="N445" s="1" t="s">
        <v>2130</v>
      </c>
      <c r="O445" s="1" t="s">
        <v>90</v>
      </c>
      <c r="P445" s="1" t="s">
        <v>418</v>
      </c>
      <c r="Q445" s="1" t="s">
        <v>4252</v>
      </c>
    </row>
    <row r="446" spans="1:17" x14ac:dyDescent="0.25">
      <c r="A446" s="38" t="s">
        <v>5019</v>
      </c>
      <c r="B446" s="1">
        <v>445</v>
      </c>
      <c r="C446" s="1" t="s">
        <v>4253</v>
      </c>
      <c r="D446" s="1" t="s">
        <v>4254</v>
      </c>
      <c r="E446" s="1" t="s">
        <v>413</v>
      </c>
      <c r="F446" s="1">
        <v>950015958</v>
      </c>
      <c r="G446" s="1" t="s">
        <v>4255</v>
      </c>
      <c r="H446" s="1" t="s">
        <v>2135</v>
      </c>
      <c r="I446" s="1" t="str">
        <f t="shared" si="6"/>
        <v>F</v>
      </c>
      <c r="J446" s="1" t="s">
        <v>2127</v>
      </c>
      <c r="K446" s="1" t="s">
        <v>919</v>
      </c>
      <c r="L446" s="1" t="s">
        <v>2186</v>
      </c>
      <c r="M446" s="1" t="s">
        <v>4256</v>
      </c>
      <c r="N446" s="1" t="s">
        <v>2130</v>
      </c>
      <c r="O446" s="1" t="s">
        <v>90</v>
      </c>
      <c r="P446" s="1" t="s">
        <v>368</v>
      </c>
      <c r="Q446" s="1" t="s">
        <v>4257</v>
      </c>
    </row>
    <row r="447" spans="1:17" x14ac:dyDescent="0.25">
      <c r="A447" s="38" t="s">
        <v>5020</v>
      </c>
      <c r="B447" s="1">
        <v>446</v>
      </c>
      <c r="C447" s="1" t="s">
        <v>4258</v>
      </c>
      <c r="D447" s="1" t="s">
        <v>4259</v>
      </c>
      <c r="E447" s="1" t="s">
        <v>4260</v>
      </c>
      <c r="F447" s="1">
        <v>981977528</v>
      </c>
      <c r="G447" s="1" t="s">
        <v>4261</v>
      </c>
      <c r="H447" s="1" t="s">
        <v>2135</v>
      </c>
      <c r="I447" s="1" t="str">
        <f t="shared" si="6"/>
        <v>F</v>
      </c>
      <c r="J447" s="1" t="s">
        <v>2127</v>
      </c>
      <c r="K447" s="1" t="s">
        <v>2127</v>
      </c>
      <c r="L447" s="1" t="s">
        <v>2127</v>
      </c>
      <c r="M447" s="1" t="s">
        <v>4262</v>
      </c>
      <c r="N447" s="1" t="s">
        <v>2167</v>
      </c>
      <c r="O447" s="1" t="s">
        <v>90</v>
      </c>
      <c r="P447" s="1" t="s">
        <v>2168</v>
      </c>
      <c r="Q447" s="1" t="s">
        <v>4263</v>
      </c>
    </row>
    <row r="448" spans="1:17" x14ac:dyDescent="0.25">
      <c r="A448" s="38" t="s">
        <v>4722</v>
      </c>
      <c r="B448" s="1">
        <v>447</v>
      </c>
      <c r="C448" s="1" t="s">
        <v>1496</v>
      </c>
      <c r="D448" s="1" t="s">
        <v>4264</v>
      </c>
      <c r="E448" s="1" t="s">
        <v>343</v>
      </c>
      <c r="F448" s="1">
        <v>932117577</v>
      </c>
      <c r="G448" s="1" t="s">
        <v>4265</v>
      </c>
      <c r="H448" s="1" t="s">
        <v>2135</v>
      </c>
      <c r="I448" s="1" t="str">
        <f t="shared" si="6"/>
        <v>F</v>
      </c>
      <c r="J448" s="1" t="s">
        <v>2127</v>
      </c>
      <c r="K448" s="1" t="s">
        <v>919</v>
      </c>
      <c r="L448" s="1" t="s">
        <v>919</v>
      </c>
      <c r="M448" s="1" t="s">
        <v>4266</v>
      </c>
      <c r="N448" s="1" t="s">
        <v>2130</v>
      </c>
      <c r="O448" s="1" t="s">
        <v>90</v>
      </c>
      <c r="P448" s="1" t="s">
        <v>272</v>
      </c>
      <c r="Q448" s="1" t="s">
        <v>4267</v>
      </c>
    </row>
    <row r="449" spans="1:17" x14ac:dyDescent="0.25">
      <c r="A449" s="38" t="s">
        <v>4773</v>
      </c>
      <c r="B449" s="1">
        <v>448</v>
      </c>
      <c r="C449" s="1" t="s">
        <v>1546</v>
      </c>
      <c r="D449" s="1" t="s">
        <v>4268</v>
      </c>
      <c r="E449" s="1" t="s">
        <v>382</v>
      </c>
      <c r="F449" s="1">
        <v>929630046</v>
      </c>
      <c r="G449" s="1" t="s">
        <v>4269</v>
      </c>
      <c r="H449" s="1" t="s">
        <v>2135</v>
      </c>
      <c r="I449" s="1" t="str">
        <f t="shared" si="6"/>
        <v>F</v>
      </c>
      <c r="J449" s="1" t="s">
        <v>2156</v>
      </c>
      <c r="K449" s="1" t="s">
        <v>2577</v>
      </c>
      <c r="L449" s="1" t="s">
        <v>2577</v>
      </c>
      <c r="M449" s="1" t="s">
        <v>4270</v>
      </c>
      <c r="N449" s="1" t="s">
        <v>2130</v>
      </c>
      <c r="O449" s="1" t="s">
        <v>90</v>
      </c>
      <c r="P449" s="1" t="s">
        <v>368</v>
      </c>
      <c r="Q449" s="1" t="s">
        <v>4271</v>
      </c>
    </row>
    <row r="450" spans="1:17" x14ac:dyDescent="0.25">
      <c r="A450" s="38" t="s">
        <v>4617</v>
      </c>
      <c r="B450" s="1">
        <v>449</v>
      </c>
      <c r="C450" s="1" t="s">
        <v>1394</v>
      </c>
      <c r="D450" s="1" t="s">
        <v>4272</v>
      </c>
      <c r="E450" s="1" t="s">
        <v>738</v>
      </c>
      <c r="F450" s="1">
        <v>932152135</v>
      </c>
      <c r="G450" s="1" t="s">
        <v>4273</v>
      </c>
      <c r="H450" s="1" t="s">
        <v>2126</v>
      </c>
      <c r="I450" s="1" t="str">
        <f t="shared" si="6"/>
        <v>M</v>
      </c>
      <c r="J450" s="1" t="s">
        <v>2127</v>
      </c>
      <c r="K450" s="1" t="s">
        <v>919</v>
      </c>
      <c r="L450" s="1" t="s">
        <v>919</v>
      </c>
      <c r="M450" s="1" t="s">
        <v>4274</v>
      </c>
      <c r="N450" s="1" t="s">
        <v>2140</v>
      </c>
      <c r="O450" s="1" t="s">
        <v>90</v>
      </c>
      <c r="P450" s="1" t="s">
        <v>730</v>
      </c>
      <c r="Q450" s="1" t="s">
        <v>4275</v>
      </c>
    </row>
    <row r="451" spans="1:17" x14ac:dyDescent="0.25">
      <c r="A451" s="38" t="s">
        <v>4882</v>
      </c>
      <c r="B451" s="1">
        <v>450</v>
      </c>
      <c r="C451" s="1" t="s">
        <v>4276</v>
      </c>
      <c r="D451" s="1" t="s">
        <v>4277</v>
      </c>
      <c r="E451" s="1" t="s">
        <v>805</v>
      </c>
      <c r="F451" s="1">
        <v>930151853</v>
      </c>
      <c r="G451" s="1" t="s">
        <v>4278</v>
      </c>
      <c r="H451" s="1" t="s">
        <v>2126</v>
      </c>
      <c r="I451" s="1" t="str">
        <f t="shared" ref="I451:I506" si="7">IF(H451="MaSculino","M","F")</f>
        <v>M</v>
      </c>
      <c r="J451" s="1" t="s">
        <v>2156</v>
      </c>
      <c r="K451" s="1" t="s">
        <v>2577</v>
      </c>
      <c r="L451" s="1" t="s">
        <v>2577</v>
      </c>
      <c r="M451" s="1" t="s">
        <v>4279</v>
      </c>
      <c r="N451" s="1" t="s">
        <v>2194</v>
      </c>
      <c r="O451" s="1" t="s">
        <v>90</v>
      </c>
      <c r="P451" s="1" t="s">
        <v>769</v>
      </c>
      <c r="Q451" s="1" t="s">
        <v>4280</v>
      </c>
    </row>
    <row r="452" spans="1:17" x14ac:dyDescent="0.25">
      <c r="A452" s="38" t="s">
        <v>4577</v>
      </c>
      <c r="B452" s="1">
        <v>451</v>
      </c>
      <c r="C452" s="1" t="s">
        <v>1356</v>
      </c>
      <c r="D452" s="1" t="s">
        <v>4281</v>
      </c>
      <c r="E452" s="1" t="s">
        <v>649</v>
      </c>
      <c r="F452" s="1">
        <v>917741071</v>
      </c>
      <c r="G452" s="1" t="s">
        <v>4282</v>
      </c>
      <c r="H452" s="1" t="s">
        <v>2126</v>
      </c>
      <c r="I452" s="1" t="str">
        <f t="shared" si="7"/>
        <v>M</v>
      </c>
      <c r="J452" s="1" t="s">
        <v>2156</v>
      </c>
      <c r="K452" s="1" t="s">
        <v>2274</v>
      </c>
      <c r="L452" s="1" t="s">
        <v>2274</v>
      </c>
      <c r="M452" s="1" t="s">
        <v>4283</v>
      </c>
      <c r="N452" s="1" t="s">
        <v>2140</v>
      </c>
      <c r="O452" s="1" t="s">
        <v>90</v>
      </c>
      <c r="P452" s="1" t="s">
        <v>619</v>
      </c>
      <c r="Q452" s="1" t="s">
        <v>4284</v>
      </c>
    </row>
    <row r="453" spans="1:17" x14ac:dyDescent="0.25">
      <c r="A453" s="38" t="s">
        <v>4803</v>
      </c>
      <c r="B453" s="1">
        <v>452</v>
      </c>
      <c r="C453" s="1" t="s">
        <v>1571</v>
      </c>
      <c r="D453" s="1" t="s">
        <v>4285</v>
      </c>
      <c r="E453" s="1" t="s">
        <v>41</v>
      </c>
      <c r="F453" s="1">
        <v>946859409</v>
      </c>
      <c r="G453" s="1" t="s">
        <v>4286</v>
      </c>
      <c r="H453" s="1" t="s">
        <v>2135</v>
      </c>
      <c r="I453" s="1" t="str">
        <f t="shared" si="7"/>
        <v>F</v>
      </c>
      <c r="J453" s="1" t="s">
        <v>2127</v>
      </c>
      <c r="K453" s="1" t="s">
        <v>2127</v>
      </c>
      <c r="L453" s="1" t="s">
        <v>2127</v>
      </c>
      <c r="M453" s="1" t="s">
        <v>4287</v>
      </c>
      <c r="N453" s="1" t="s">
        <v>2130</v>
      </c>
      <c r="O453" s="1" t="s">
        <v>9</v>
      </c>
      <c r="P453" s="1" t="s">
        <v>10</v>
      </c>
      <c r="Q453" s="1" t="s">
        <v>4288</v>
      </c>
    </row>
    <row r="454" spans="1:17" x14ac:dyDescent="0.25">
      <c r="A454" s="38" t="s">
        <v>4682</v>
      </c>
      <c r="B454" s="1">
        <v>453</v>
      </c>
      <c r="C454" s="1" t="s">
        <v>1458</v>
      </c>
      <c r="D454" s="1" t="s">
        <v>4289</v>
      </c>
      <c r="E454" s="1" t="s">
        <v>75</v>
      </c>
      <c r="F454" s="1">
        <v>966580197</v>
      </c>
      <c r="G454" s="1" t="s">
        <v>4290</v>
      </c>
      <c r="H454" s="1" t="s">
        <v>2135</v>
      </c>
      <c r="I454" s="1" t="str">
        <f t="shared" si="7"/>
        <v>F</v>
      </c>
      <c r="J454" s="1" t="s">
        <v>3172</v>
      </c>
      <c r="K454" s="1" t="s">
        <v>3173</v>
      </c>
      <c r="L454" s="1" t="s">
        <v>3173</v>
      </c>
      <c r="M454" s="1" t="s">
        <v>4291</v>
      </c>
      <c r="N454" s="1" t="s">
        <v>2150</v>
      </c>
      <c r="O454" s="1" t="s">
        <v>9</v>
      </c>
      <c r="P454" s="1" t="s">
        <v>53</v>
      </c>
      <c r="Q454" s="1" t="s">
        <v>4292</v>
      </c>
    </row>
    <row r="455" spans="1:17" x14ac:dyDescent="0.25">
      <c r="A455" s="38" t="s">
        <v>4799</v>
      </c>
      <c r="B455" s="1">
        <v>454</v>
      </c>
      <c r="C455" s="1" t="s">
        <v>1512</v>
      </c>
      <c r="D455" s="1" t="s">
        <v>4293</v>
      </c>
      <c r="E455" s="1" t="s">
        <v>33</v>
      </c>
      <c r="F455" s="1">
        <v>945962546</v>
      </c>
      <c r="G455" s="1" t="s">
        <v>4294</v>
      </c>
      <c r="H455" s="1" t="s">
        <v>2126</v>
      </c>
      <c r="I455" s="1" t="str">
        <f t="shared" si="7"/>
        <v>M</v>
      </c>
      <c r="J455" s="1" t="s">
        <v>2127</v>
      </c>
      <c r="K455" s="1" t="s">
        <v>919</v>
      </c>
      <c r="L455" s="1" t="s">
        <v>919</v>
      </c>
      <c r="M455" s="1" t="s">
        <v>4295</v>
      </c>
      <c r="N455" s="1" t="s">
        <v>2130</v>
      </c>
      <c r="O455" s="1" t="s">
        <v>9</v>
      </c>
      <c r="P455" s="1" t="s">
        <v>10</v>
      </c>
      <c r="Q455" s="1" t="s">
        <v>4296</v>
      </c>
    </row>
    <row r="456" spans="1:17" x14ac:dyDescent="0.25">
      <c r="A456" s="38" t="s">
        <v>4860</v>
      </c>
      <c r="B456" s="1">
        <v>455</v>
      </c>
      <c r="C456" s="1" t="s">
        <v>1625</v>
      </c>
      <c r="D456" s="1" t="s">
        <v>4297</v>
      </c>
      <c r="E456" s="1" t="s">
        <v>124</v>
      </c>
      <c r="F456" s="1">
        <v>996187265</v>
      </c>
      <c r="G456" s="1" t="s">
        <v>4298</v>
      </c>
      <c r="H456" s="1" t="s">
        <v>2135</v>
      </c>
      <c r="I456" s="1" t="str">
        <f t="shared" si="7"/>
        <v>F</v>
      </c>
      <c r="J456" s="1" t="s">
        <v>2127</v>
      </c>
      <c r="K456" s="1" t="s">
        <v>919</v>
      </c>
      <c r="L456" s="1" t="s">
        <v>919</v>
      </c>
      <c r="M456" s="1" t="s">
        <v>4299</v>
      </c>
      <c r="N456" s="1" t="s">
        <v>2194</v>
      </c>
      <c r="O456" s="1" t="s">
        <v>90</v>
      </c>
      <c r="P456" s="1" t="s">
        <v>91</v>
      </c>
      <c r="Q456" s="1" t="s">
        <v>4300</v>
      </c>
    </row>
    <row r="457" spans="1:17" x14ac:dyDescent="0.25">
      <c r="A457" s="38" t="s">
        <v>4758</v>
      </c>
      <c r="B457" s="1">
        <v>456</v>
      </c>
      <c r="C457" s="1" t="s">
        <v>1531</v>
      </c>
      <c r="D457" s="1" t="s">
        <v>4301</v>
      </c>
      <c r="E457" s="1" t="s">
        <v>472</v>
      </c>
      <c r="F457" s="1">
        <v>962618495</v>
      </c>
      <c r="G457" s="1" t="s">
        <v>4302</v>
      </c>
      <c r="H457" s="1" t="s">
        <v>2126</v>
      </c>
      <c r="I457" s="1" t="str">
        <f t="shared" si="7"/>
        <v>M</v>
      </c>
      <c r="J457" s="1" t="s">
        <v>2127</v>
      </c>
      <c r="K457" s="1" t="s">
        <v>2127</v>
      </c>
      <c r="L457" s="1" t="s">
        <v>2127</v>
      </c>
      <c r="M457" s="1" t="s">
        <v>4303</v>
      </c>
      <c r="N457" s="1" t="s">
        <v>2130</v>
      </c>
      <c r="O457" s="1" t="s">
        <v>90</v>
      </c>
      <c r="P457" s="1" t="s">
        <v>418</v>
      </c>
      <c r="Q457" s="1" t="s">
        <v>4304</v>
      </c>
    </row>
    <row r="458" spans="1:17" x14ac:dyDescent="0.25">
      <c r="A458" s="38" t="s">
        <v>5021</v>
      </c>
      <c r="B458" s="1">
        <v>457</v>
      </c>
      <c r="C458" s="1" t="s">
        <v>4305</v>
      </c>
      <c r="D458" s="1" t="s">
        <v>4306</v>
      </c>
      <c r="E458" s="1" t="s">
        <v>4307</v>
      </c>
      <c r="F458" s="1">
        <v>912980552</v>
      </c>
      <c r="G458" s="1" t="s">
        <v>4308</v>
      </c>
      <c r="H458" s="1" t="s">
        <v>2126</v>
      </c>
      <c r="I458" s="1" t="str">
        <f t="shared" si="7"/>
        <v>M</v>
      </c>
      <c r="J458" s="1" t="s">
        <v>2127</v>
      </c>
      <c r="K458" s="1" t="s">
        <v>919</v>
      </c>
      <c r="L458" s="1" t="s">
        <v>2128</v>
      </c>
      <c r="M458" s="1" t="s">
        <v>4309</v>
      </c>
      <c r="N458" s="1" t="s">
        <v>2212</v>
      </c>
      <c r="O458" s="1" t="s">
        <v>90</v>
      </c>
      <c r="P458" s="1" t="s">
        <v>2213</v>
      </c>
      <c r="Q458" s="1" t="s">
        <v>4310</v>
      </c>
    </row>
    <row r="459" spans="1:17" x14ac:dyDescent="0.25">
      <c r="A459" s="38" t="s">
        <v>4713</v>
      </c>
      <c r="B459" s="1">
        <v>458</v>
      </c>
      <c r="C459" s="1" t="s">
        <v>1487</v>
      </c>
      <c r="D459" s="1" t="s">
        <v>4311</v>
      </c>
      <c r="E459" s="1" t="s">
        <v>325</v>
      </c>
      <c r="F459" s="1">
        <v>937623366</v>
      </c>
      <c r="G459" s="1" t="s">
        <v>4312</v>
      </c>
      <c r="H459" s="1" t="s">
        <v>2135</v>
      </c>
      <c r="I459" s="1" t="str">
        <f t="shared" si="7"/>
        <v>F</v>
      </c>
      <c r="J459" s="1" t="s">
        <v>2127</v>
      </c>
      <c r="K459" s="1" t="s">
        <v>919</v>
      </c>
      <c r="L459" s="1" t="s">
        <v>919</v>
      </c>
      <c r="M459" s="1" t="s">
        <v>4313</v>
      </c>
      <c r="N459" s="1" t="s">
        <v>2130</v>
      </c>
      <c r="O459" s="1" t="s">
        <v>90</v>
      </c>
      <c r="P459" s="1" t="s">
        <v>272</v>
      </c>
      <c r="Q459" s="1" t="s">
        <v>4314</v>
      </c>
    </row>
    <row r="460" spans="1:17" x14ac:dyDescent="0.25">
      <c r="A460" s="38" t="s">
        <v>5022</v>
      </c>
      <c r="B460" s="1">
        <v>459</v>
      </c>
      <c r="C460" s="1" t="s">
        <v>4315</v>
      </c>
      <c r="D460" s="1" t="s">
        <v>4316</v>
      </c>
      <c r="E460" s="1" t="s">
        <v>4317</v>
      </c>
      <c r="F460" s="1">
        <v>912715143</v>
      </c>
      <c r="G460" s="1" t="s">
        <v>3337</v>
      </c>
      <c r="H460" s="1" t="s">
        <v>2126</v>
      </c>
      <c r="I460" s="1" t="str">
        <f t="shared" si="7"/>
        <v>M</v>
      </c>
      <c r="J460" s="1" t="s">
        <v>2127</v>
      </c>
      <c r="K460" s="1" t="s">
        <v>919</v>
      </c>
      <c r="L460" s="1" t="s">
        <v>919</v>
      </c>
      <c r="M460" s="1" t="s">
        <v>4318</v>
      </c>
      <c r="N460" s="1" t="s">
        <v>2150</v>
      </c>
      <c r="O460" s="1" t="s">
        <v>90</v>
      </c>
      <c r="P460" s="1" t="s">
        <v>2475</v>
      </c>
      <c r="Q460" s="1" t="s">
        <v>4319</v>
      </c>
    </row>
    <row r="461" spans="1:17" x14ac:dyDescent="0.25">
      <c r="A461" s="38" t="s">
        <v>5023</v>
      </c>
      <c r="B461" s="1">
        <v>460</v>
      </c>
      <c r="C461" s="1" t="s">
        <v>4320</v>
      </c>
      <c r="D461" s="1" t="s">
        <v>4321</v>
      </c>
      <c r="E461" s="1" t="s">
        <v>87</v>
      </c>
      <c r="F461" s="1">
        <v>959229948</v>
      </c>
      <c r="G461" s="1" t="s">
        <v>4322</v>
      </c>
      <c r="H461" s="1" t="s">
        <v>2126</v>
      </c>
      <c r="I461" s="1" t="str">
        <f t="shared" si="7"/>
        <v>M</v>
      </c>
      <c r="J461" s="1" t="s">
        <v>2127</v>
      </c>
      <c r="K461" s="1" t="s">
        <v>919</v>
      </c>
      <c r="L461" s="1" t="s">
        <v>2192</v>
      </c>
      <c r="M461" s="1" t="s">
        <v>4323</v>
      </c>
      <c r="N461" s="1" t="s">
        <v>2150</v>
      </c>
      <c r="O461" s="1" t="s">
        <v>9</v>
      </c>
      <c r="P461" s="1" t="s">
        <v>53</v>
      </c>
      <c r="Q461" s="1" t="s">
        <v>4324</v>
      </c>
    </row>
    <row r="462" spans="1:17" x14ac:dyDescent="0.25">
      <c r="A462" s="38" t="s">
        <v>4868</v>
      </c>
      <c r="B462" s="1">
        <v>461</v>
      </c>
      <c r="C462" s="1" t="s">
        <v>4325</v>
      </c>
      <c r="D462" s="1" t="s">
        <v>4326</v>
      </c>
      <c r="E462" s="1" t="s">
        <v>775</v>
      </c>
      <c r="F462" s="1">
        <v>925812685</v>
      </c>
      <c r="G462" s="1" t="s">
        <v>4327</v>
      </c>
      <c r="H462" s="1" t="s">
        <v>2126</v>
      </c>
      <c r="I462" s="1" t="str">
        <f t="shared" si="7"/>
        <v>M</v>
      </c>
      <c r="J462" s="1" t="s">
        <v>2127</v>
      </c>
      <c r="K462" s="1" t="s">
        <v>919</v>
      </c>
      <c r="L462" s="1" t="s">
        <v>2457</v>
      </c>
      <c r="M462" s="1" t="s">
        <v>4328</v>
      </c>
      <c r="N462" s="1" t="s">
        <v>2194</v>
      </c>
      <c r="O462" s="1" t="s">
        <v>90</v>
      </c>
      <c r="P462" s="1" t="s">
        <v>769</v>
      </c>
      <c r="Q462" s="1" t="s">
        <v>4329</v>
      </c>
    </row>
    <row r="463" spans="1:17" x14ac:dyDescent="0.25">
      <c r="A463" s="38" t="s">
        <v>4611</v>
      </c>
      <c r="B463" s="1">
        <v>462</v>
      </c>
      <c r="C463" s="1" t="s">
        <v>1386</v>
      </c>
      <c r="D463" s="1" t="s">
        <v>4330</v>
      </c>
      <c r="E463" s="1" t="s">
        <v>717</v>
      </c>
      <c r="F463" s="1">
        <v>979955686</v>
      </c>
      <c r="G463" s="1" t="s">
        <v>4331</v>
      </c>
      <c r="H463" s="1" t="s">
        <v>2126</v>
      </c>
      <c r="I463" s="1" t="str">
        <f t="shared" si="7"/>
        <v>M</v>
      </c>
      <c r="J463" s="1" t="s">
        <v>2127</v>
      </c>
      <c r="K463" s="1" t="s">
        <v>2127</v>
      </c>
      <c r="L463" s="1" t="s">
        <v>3251</v>
      </c>
      <c r="M463" s="1" t="s">
        <v>4332</v>
      </c>
      <c r="N463" s="1" t="s">
        <v>2140</v>
      </c>
      <c r="O463" s="1" t="s">
        <v>90</v>
      </c>
      <c r="P463" s="1" t="s">
        <v>619</v>
      </c>
      <c r="Q463" s="1" t="s">
        <v>4333</v>
      </c>
    </row>
    <row r="464" spans="1:17" x14ac:dyDescent="0.25">
      <c r="A464" s="38" t="s">
        <v>4694</v>
      </c>
      <c r="B464" s="1">
        <v>463</v>
      </c>
      <c r="C464" s="1" t="s">
        <v>1469</v>
      </c>
      <c r="D464" s="1" t="s">
        <v>4334</v>
      </c>
      <c r="E464" s="1" t="s">
        <v>287</v>
      </c>
      <c r="F464" s="1">
        <v>966243348</v>
      </c>
      <c r="G464" s="1" t="s">
        <v>4335</v>
      </c>
      <c r="H464" s="1" t="s">
        <v>2126</v>
      </c>
      <c r="I464" s="1" t="str">
        <f t="shared" si="7"/>
        <v>M</v>
      </c>
      <c r="J464" s="1" t="s">
        <v>2127</v>
      </c>
      <c r="K464" s="1" t="s">
        <v>919</v>
      </c>
      <c r="L464" s="1" t="s">
        <v>919</v>
      </c>
      <c r="M464" s="1" t="s">
        <v>4336</v>
      </c>
      <c r="N464" s="1" t="s">
        <v>2130</v>
      </c>
      <c r="O464" s="1" t="s">
        <v>90</v>
      </c>
      <c r="P464" s="1" t="s">
        <v>272</v>
      </c>
      <c r="Q464" s="1" t="s">
        <v>4337</v>
      </c>
    </row>
    <row r="465" spans="1:17" x14ac:dyDescent="0.25">
      <c r="A465" s="38" t="s">
        <v>4862</v>
      </c>
      <c r="B465" s="1">
        <v>464</v>
      </c>
      <c r="C465" s="1" t="s">
        <v>1627</v>
      </c>
      <c r="D465" s="1" t="s">
        <v>4338</v>
      </c>
      <c r="E465" s="1" t="s">
        <v>128</v>
      </c>
      <c r="F465" s="1">
        <v>914244340</v>
      </c>
      <c r="G465" s="1" t="s">
        <v>4339</v>
      </c>
      <c r="H465" s="1" t="s">
        <v>2135</v>
      </c>
      <c r="I465" s="1" t="str">
        <f t="shared" si="7"/>
        <v>F</v>
      </c>
      <c r="J465" s="1" t="s">
        <v>2127</v>
      </c>
      <c r="K465" s="1" t="s">
        <v>2376</v>
      </c>
      <c r="L465" s="1" t="s">
        <v>2376</v>
      </c>
      <c r="M465" s="1" t="s">
        <v>4340</v>
      </c>
      <c r="N465" s="1" t="s">
        <v>2194</v>
      </c>
      <c r="O465" s="1" t="s">
        <v>90</v>
      </c>
      <c r="P465" s="1" t="s">
        <v>91</v>
      </c>
      <c r="Q465" s="1" t="s">
        <v>4341</v>
      </c>
    </row>
    <row r="466" spans="1:17" x14ac:dyDescent="0.25">
      <c r="A466" s="38" t="s">
        <v>5024</v>
      </c>
      <c r="B466" s="1">
        <v>465</v>
      </c>
      <c r="C466" s="1" t="s">
        <v>4342</v>
      </c>
      <c r="D466" s="1" t="s">
        <v>4343</v>
      </c>
      <c r="E466" s="1" t="s">
        <v>4344</v>
      </c>
      <c r="F466" s="1">
        <v>917248950</v>
      </c>
      <c r="G466" s="1" t="s">
        <v>4345</v>
      </c>
      <c r="H466" s="1" t="s">
        <v>2135</v>
      </c>
      <c r="I466" s="1" t="str">
        <f t="shared" si="7"/>
        <v>F</v>
      </c>
      <c r="J466" s="1" t="s">
        <v>2127</v>
      </c>
      <c r="K466" s="1" t="s">
        <v>2127</v>
      </c>
      <c r="L466" s="1" t="s">
        <v>2382</v>
      </c>
      <c r="M466" s="1" t="s">
        <v>4346</v>
      </c>
      <c r="N466" s="1" t="s">
        <v>2130</v>
      </c>
      <c r="O466" s="1" t="s">
        <v>90</v>
      </c>
      <c r="P466" s="1" t="s">
        <v>2586</v>
      </c>
      <c r="Q466" s="1" t="s">
        <v>4347</v>
      </c>
    </row>
    <row r="467" spans="1:17" x14ac:dyDescent="0.25">
      <c r="A467" s="38" t="s">
        <v>4558</v>
      </c>
      <c r="B467" s="1">
        <v>466</v>
      </c>
      <c r="C467" s="1" t="s">
        <v>1337</v>
      </c>
      <c r="D467" s="1" t="s">
        <v>4348</v>
      </c>
      <c r="E467" s="1" t="s">
        <v>259</v>
      </c>
      <c r="F467" s="1">
        <v>932957667</v>
      </c>
      <c r="G467" s="1" t="s">
        <v>4349</v>
      </c>
      <c r="H467" s="1" t="s">
        <v>2126</v>
      </c>
      <c r="I467" s="1" t="str">
        <f t="shared" si="7"/>
        <v>M</v>
      </c>
      <c r="J467" s="1" t="s">
        <v>2127</v>
      </c>
      <c r="K467" s="1" t="s">
        <v>919</v>
      </c>
      <c r="L467" s="1" t="s">
        <v>919</v>
      </c>
      <c r="M467" s="1" t="s">
        <v>4350</v>
      </c>
      <c r="N467" s="1" t="s">
        <v>2140</v>
      </c>
      <c r="O467" s="1" t="s">
        <v>90</v>
      </c>
      <c r="P467" s="1" t="s">
        <v>223</v>
      </c>
      <c r="Q467" s="1" t="s">
        <v>4351</v>
      </c>
    </row>
    <row r="468" spans="1:17" x14ac:dyDescent="0.25">
      <c r="A468" s="38" t="s">
        <v>4534</v>
      </c>
      <c r="B468" s="1">
        <v>467</v>
      </c>
      <c r="C468" s="1" t="s">
        <v>4352</v>
      </c>
      <c r="D468" s="1" t="s">
        <v>4353</v>
      </c>
      <c r="E468" s="1" t="s">
        <v>157</v>
      </c>
      <c r="F468" s="1">
        <v>973854830</v>
      </c>
      <c r="G468" s="1" t="s">
        <v>4354</v>
      </c>
      <c r="H468" s="1" t="s">
        <v>2126</v>
      </c>
      <c r="I468" s="1" t="str">
        <f t="shared" si="7"/>
        <v>M</v>
      </c>
      <c r="J468" s="1" t="s">
        <v>2127</v>
      </c>
      <c r="K468" s="1" t="s">
        <v>2376</v>
      </c>
      <c r="L468" s="1" t="s">
        <v>2498</v>
      </c>
      <c r="M468" s="1" t="s">
        <v>4355</v>
      </c>
      <c r="N468" s="1" t="s">
        <v>2140</v>
      </c>
      <c r="O468" s="1" t="s">
        <v>90</v>
      </c>
      <c r="P468" s="1" t="s">
        <v>135</v>
      </c>
      <c r="Q468" s="1" t="s">
        <v>4356</v>
      </c>
    </row>
    <row r="469" spans="1:17" x14ac:dyDescent="0.25">
      <c r="A469" s="38" t="s">
        <v>4763</v>
      </c>
      <c r="B469" s="1">
        <v>468</v>
      </c>
      <c r="C469" s="1" t="s">
        <v>1536</v>
      </c>
      <c r="D469" s="1" t="s">
        <v>4357</v>
      </c>
      <c r="E469" s="1" t="s">
        <v>482</v>
      </c>
      <c r="F469" s="1">
        <v>986877521</v>
      </c>
      <c r="G469" s="1" t="s">
        <v>4358</v>
      </c>
      <c r="H469" s="1" t="s">
        <v>2135</v>
      </c>
      <c r="I469" s="1" t="str">
        <f t="shared" si="7"/>
        <v>F</v>
      </c>
      <c r="J469" s="1" t="s">
        <v>2127</v>
      </c>
      <c r="K469" s="1" t="s">
        <v>919</v>
      </c>
      <c r="L469" s="1" t="s">
        <v>919</v>
      </c>
      <c r="M469" s="1" t="s">
        <v>4359</v>
      </c>
      <c r="N469" s="1" t="s">
        <v>2130</v>
      </c>
      <c r="O469" s="1" t="s">
        <v>90</v>
      </c>
      <c r="P469" s="1" t="s">
        <v>418</v>
      </c>
      <c r="Q469" s="1" t="s">
        <v>4360</v>
      </c>
    </row>
    <row r="470" spans="1:17" x14ac:dyDescent="0.25">
      <c r="A470" s="38" t="s">
        <v>4843</v>
      </c>
      <c r="B470" s="1">
        <v>469</v>
      </c>
      <c r="C470" s="1" t="s">
        <v>4361</v>
      </c>
      <c r="D470" s="1" t="s">
        <v>4362</v>
      </c>
      <c r="E470" s="1" t="s">
        <v>527</v>
      </c>
      <c r="F470" s="1">
        <v>932034684</v>
      </c>
      <c r="G470" s="1" t="s">
        <v>4363</v>
      </c>
      <c r="H470" s="1" t="s">
        <v>2126</v>
      </c>
      <c r="I470" s="1" t="str">
        <f t="shared" si="7"/>
        <v>M</v>
      </c>
      <c r="J470" s="1" t="s">
        <v>2136</v>
      </c>
      <c r="K470" s="1" t="s">
        <v>3191</v>
      </c>
      <c r="L470" s="1" t="s">
        <v>3191</v>
      </c>
      <c r="M470" s="1" t="s">
        <v>4364</v>
      </c>
      <c r="N470" s="1" t="s">
        <v>2329</v>
      </c>
      <c r="O470" s="1" t="s">
        <v>90</v>
      </c>
      <c r="P470" s="1" t="s">
        <v>493</v>
      </c>
      <c r="Q470" s="1" t="s">
        <v>4365</v>
      </c>
    </row>
    <row r="471" spans="1:17" x14ac:dyDescent="0.25">
      <c r="A471" s="38" t="s">
        <v>4626</v>
      </c>
      <c r="B471" s="1">
        <v>470</v>
      </c>
      <c r="C471" s="1" t="s">
        <v>4366</v>
      </c>
      <c r="D471" s="1" t="s">
        <v>4367</v>
      </c>
      <c r="E471" s="1" t="s">
        <v>756</v>
      </c>
      <c r="F471" s="1">
        <v>915987269</v>
      </c>
      <c r="G471" s="1" t="s">
        <v>4368</v>
      </c>
      <c r="H471" s="1" t="s">
        <v>2126</v>
      </c>
      <c r="I471" s="1" t="str">
        <f t="shared" si="7"/>
        <v>M</v>
      </c>
      <c r="J471" s="1" t="s">
        <v>2127</v>
      </c>
      <c r="K471" s="1" t="s">
        <v>919</v>
      </c>
      <c r="L471" s="1" t="s">
        <v>2128</v>
      </c>
      <c r="M471" s="1" t="s">
        <v>4369</v>
      </c>
      <c r="N471" s="1" t="s">
        <v>2140</v>
      </c>
      <c r="O471" s="1" t="s">
        <v>90</v>
      </c>
      <c r="P471" s="1" t="s">
        <v>730</v>
      </c>
      <c r="Q471" s="1" t="s">
        <v>4370</v>
      </c>
    </row>
    <row r="472" spans="1:17" x14ac:dyDescent="0.25">
      <c r="A472" s="38" t="s">
        <v>5025</v>
      </c>
      <c r="B472" s="1">
        <v>471</v>
      </c>
      <c r="C472" s="1" t="s">
        <v>4371</v>
      </c>
      <c r="D472" s="1" t="s">
        <v>4372</v>
      </c>
      <c r="E472" s="1" t="s">
        <v>4373</v>
      </c>
      <c r="F472" s="1">
        <v>930224811</v>
      </c>
      <c r="G472" s="1" t="s">
        <v>4374</v>
      </c>
      <c r="H472" s="1" t="s">
        <v>2135</v>
      </c>
      <c r="I472" s="1" t="str">
        <f t="shared" si="7"/>
        <v>F</v>
      </c>
      <c r="J472" s="1" t="s">
        <v>2127</v>
      </c>
      <c r="K472" s="1" t="s">
        <v>919</v>
      </c>
      <c r="L472" s="1" t="s">
        <v>2300</v>
      </c>
      <c r="M472" s="1" t="s">
        <v>4375</v>
      </c>
      <c r="N472" s="1" t="s">
        <v>2130</v>
      </c>
      <c r="O472" s="1" t="s">
        <v>90</v>
      </c>
      <c r="P472" s="1" t="s">
        <v>2586</v>
      </c>
      <c r="Q472" s="1" t="s">
        <v>4376</v>
      </c>
    </row>
    <row r="473" spans="1:17" x14ac:dyDescent="0.25">
      <c r="A473" s="38" t="s">
        <v>4705</v>
      </c>
      <c r="B473" s="1">
        <v>472</v>
      </c>
      <c r="C473" s="1" t="s">
        <v>1479</v>
      </c>
      <c r="D473" s="1" t="s">
        <v>4377</v>
      </c>
      <c r="E473" s="1" t="s">
        <v>309</v>
      </c>
      <c r="F473" s="1">
        <v>902725596</v>
      </c>
      <c r="G473" s="1" t="s">
        <v>4378</v>
      </c>
      <c r="H473" s="1" t="s">
        <v>2135</v>
      </c>
      <c r="I473" s="1" t="str">
        <f t="shared" si="7"/>
        <v>F</v>
      </c>
      <c r="J473" s="1" t="s">
        <v>2127</v>
      </c>
      <c r="K473" s="1" t="s">
        <v>2127</v>
      </c>
      <c r="L473" s="1" t="s">
        <v>2127</v>
      </c>
      <c r="M473" s="1" t="s">
        <v>4379</v>
      </c>
      <c r="N473" s="1" t="s">
        <v>2130</v>
      </c>
      <c r="O473" s="1" t="s">
        <v>90</v>
      </c>
      <c r="P473" s="1" t="s">
        <v>272</v>
      </c>
      <c r="Q473" s="1" t="s">
        <v>4380</v>
      </c>
    </row>
    <row r="474" spans="1:17" x14ac:dyDescent="0.25">
      <c r="A474" s="38" t="s">
        <v>4610</v>
      </c>
      <c r="B474" s="1">
        <v>473</v>
      </c>
      <c r="C474" s="1" t="s">
        <v>1388</v>
      </c>
      <c r="D474" s="1" t="s">
        <v>4381</v>
      </c>
      <c r="E474" s="1" t="s">
        <v>715</v>
      </c>
      <c r="F474" s="1">
        <v>934052648</v>
      </c>
      <c r="G474" s="1" t="s">
        <v>4382</v>
      </c>
      <c r="H474" s="1" t="s">
        <v>2126</v>
      </c>
      <c r="I474" s="1" t="str">
        <f t="shared" si="7"/>
        <v>M</v>
      </c>
      <c r="J474" s="1" t="s">
        <v>2127</v>
      </c>
      <c r="K474" s="1" t="s">
        <v>919</v>
      </c>
      <c r="L474" s="1" t="s">
        <v>919</v>
      </c>
      <c r="M474" s="1" t="s">
        <v>4383</v>
      </c>
      <c r="N474" s="1" t="s">
        <v>2140</v>
      </c>
      <c r="O474" s="1" t="s">
        <v>90</v>
      </c>
      <c r="P474" s="1" t="s">
        <v>619</v>
      </c>
      <c r="Q474" s="1" t="s">
        <v>4384</v>
      </c>
    </row>
    <row r="475" spans="1:17" x14ac:dyDescent="0.25">
      <c r="A475" s="38" t="s">
        <v>5026</v>
      </c>
      <c r="B475" s="1">
        <v>474</v>
      </c>
      <c r="C475" s="1" t="s">
        <v>4385</v>
      </c>
      <c r="D475" s="1" t="s">
        <v>4386</v>
      </c>
      <c r="E475" s="1" t="s">
        <v>4387</v>
      </c>
      <c r="F475" s="1">
        <v>973930427</v>
      </c>
      <c r="G475" s="1" t="s">
        <v>4388</v>
      </c>
      <c r="H475" s="1" t="s">
        <v>2126</v>
      </c>
      <c r="I475" s="1" t="str">
        <f t="shared" si="7"/>
        <v>M</v>
      </c>
      <c r="J475" s="1" t="s">
        <v>2127</v>
      </c>
      <c r="K475" s="1" t="s">
        <v>919</v>
      </c>
      <c r="L475" s="1" t="s">
        <v>2186</v>
      </c>
      <c r="M475" s="1" t="s">
        <v>4389</v>
      </c>
      <c r="N475" s="1" t="s">
        <v>2212</v>
      </c>
      <c r="O475" s="1" t="s">
        <v>90</v>
      </c>
      <c r="P475" s="1" t="s">
        <v>2213</v>
      </c>
      <c r="Q475" s="1" t="s">
        <v>4390</v>
      </c>
    </row>
    <row r="476" spans="1:17" x14ac:dyDescent="0.25">
      <c r="A476" s="54" t="s">
        <v>4523</v>
      </c>
      <c r="B476" s="1">
        <v>475</v>
      </c>
      <c r="C476" s="1" t="s">
        <v>1301</v>
      </c>
      <c r="D476" s="1" t="s">
        <v>4391</v>
      </c>
      <c r="E476" s="1" t="s">
        <v>134</v>
      </c>
      <c r="F476" s="1">
        <v>955850651</v>
      </c>
      <c r="G476" s="1" t="s">
        <v>4392</v>
      </c>
      <c r="H476" s="1" t="s">
        <v>2126</v>
      </c>
      <c r="I476" s="1" t="str">
        <f t="shared" si="7"/>
        <v>M</v>
      </c>
      <c r="J476" s="1" t="s">
        <v>2127</v>
      </c>
      <c r="K476" s="1" t="s">
        <v>919</v>
      </c>
      <c r="L476" s="1" t="s">
        <v>2457</v>
      </c>
      <c r="M476" s="1" t="s">
        <v>4393</v>
      </c>
      <c r="N476" s="1" t="s">
        <v>2140</v>
      </c>
      <c r="O476" s="1" t="s">
        <v>90</v>
      </c>
      <c r="P476" s="1" t="s">
        <v>135</v>
      </c>
      <c r="Q476" s="1" t="s">
        <v>4394</v>
      </c>
    </row>
    <row r="477" spans="1:17" x14ac:dyDescent="0.25">
      <c r="A477" s="38" t="s">
        <v>4788</v>
      </c>
      <c r="B477" s="1">
        <v>476</v>
      </c>
      <c r="C477" s="1" t="s">
        <v>1560</v>
      </c>
      <c r="D477" s="1" t="s">
        <v>4395</v>
      </c>
      <c r="E477" s="1" t="s">
        <v>8</v>
      </c>
      <c r="F477" s="1">
        <v>922210488</v>
      </c>
      <c r="G477" s="1" t="s">
        <v>4396</v>
      </c>
      <c r="H477" s="1" t="s">
        <v>2126</v>
      </c>
      <c r="I477" s="1" t="str">
        <f t="shared" si="7"/>
        <v>M</v>
      </c>
      <c r="J477" s="1" t="s">
        <v>2127</v>
      </c>
      <c r="K477" s="1" t="s">
        <v>919</v>
      </c>
      <c r="L477" s="1" t="s">
        <v>2128</v>
      </c>
      <c r="M477" s="1" t="s">
        <v>4397</v>
      </c>
      <c r="N477" s="1" t="s">
        <v>2130</v>
      </c>
      <c r="O477" s="1" t="s">
        <v>9</v>
      </c>
      <c r="P477" s="1" t="s">
        <v>10</v>
      </c>
      <c r="Q477" s="1" t="s">
        <v>4398</v>
      </c>
    </row>
    <row r="478" spans="1:17" x14ac:dyDescent="0.25">
      <c r="A478" s="38" t="s">
        <v>4846</v>
      </c>
      <c r="B478" s="1">
        <v>477</v>
      </c>
      <c r="C478" s="1" t="s">
        <v>4399</v>
      </c>
      <c r="D478" s="1" t="s">
        <v>4400</v>
      </c>
      <c r="E478" s="1" t="s">
        <v>95</v>
      </c>
      <c r="F478" s="1">
        <v>921733886</v>
      </c>
      <c r="G478" s="1" t="s">
        <v>4401</v>
      </c>
      <c r="H478" s="1" t="s">
        <v>2126</v>
      </c>
      <c r="I478" s="1" t="str">
        <f t="shared" si="7"/>
        <v>M</v>
      </c>
      <c r="J478" s="1" t="s">
        <v>2127</v>
      </c>
      <c r="K478" s="1" t="s">
        <v>919</v>
      </c>
      <c r="L478" s="1" t="s">
        <v>2128</v>
      </c>
      <c r="M478" s="1" t="s">
        <v>4402</v>
      </c>
      <c r="N478" s="1" t="s">
        <v>2194</v>
      </c>
      <c r="O478" s="1" t="s">
        <v>90</v>
      </c>
      <c r="P478" s="1" t="s">
        <v>91</v>
      </c>
      <c r="Q478" s="1" t="s">
        <v>4403</v>
      </c>
    </row>
    <row r="479" spans="1:17" x14ac:dyDescent="0.25">
      <c r="A479" s="38" t="s">
        <v>4667</v>
      </c>
      <c r="B479" s="1">
        <v>478</v>
      </c>
      <c r="C479" s="1" t="s">
        <v>1443</v>
      </c>
      <c r="D479" s="1" t="s">
        <v>4404</v>
      </c>
      <c r="E479" s="1" t="s">
        <v>608</v>
      </c>
      <c r="F479" s="1">
        <v>937047200</v>
      </c>
      <c r="G479" s="1" t="s">
        <v>4405</v>
      </c>
      <c r="H479" s="1" t="s">
        <v>2135</v>
      </c>
      <c r="I479" s="1" t="str">
        <f t="shared" si="7"/>
        <v>F</v>
      </c>
      <c r="J479" s="1" t="s">
        <v>2127</v>
      </c>
      <c r="K479" s="1" t="s">
        <v>919</v>
      </c>
      <c r="L479" s="1" t="s">
        <v>919</v>
      </c>
      <c r="M479" s="1" t="s">
        <v>4406</v>
      </c>
      <c r="N479" s="1" t="s">
        <v>2150</v>
      </c>
      <c r="O479" s="1" t="s">
        <v>90</v>
      </c>
      <c r="P479" s="1" t="s">
        <v>532</v>
      </c>
      <c r="Q479" s="1" t="s">
        <v>4407</v>
      </c>
    </row>
    <row r="480" spans="1:17" x14ac:dyDescent="0.25">
      <c r="A480" s="38" t="s">
        <v>4779</v>
      </c>
      <c r="B480" s="1">
        <v>479</v>
      </c>
      <c r="C480" s="1" t="s">
        <v>1552</v>
      </c>
      <c r="D480" s="1" t="s">
        <v>4408</v>
      </c>
      <c r="E480" s="1" t="s">
        <v>394</v>
      </c>
      <c r="F480" s="1">
        <v>945312620</v>
      </c>
      <c r="G480" s="1" t="s">
        <v>4409</v>
      </c>
      <c r="H480" s="1" t="s">
        <v>2126</v>
      </c>
      <c r="I480" s="1" t="str">
        <f t="shared" si="7"/>
        <v>M</v>
      </c>
      <c r="J480" s="1" t="s">
        <v>2127</v>
      </c>
      <c r="K480" s="1" t="s">
        <v>919</v>
      </c>
      <c r="L480" s="1" t="s">
        <v>2300</v>
      </c>
      <c r="M480" s="1" t="s">
        <v>4410</v>
      </c>
      <c r="N480" s="1" t="s">
        <v>2130</v>
      </c>
      <c r="O480" s="1" t="s">
        <v>90</v>
      </c>
      <c r="P480" s="1" t="s">
        <v>368</v>
      </c>
      <c r="Q480" s="1" t="s">
        <v>4411</v>
      </c>
    </row>
    <row r="481" spans="1:17" x14ac:dyDescent="0.25">
      <c r="A481" s="38" t="s">
        <v>4743</v>
      </c>
      <c r="B481" s="1">
        <v>480</v>
      </c>
      <c r="C481" s="1" t="s">
        <v>1516</v>
      </c>
      <c r="D481" s="1" t="s">
        <v>4412</v>
      </c>
      <c r="E481" s="1" t="s">
        <v>442</v>
      </c>
      <c r="F481" s="1">
        <v>941556913</v>
      </c>
      <c r="G481" s="1" t="s">
        <v>4413</v>
      </c>
      <c r="H481" s="1" t="s">
        <v>2135</v>
      </c>
      <c r="I481" s="1" t="str">
        <f t="shared" si="7"/>
        <v>F</v>
      </c>
      <c r="J481" s="1" t="s">
        <v>2127</v>
      </c>
      <c r="K481" s="1" t="s">
        <v>919</v>
      </c>
      <c r="L481" s="1" t="s">
        <v>2300</v>
      </c>
      <c r="M481" s="1" t="s">
        <v>4414</v>
      </c>
      <c r="N481" s="1" t="s">
        <v>2130</v>
      </c>
      <c r="O481" s="1" t="s">
        <v>90</v>
      </c>
      <c r="P481" s="1" t="s">
        <v>418</v>
      </c>
      <c r="Q481" s="1" t="s">
        <v>4415</v>
      </c>
    </row>
    <row r="482" spans="1:17" x14ac:dyDescent="0.25">
      <c r="A482" s="38" t="s">
        <v>4875</v>
      </c>
      <c r="B482" s="1">
        <v>481</v>
      </c>
      <c r="C482" s="1" t="s">
        <v>1638</v>
      </c>
      <c r="D482" s="1" t="s">
        <v>4416</v>
      </c>
      <c r="E482" s="1" t="s">
        <v>791</v>
      </c>
      <c r="F482" s="1">
        <v>969032110</v>
      </c>
      <c r="G482" s="1" t="s">
        <v>4417</v>
      </c>
      <c r="H482" s="1" t="s">
        <v>2126</v>
      </c>
      <c r="I482" s="1" t="str">
        <f t="shared" si="7"/>
        <v>M</v>
      </c>
      <c r="J482" s="1" t="s">
        <v>2268</v>
      </c>
      <c r="K482" s="1" t="s">
        <v>2268</v>
      </c>
      <c r="L482" s="1" t="s">
        <v>2268</v>
      </c>
      <c r="M482" s="1" t="s">
        <v>4418</v>
      </c>
      <c r="N482" s="1" t="s">
        <v>2194</v>
      </c>
      <c r="O482" s="1" t="s">
        <v>90</v>
      </c>
      <c r="P482" s="1" t="s">
        <v>769</v>
      </c>
      <c r="Q482" s="1" t="s">
        <v>4419</v>
      </c>
    </row>
    <row r="483" spans="1:17" x14ac:dyDescent="0.25">
      <c r="A483" s="38" t="s">
        <v>4874</v>
      </c>
      <c r="B483" s="1">
        <v>482</v>
      </c>
      <c r="C483" s="1" t="s">
        <v>1637</v>
      </c>
      <c r="D483" s="1" t="s">
        <v>4420</v>
      </c>
      <c r="E483" s="1" t="s">
        <v>789</v>
      </c>
      <c r="F483" s="1">
        <v>979114738</v>
      </c>
      <c r="G483" s="1" t="s">
        <v>4421</v>
      </c>
      <c r="H483" s="1" t="s">
        <v>2135</v>
      </c>
      <c r="I483" s="1" t="str">
        <f t="shared" si="7"/>
        <v>F</v>
      </c>
      <c r="J483" s="1" t="s">
        <v>2127</v>
      </c>
      <c r="K483" s="1" t="s">
        <v>919</v>
      </c>
      <c r="L483" s="1" t="s">
        <v>919</v>
      </c>
      <c r="M483" s="1" t="s">
        <v>4422</v>
      </c>
      <c r="N483" s="1" t="s">
        <v>2194</v>
      </c>
      <c r="O483" s="1" t="s">
        <v>90</v>
      </c>
      <c r="P483" s="1" t="s">
        <v>769</v>
      </c>
      <c r="Q483" s="1" t="s">
        <v>4423</v>
      </c>
    </row>
    <row r="484" spans="1:17" x14ac:dyDescent="0.25">
      <c r="A484" s="38" t="s">
        <v>4537</v>
      </c>
      <c r="B484" s="1">
        <v>483</v>
      </c>
      <c r="C484" s="1" t="s">
        <v>1315</v>
      </c>
      <c r="D484" s="1" t="s">
        <v>4424</v>
      </c>
      <c r="E484" s="1" t="s">
        <v>163</v>
      </c>
      <c r="F484" s="1">
        <v>964522597</v>
      </c>
      <c r="G484" s="1" t="s">
        <v>4425</v>
      </c>
      <c r="H484" s="1" t="s">
        <v>2126</v>
      </c>
      <c r="I484" s="1" t="str">
        <f t="shared" si="7"/>
        <v>M</v>
      </c>
      <c r="J484" s="1" t="s">
        <v>2156</v>
      </c>
      <c r="K484" s="1" t="s">
        <v>2577</v>
      </c>
      <c r="L484" s="1" t="s">
        <v>2577</v>
      </c>
      <c r="M484" s="1" t="s">
        <v>4426</v>
      </c>
      <c r="N484" s="1" t="s">
        <v>2140</v>
      </c>
      <c r="O484" s="1" t="s">
        <v>90</v>
      </c>
      <c r="P484" s="1" t="s">
        <v>135</v>
      </c>
      <c r="Q484" s="1" t="s">
        <v>4427</v>
      </c>
    </row>
    <row r="485" spans="1:17" x14ac:dyDescent="0.25">
      <c r="A485" s="38" t="s">
        <v>4901</v>
      </c>
      <c r="B485" s="1">
        <v>484</v>
      </c>
      <c r="C485" s="1" t="s">
        <v>1659</v>
      </c>
      <c r="D485" s="1" t="s">
        <v>4428</v>
      </c>
      <c r="E485" s="1" t="s">
        <v>212</v>
      </c>
      <c r="F485" s="1">
        <v>976125167</v>
      </c>
      <c r="G485" s="1" t="s">
        <v>4429</v>
      </c>
      <c r="H485" s="1" t="s">
        <v>2126</v>
      </c>
      <c r="I485" s="1" t="str">
        <f t="shared" si="7"/>
        <v>M</v>
      </c>
      <c r="J485" s="1" t="s">
        <v>2156</v>
      </c>
      <c r="K485" s="1" t="s">
        <v>2274</v>
      </c>
      <c r="L485" s="1" t="s">
        <v>2274</v>
      </c>
      <c r="M485" s="1" t="s">
        <v>4430</v>
      </c>
      <c r="N485" s="1" t="s">
        <v>2194</v>
      </c>
      <c r="O485" s="1" t="s">
        <v>90</v>
      </c>
      <c r="P485" s="1" t="s">
        <v>176</v>
      </c>
      <c r="Q485" s="1" t="s">
        <v>4431</v>
      </c>
    </row>
    <row r="486" spans="1:17" x14ac:dyDescent="0.25">
      <c r="A486" s="38" t="s">
        <v>4725</v>
      </c>
      <c r="B486" s="1">
        <v>485</v>
      </c>
      <c r="C486" s="1" t="s">
        <v>1499</v>
      </c>
      <c r="D486" s="1" t="s">
        <v>4432</v>
      </c>
      <c r="E486" s="1" t="s">
        <v>349</v>
      </c>
      <c r="F486" s="1">
        <v>952809556</v>
      </c>
      <c r="G486" s="1" t="s">
        <v>4433</v>
      </c>
      <c r="H486" s="1" t="s">
        <v>2126</v>
      </c>
      <c r="I486" s="1" t="str">
        <f t="shared" si="7"/>
        <v>M</v>
      </c>
      <c r="J486" s="1" t="s">
        <v>2127</v>
      </c>
      <c r="K486" s="1" t="s">
        <v>919</v>
      </c>
      <c r="L486" s="1" t="s">
        <v>3122</v>
      </c>
      <c r="M486" s="1" t="s">
        <v>4434</v>
      </c>
      <c r="N486" s="1" t="s">
        <v>2130</v>
      </c>
      <c r="O486" s="1" t="s">
        <v>90</v>
      </c>
      <c r="P486" s="1" t="s">
        <v>272</v>
      </c>
      <c r="Q486" s="1" t="s">
        <v>4435</v>
      </c>
    </row>
    <row r="487" spans="1:17" x14ac:dyDescent="0.25">
      <c r="A487" s="38" t="s">
        <v>4892</v>
      </c>
      <c r="B487" s="1">
        <v>486</v>
      </c>
      <c r="C487" s="1" t="s">
        <v>1444</v>
      </c>
      <c r="D487" s="1" t="s">
        <v>4436</v>
      </c>
      <c r="E487" s="1" t="s">
        <v>194</v>
      </c>
      <c r="F487" s="1">
        <v>963923481</v>
      </c>
      <c r="G487" s="1" t="s">
        <v>4437</v>
      </c>
      <c r="H487" s="1" t="s">
        <v>2135</v>
      </c>
      <c r="I487" s="1" t="str">
        <f t="shared" si="7"/>
        <v>F</v>
      </c>
      <c r="J487" s="1" t="s">
        <v>2127</v>
      </c>
      <c r="K487" s="1" t="s">
        <v>2127</v>
      </c>
      <c r="L487" s="1" t="s">
        <v>2127</v>
      </c>
      <c r="M487" s="1" t="s">
        <v>4438</v>
      </c>
      <c r="N487" s="1" t="s">
        <v>2194</v>
      </c>
      <c r="O487" s="1" t="s">
        <v>90</v>
      </c>
      <c r="P487" s="1" t="s">
        <v>176</v>
      </c>
      <c r="Q487" s="1" t="s">
        <v>4439</v>
      </c>
    </row>
    <row r="488" spans="1:17" x14ac:dyDescent="0.25">
      <c r="A488" s="38" t="s">
        <v>4866</v>
      </c>
      <c r="B488" s="1">
        <v>487</v>
      </c>
      <c r="C488" s="1" t="s">
        <v>4440</v>
      </c>
      <c r="D488" s="1" t="s">
        <v>4441</v>
      </c>
      <c r="E488" s="1" t="s">
        <v>771</v>
      </c>
      <c r="F488" s="1">
        <v>954693044</v>
      </c>
      <c r="G488" s="1" t="s">
        <v>4442</v>
      </c>
      <c r="H488" s="1" t="s">
        <v>2126</v>
      </c>
      <c r="I488" s="1" t="str">
        <f t="shared" si="7"/>
        <v>M</v>
      </c>
      <c r="J488" s="1" t="s">
        <v>2156</v>
      </c>
      <c r="K488" s="1" t="s">
        <v>2577</v>
      </c>
      <c r="L488" s="1" t="s">
        <v>4443</v>
      </c>
      <c r="M488" s="1" t="s">
        <v>4444</v>
      </c>
      <c r="N488" s="1" t="s">
        <v>2194</v>
      </c>
      <c r="O488" s="1" t="s">
        <v>90</v>
      </c>
      <c r="P488" s="1" t="s">
        <v>769</v>
      </c>
      <c r="Q488" s="1" t="s">
        <v>4445</v>
      </c>
    </row>
    <row r="489" spans="1:17" x14ac:dyDescent="0.25">
      <c r="A489" s="38" t="s">
        <v>4855</v>
      </c>
      <c r="B489" s="1">
        <v>488</v>
      </c>
      <c r="C489" s="1" t="s">
        <v>1620</v>
      </c>
      <c r="D489" s="1" t="s">
        <v>4446</v>
      </c>
      <c r="E489" s="1" t="s">
        <v>113</v>
      </c>
      <c r="F489" s="1">
        <v>936903797</v>
      </c>
      <c r="G489" s="1" t="s">
        <v>4447</v>
      </c>
      <c r="H489" s="1" t="s">
        <v>2126</v>
      </c>
      <c r="I489" s="1" t="str">
        <f t="shared" si="7"/>
        <v>M</v>
      </c>
      <c r="J489" s="1" t="s">
        <v>2127</v>
      </c>
      <c r="K489" s="1" t="s">
        <v>919</v>
      </c>
      <c r="L489" s="1" t="s">
        <v>919</v>
      </c>
      <c r="M489" s="1" t="s">
        <v>4448</v>
      </c>
      <c r="N489" s="1" t="s">
        <v>2194</v>
      </c>
      <c r="O489" s="1" t="s">
        <v>90</v>
      </c>
      <c r="P489" s="1" t="s">
        <v>91</v>
      </c>
      <c r="Q489" s="1" t="s">
        <v>4449</v>
      </c>
    </row>
    <row r="490" spans="1:17" x14ac:dyDescent="0.25">
      <c r="A490" s="38" t="s">
        <v>4664</v>
      </c>
      <c r="B490" s="1">
        <v>489</v>
      </c>
      <c r="C490" s="1" t="s">
        <v>1440</v>
      </c>
      <c r="D490" s="1" t="s">
        <v>4450</v>
      </c>
      <c r="E490" s="1" t="s">
        <v>602</v>
      </c>
      <c r="F490" s="1">
        <v>969878942</v>
      </c>
      <c r="G490" s="1" t="s">
        <v>4451</v>
      </c>
      <c r="H490" s="1" t="s">
        <v>2135</v>
      </c>
      <c r="I490" s="1" t="str">
        <f t="shared" si="7"/>
        <v>F</v>
      </c>
      <c r="J490" s="1" t="s">
        <v>2127</v>
      </c>
      <c r="K490" s="1" t="s">
        <v>2127</v>
      </c>
      <c r="L490" s="1" t="s">
        <v>2127</v>
      </c>
      <c r="M490" s="1" t="s">
        <v>4452</v>
      </c>
      <c r="N490" s="1" t="s">
        <v>2150</v>
      </c>
      <c r="O490" s="1" t="s">
        <v>90</v>
      </c>
      <c r="P490" s="1" t="s">
        <v>532</v>
      </c>
      <c r="Q490" s="1" t="s">
        <v>4453</v>
      </c>
    </row>
    <row r="491" spans="1:17" x14ac:dyDescent="0.25">
      <c r="A491" s="38" t="s">
        <v>4871</v>
      </c>
      <c r="B491" s="1">
        <v>490</v>
      </c>
      <c r="C491" s="1" t="s">
        <v>4454</v>
      </c>
      <c r="D491" s="1" t="s">
        <v>4455</v>
      </c>
      <c r="E491" s="1" t="s">
        <v>782</v>
      </c>
      <c r="F491" s="1">
        <v>940990391</v>
      </c>
      <c r="G491" s="1" t="s">
        <v>4456</v>
      </c>
      <c r="H491" s="1" t="s">
        <v>2126</v>
      </c>
      <c r="I491" s="1" t="str">
        <f t="shared" si="7"/>
        <v>M</v>
      </c>
      <c r="J491" s="1" t="s">
        <v>2156</v>
      </c>
      <c r="K491" s="1" t="s">
        <v>2577</v>
      </c>
      <c r="L491" s="1" t="s">
        <v>2577</v>
      </c>
      <c r="M491" s="1" t="s">
        <v>4457</v>
      </c>
      <c r="N491" s="1" t="s">
        <v>2194</v>
      </c>
      <c r="O491" s="1" t="s">
        <v>90</v>
      </c>
      <c r="P491" s="1" t="s">
        <v>769</v>
      </c>
      <c r="Q491" s="1" t="s">
        <v>4458</v>
      </c>
    </row>
    <row r="492" spans="1:17" x14ac:dyDescent="0.25">
      <c r="A492" s="38" t="s">
        <v>4893</v>
      </c>
      <c r="B492" s="1">
        <v>491</v>
      </c>
      <c r="C492" s="1" t="s">
        <v>3828</v>
      </c>
      <c r="D492" s="1" t="s">
        <v>4459</v>
      </c>
      <c r="E492" s="1" t="s">
        <v>196</v>
      </c>
      <c r="F492" s="1">
        <v>953165306</v>
      </c>
      <c r="G492" s="1" t="s">
        <v>4460</v>
      </c>
      <c r="H492" s="1" t="s">
        <v>2126</v>
      </c>
      <c r="I492" s="1" t="str">
        <f t="shared" si="7"/>
        <v>M</v>
      </c>
      <c r="J492" s="1" t="s">
        <v>2127</v>
      </c>
      <c r="K492" s="1" t="s">
        <v>919</v>
      </c>
      <c r="L492" s="1" t="s">
        <v>3122</v>
      </c>
      <c r="M492" s="1" t="s">
        <v>4461</v>
      </c>
      <c r="N492" s="1" t="s">
        <v>2194</v>
      </c>
      <c r="O492" s="1" t="s">
        <v>90</v>
      </c>
      <c r="P492" s="1" t="s">
        <v>176</v>
      </c>
      <c r="Q492" s="1" t="s">
        <v>4462</v>
      </c>
    </row>
    <row r="493" spans="1:17" x14ac:dyDescent="0.25">
      <c r="A493" s="38" t="s">
        <v>4887</v>
      </c>
      <c r="B493" s="1">
        <v>492</v>
      </c>
      <c r="C493" s="1" t="s">
        <v>1649</v>
      </c>
      <c r="D493" s="1" t="s">
        <v>4463</v>
      </c>
      <c r="E493" s="1" t="s">
        <v>184</v>
      </c>
      <c r="F493" s="1">
        <v>966693463</v>
      </c>
      <c r="G493" s="1" t="s">
        <v>4464</v>
      </c>
      <c r="H493" s="1" t="s">
        <v>2135</v>
      </c>
      <c r="I493" s="1" t="str">
        <f t="shared" si="7"/>
        <v>F</v>
      </c>
      <c r="J493" s="1" t="s">
        <v>2127</v>
      </c>
      <c r="K493" s="1" t="s">
        <v>919</v>
      </c>
      <c r="L493" s="1" t="s">
        <v>2192</v>
      </c>
      <c r="M493" s="1" t="s">
        <v>4465</v>
      </c>
      <c r="N493" s="1" t="s">
        <v>2194</v>
      </c>
      <c r="O493" s="1" t="s">
        <v>90</v>
      </c>
      <c r="P493" s="1" t="s">
        <v>176</v>
      </c>
      <c r="Q493" s="1" t="s">
        <v>4466</v>
      </c>
    </row>
    <row r="494" spans="1:17" x14ac:dyDescent="0.25">
      <c r="A494" s="38" t="s">
        <v>4896</v>
      </c>
      <c r="B494" s="1">
        <v>493</v>
      </c>
      <c r="C494" s="1" t="s">
        <v>1654</v>
      </c>
      <c r="D494" s="1" t="s">
        <v>4467</v>
      </c>
      <c r="E494" s="1" t="s">
        <v>202</v>
      </c>
      <c r="F494" s="1">
        <v>965346380</v>
      </c>
      <c r="G494" s="1" t="s">
        <v>4468</v>
      </c>
      <c r="H494" s="1" t="s">
        <v>2126</v>
      </c>
      <c r="I494" s="1" t="str">
        <f t="shared" si="7"/>
        <v>M</v>
      </c>
      <c r="J494" s="1" t="s">
        <v>2127</v>
      </c>
      <c r="K494" s="1" t="s">
        <v>2127</v>
      </c>
      <c r="L494" s="1" t="s">
        <v>2696</v>
      </c>
      <c r="M494" s="1" t="s">
        <v>4469</v>
      </c>
      <c r="N494" s="1" t="s">
        <v>2194</v>
      </c>
      <c r="O494" s="1" t="s">
        <v>90</v>
      </c>
      <c r="P494" s="1" t="s">
        <v>176</v>
      </c>
      <c r="Q494" s="1" t="s">
        <v>4470</v>
      </c>
    </row>
    <row r="495" spans="1:17" x14ac:dyDescent="0.25">
      <c r="A495" s="38" t="s">
        <v>4856</v>
      </c>
      <c r="B495" s="1">
        <v>494</v>
      </c>
      <c r="C495" s="1" t="s">
        <v>1621</v>
      </c>
      <c r="D495" s="1" t="s">
        <v>4471</v>
      </c>
      <c r="E495" s="1" t="s">
        <v>116</v>
      </c>
      <c r="F495" s="1">
        <v>905441358</v>
      </c>
      <c r="G495" s="1" t="s">
        <v>4472</v>
      </c>
      <c r="H495" s="1" t="s">
        <v>2126</v>
      </c>
      <c r="I495" s="1" t="str">
        <f t="shared" si="7"/>
        <v>M</v>
      </c>
      <c r="J495" s="1" t="s">
        <v>2127</v>
      </c>
      <c r="K495" s="1" t="s">
        <v>919</v>
      </c>
      <c r="L495" s="1" t="s">
        <v>919</v>
      </c>
      <c r="M495" s="1" t="s">
        <v>4473</v>
      </c>
      <c r="N495" s="1" t="s">
        <v>2194</v>
      </c>
      <c r="O495" s="1" t="s">
        <v>90</v>
      </c>
      <c r="P495" s="1" t="s">
        <v>91</v>
      </c>
      <c r="Q495" s="1" t="s">
        <v>4474</v>
      </c>
    </row>
    <row r="496" spans="1:17" x14ac:dyDescent="0.25">
      <c r="A496" s="38" t="s">
        <v>4886</v>
      </c>
      <c r="B496" s="1">
        <v>495</v>
      </c>
      <c r="C496" s="1" t="s">
        <v>1342</v>
      </c>
      <c r="D496" s="1" t="s">
        <v>4475</v>
      </c>
      <c r="E496" s="1" t="s">
        <v>182</v>
      </c>
      <c r="F496" s="1">
        <v>972930955</v>
      </c>
      <c r="G496" s="1" t="s">
        <v>4476</v>
      </c>
      <c r="H496" s="1" t="s">
        <v>2126</v>
      </c>
      <c r="I496" s="1" t="str">
        <f t="shared" si="7"/>
        <v>M</v>
      </c>
      <c r="J496" s="1" t="s">
        <v>2127</v>
      </c>
      <c r="K496" s="1" t="s">
        <v>2127</v>
      </c>
      <c r="L496" s="1" t="s">
        <v>2127</v>
      </c>
      <c r="M496" s="1" t="s">
        <v>4477</v>
      </c>
      <c r="N496" s="1" t="s">
        <v>2194</v>
      </c>
      <c r="O496" s="1" t="s">
        <v>90</v>
      </c>
      <c r="P496" s="1" t="s">
        <v>176</v>
      </c>
      <c r="Q496" s="1" t="s">
        <v>4478</v>
      </c>
    </row>
    <row r="497" spans="1:17" x14ac:dyDescent="0.25">
      <c r="A497" s="38" t="s">
        <v>4848</v>
      </c>
      <c r="B497" s="1">
        <v>496</v>
      </c>
      <c r="C497" s="1" t="s">
        <v>1613</v>
      </c>
      <c r="D497" s="1" t="s">
        <v>4479</v>
      </c>
      <c r="E497" s="1" t="s">
        <v>99</v>
      </c>
      <c r="F497" s="1">
        <v>945773098</v>
      </c>
      <c r="G497" s="1" t="s">
        <v>4480</v>
      </c>
      <c r="H497" s="1" t="s">
        <v>2126</v>
      </c>
      <c r="I497" s="1" t="str">
        <f t="shared" si="7"/>
        <v>M</v>
      </c>
      <c r="J497" s="1" t="s">
        <v>2127</v>
      </c>
      <c r="K497" s="1" t="s">
        <v>2127</v>
      </c>
      <c r="L497" s="1" t="s">
        <v>2127</v>
      </c>
      <c r="M497" s="1" t="s">
        <v>4481</v>
      </c>
      <c r="N497" s="1" t="s">
        <v>2194</v>
      </c>
      <c r="O497" s="1" t="s">
        <v>90</v>
      </c>
      <c r="P497" s="1" t="s">
        <v>91</v>
      </c>
      <c r="Q497" s="1" t="s">
        <v>4482</v>
      </c>
    </row>
    <row r="498" spans="1:17" x14ac:dyDescent="0.25">
      <c r="A498" s="38" t="s">
        <v>4899</v>
      </c>
      <c r="B498" s="1">
        <v>497</v>
      </c>
      <c r="C498" s="1" t="s">
        <v>1657</v>
      </c>
      <c r="D498" s="1" t="s">
        <v>4483</v>
      </c>
      <c r="E498" s="1" t="s">
        <v>208</v>
      </c>
      <c r="F498" s="1">
        <v>943747988</v>
      </c>
      <c r="G498" s="1" t="s">
        <v>4484</v>
      </c>
      <c r="H498" s="1" t="s">
        <v>2126</v>
      </c>
      <c r="I498" s="1" t="str">
        <f t="shared" si="7"/>
        <v>M</v>
      </c>
      <c r="J498" s="1" t="s">
        <v>2127</v>
      </c>
      <c r="K498" s="1" t="s">
        <v>919</v>
      </c>
      <c r="L498" s="1" t="s">
        <v>2793</v>
      </c>
      <c r="M498" s="1" t="s">
        <v>4485</v>
      </c>
      <c r="N498" s="1" t="s">
        <v>2194</v>
      </c>
      <c r="O498" s="1" t="s">
        <v>90</v>
      </c>
      <c r="P498" s="1" t="s">
        <v>176</v>
      </c>
      <c r="Q498" s="1" t="s">
        <v>4486</v>
      </c>
    </row>
    <row r="499" spans="1:17" x14ac:dyDescent="0.25">
      <c r="A499" s="38" t="s">
        <v>4894</v>
      </c>
      <c r="B499" s="1">
        <v>498</v>
      </c>
      <c r="C499" s="1" t="s">
        <v>1363</v>
      </c>
      <c r="D499" s="1" t="s">
        <v>4487</v>
      </c>
      <c r="E499" s="1" t="s">
        <v>198</v>
      </c>
      <c r="F499" s="1">
        <v>990676586</v>
      </c>
      <c r="G499" s="1" t="s">
        <v>4488</v>
      </c>
      <c r="H499" s="1" t="s">
        <v>2126</v>
      </c>
      <c r="I499" s="1" t="str">
        <f t="shared" si="7"/>
        <v>M</v>
      </c>
      <c r="J499" s="1" t="s">
        <v>2127</v>
      </c>
      <c r="K499" s="1" t="s">
        <v>2127</v>
      </c>
      <c r="L499" s="1" t="s">
        <v>2127</v>
      </c>
      <c r="M499" s="1" t="s">
        <v>4489</v>
      </c>
      <c r="N499" s="1" t="s">
        <v>2194</v>
      </c>
      <c r="O499" s="1" t="s">
        <v>90</v>
      </c>
      <c r="P499" s="1" t="s">
        <v>176</v>
      </c>
      <c r="Q499" s="1" t="s">
        <v>4490</v>
      </c>
    </row>
    <row r="500" spans="1:17" x14ac:dyDescent="0.25">
      <c r="A500" s="38" t="s">
        <v>4889</v>
      </c>
      <c r="B500" s="1">
        <v>499</v>
      </c>
      <c r="C500" s="1" t="s">
        <v>1651</v>
      </c>
      <c r="D500" s="1" t="s">
        <v>4491</v>
      </c>
      <c r="E500" s="1" t="s">
        <v>188</v>
      </c>
      <c r="F500" s="1">
        <v>949747028</v>
      </c>
      <c r="G500" s="1" t="s">
        <v>3415</v>
      </c>
      <c r="H500" s="1" t="s">
        <v>2126</v>
      </c>
      <c r="I500" s="1" t="str">
        <f t="shared" si="7"/>
        <v>M</v>
      </c>
      <c r="J500" s="1" t="s">
        <v>2127</v>
      </c>
      <c r="K500" s="1" t="s">
        <v>919</v>
      </c>
      <c r="L500" s="1" t="s">
        <v>4492</v>
      </c>
      <c r="M500" s="1" t="s">
        <v>4493</v>
      </c>
      <c r="N500" s="1" t="s">
        <v>2194</v>
      </c>
      <c r="O500" s="1" t="s">
        <v>90</v>
      </c>
      <c r="P500" s="1" t="s">
        <v>176</v>
      </c>
      <c r="Q500" s="1" t="s">
        <v>4494</v>
      </c>
    </row>
    <row r="501" spans="1:17" x14ac:dyDescent="0.25">
      <c r="A501" s="38" t="s">
        <v>4902</v>
      </c>
      <c r="B501" s="1">
        <v>500</v>
      </c>
      <c r="C501" s="1" t="s">
        <v>4495</v>
      </c>
      <c r="D501" s="1" t="s">
        <v>4496</v>
      </c>
      <c r="E501" s="1" t="s">
        <v>214</v>
      </c>
      <c r="F501" s="1">
        <v>994149180</v>
      </c>
      <c r="G501" s="1" t="s">
        <v>4497</v>
      </c>
      <c r="H501" s="1" t="s">
        <v>2126</v>
      </c>
      <c r="I501" s="1" t="str">
        <f t="shared" si="7"/>
        <v>M</v>
      </c>
      <c r="J501" s="1" t="s">
        <v>2127</v>
      </c>
      <c r="K501" s="1" t="s">
        <v>2127</v>
      </c>
      <c r="L501" s="1" t="s">
        <v>3773</v>
      </c>
      <c r="M501" s="1" t="s">
        <v>4498</v>
      </c>
      <c r="N501" s="1" t="s">
        <v>2194</v>
      </c>
      <c r="O501" s="1" t="s">
        <v>90</v>
      </c>
      <c r="P501" s="1" t="s">
        <v>176</v>
      </c>
      <c r="Q501" s="1" t="s">
        <v>4499</v>
      </c>
    </row>
    <row r="502" spans="1:17" x14ac:dyDescent="0.25">
      <c r="A502" s="38" t="s">
        <v>4726</v>
      </c>
      <c r="B502" s="1">
        <v>501</v>
      </c>
      <c r="C502" s="1" t="s">
        <v>4500</v>
      </c>
      <c r="D502" s="1" t="s">
        <v>4501</v>
      </c>
      <c r="E502" s="1" t="s">
        <v>352</v>
      </c>
      <c r="F502" s="1">
        <v>963128554</v>
      </c>
      <c r="G502" s="1" t="s">
        <v>4502</v>
      </c>
      <c r="H502" s="1" t="s">
        <v>2135</v>
      </c>
      <c r="I502" s="1" t="str">
        <f t="shared" si="7"/>
        <v>F</v>
      </c>
      <c r="J502" s="1" t="s">
        <v>2127</v>
      </c>
      <c r="K502" s="1" t="s">
        <v>919</v>
      </c>
      <c r="L502" s="1" t="s">
        <v>2192</v>
      </c>
      <c r="M502" s="1" t="s">
        <v>4503</v>
      </c>
      <c r="N502" s="1" t="s">
        <v>2130</v>
      </c>
      <c r="O502" s="1" t="s">
        <v>90</v>
      </c>
      <c r="P502" s="1" t="s">
        <v>272</v>
      </c>
      <c r="Q502" s="1" t="s">
        <v>4504</v>
      </c>
    </row>
    <row r="503" spans="1:17" x14ac:dyDescent="0.25">
      <c r="A503" s="38" t="s">
        <v>4853</v>
      </c>
      <c r="B503" s="1">
        <v>502</v>
      </c>
      <c r="C503" s="1" t="s">
        <v>1618</v>
      </c>
      <c r="D503" s="1" t="s">
        <v>4505</v>
      </c>
      <c r="E503" s="1" t="s">
        <v>109</v>
      </c>
      <c r="F503" s="1">
        <v>979715336</v>
      </c>
      <c r="G503" s="1" t="s">
        <v>4506</v>
      </c>
      <c r="H503" s="1" t="s">
        <v>2126</v>
      </c>
      <c r="I503" s="1" t="str">
        <f t="shared" si="7"/>
        <v>M</v>
      </c>
      <c r="J503" s="1" t="s">
        <v>2127</v>
      </c>
      <c r="K503" s="1" t="s">
        <v>2127</v>
      </c>
      <c r="L503" s="1" t="s">
        <v>2127</v>
      </c>
      <c r="M503" s="1" t="s">
        <v>4507</v>
      </c>
      <c r="N503" s="1" t="s">
        <v>2194</v>
      </c>
      <c r="O503" s="1" t="s">
        <v>90</v>
      </c>
      <c r="P503" s="1" t="s">
        <v>91</v>
      </c>
      <c r="Q503" s="1" t="s">
        <v>4508</v>
      </c>
    </row>
    <row r="504" spans="1:17" x14ac:dyDescent="0.25">
      <c r="A504" s="38" t="s">
        <v>4864</v>
      </c>
      <c r="B504" s="1">
        <v>503</v>
      </c>
      <c r="C504" s="1" t="s">
        <v>1629</v>
      </c>
      <c r="D504" s="1" t="s">
        <v>4509</v>
      </c>
      <c r="E504" s="1" t="s">
        <v>132</v>
      </c>
      <c r="F504" s="1">
        <v>934195823</v>
      </c>
      <c r="G504" s="1" t="s">
        <v>4510</v>
      </c>
      <c r="H504" s="1" t="s">
        <v>2135</v>
      </c>
      <c r="I504" s="1" t="str">
        <f t="shared" si="7"/>
        <v>F</v>
      </c>
      <c r="J504" s="1" t="s">
        <v>2127</v>
      </c>
      <c r="K504" s="1" t="s">
        <v>919</v>
      </c>
      <c r="L504" s="1" t="s">
        <v>2128</v>
      </c>
      <c r="M504" s="1" t="s">
        <v>4511</v>
      </c>
      <c r="N504" s="1" t="s">
        <v>2194</v>
      </c>
      <c r="O504" s="1" t="s">
        <v>90</v>
      </c>
      <c r="P504" s="1" t="s">
        <v>91</v>
      </c>
      <c r="Q504" s="1" t="s">
        <v>4512</v>
      </c>
    </row>
    <row r="505" spans="1:17" x14ac:dyDescent="0.25">
      <c r="A505" s="38" t="s">
        <v>4881</v>
      </c>
      <c r="B505" s="1">
        <v>504</v>
      </c>
      <c r="C505" s="1" t="s">
        <v>4513</v>
      </c>
      <c r="D505" s="1" t="s">
        <v>4514</v>
      </c>
      <c r="E505" s="1" t="s">
        <v>803</v>
      </c>
      <c r="F505" s="1">
        <v>946922965</v>
      </c>
      <c r="G505" s="1" t="s">
        <v>4515</v>
      </c>
      <c r="H505" s="1" t="s">
        <v>2126</v>
      </c>
      <c r="I505" s="1" t="str">
        <f t="shared" si="7"/>
        <v>M</v>
      </c>
      <c r="J505" s="1" t="s">
        <v>2127</v>
      </c>
      <c r="K505" s="1" t="s">
        <v>919</v>
      </c>
      <c r="L505" s="1" t="s">
        <v>2186</v>
      </c>
      <c r="M505" s="1" t="s">
        <v>4516</v>
      </c>
      <c r="N505" s="1" t="s">
        <v>2194</v>
      </c>
      <c r="O505" s="1" t="s">
        <v>90</v>
      </c>
      <c r="P505" s="1" t="s">
        <v>769</v>
      </c>
      <c r="Q505" s="1" t="s">
        <v>4517</v>
      </c>
    </row>
    <row r="506" spans="1:17" x14ac:dyDescent="0.25">
      <c r="A506" s="38" t="s">
        <v>4861</v>
      </c>
      <c r="B506" s="1">
        <v>505</v>
      </c>
      <c r="C506" s="1" t="s">
        <v>1626</v>
      </c>
      <c r="D506" s="1" t="s">
        <v>4518</v>
      </c>
      <c r="E506" s="1" t="s">
        <v>126</v>
      </c>
      <c r="F506" s="1">
        <v>935563100</v>
      </c>
      <c r="G506" s="1" t="s">
        <v>4519</v>
      </c>
      <c r="H506" s="1" t="s">
        <v>2135</v>
      </c>
      <c r="I506" s="1" t="str">
        <f t="shared" si="7"/>
        <v>F</v>
      </c>
      <c r="J506" s="1" t="s">
        <v>2127</v>
      </c>
      <c r="K506" s="1" t="s">
        <v>2127</v>
      </c>
      <c r="L506" s="1" t="s">
        <v>2479</v>
      </c>
      <c r="M506" s="1" t="s">
        <v>4520</v>
      </c>
      <c r="N506" s="1" t="s">
        <v>2194</v>
      </c>
      <c r="O506" s="1" t="s">
        <v>90</v>
      </c>
      <c r="P506" s="1" t="s">
        <v>91</v>
      </c>
      <c r="Q506" s="1" t="s">
        <v>4521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Worksheet</vt:lpstr>
      <vt:lpstr>INGRESANTES</vt:lpstr>
      <vt:lpstr>datos_cargar</vt:lpstr>
      <vt:lpstr>DATA_SISTEMA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INF_12042024</cp:lastModifiedBy>
  <dcterms:created xsi:type="dcterms:W3CDTF">2026-07-06T13:34:24Z</dcterms:created>
  <dcterms:modified xsi:type="dcterms:W3CDTF">2026-07-07T16:40:27Z</dcterms:modified>
  <cp:category/>
</cp:coreProperties>
</file>