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ARMEN\ADMISION EPG BASE ESTADISTICA\ADMISION 2024 2025\"/>
    </mc:Choice>
  </mc:AlternateContent>
  <xr:revisionPtr revIDLastSave="0" documentId="13_ncr:1_{501828B9-5BD9-4391-AA14-CF10DC6BD261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dmisión 2024-II-2025-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1" l="1"/>
  <c r="G32" i="1" l="1"/>
  <c r="F52" i="1" l="1"/>
  <c r="E52" i="1"/>
  <c r="C52" i="1"/>
  <c r="B52" i="1"/>
  <c r="G51" i="1"/>
  <c r="D51" i="1"/>
  <c r="G50" i="1"/>
  <c r="D50" i="1"/>
  <c r="G49" i="1"/>
  <c r="D49" i="1"/>
  <c r="G48" i="1"/>
  <c r="D48" i="1"/>
  <c r="G47" i="1"/>
  <c r="D47" i="1"/>
  <c r="G46" i="1"/>
  <c r="D46" i="1"/>
  <c r="G45" i="1"/>
  <c r="D45" i="1"/>
  <c r="G44" i="1"/>
  <c r="D44" i="1"/>
  <c r="G43" i="1"/>
  <c r="D43" i="1"/>
  <c r="G42" i="1"/>
  <c r="D42" i="1"/>
  <c r="G41" i="1"/>
  <c r="D41" i="1"/>
  <c r="G40" i="1"/>
  <c r="D40" i="1"/>
  <c r="G39" i="1"/>
  <c r="D39" i="1"/>
  <c r="G38" i="1"/>
  <c r="D38" i="1"/>
  <c r="G37" i="1"/>
  <c r="D37" i="1"/>
  <c r="G36" i="1"/>
  <c r="D36" i="1"/>
  <c r="G35" i="1"/>
  <c r="D35" i="1"/>
  <c r="G34" i="1"/>
  <c r="D34" i="1"/>
  <c r="G33" i="1"/>
  <c r="D33" i="1"/>
  <c r="D32" i="1"/>
  <c r="G31" i="1"/>
  <c r="D31" i="1"/>
  <c r="G30" i="1"/>
  <c r="D30" i="1"/>
  <c r="F23" i="1"/>
  <c r="E23" i="1"/>
  <c r="C23" i="1"/>
  <c r="B23" i="1"/>
  <c r="G22" i="1"/>
  <c r="D22" i="1"/>
  <c r="G21" i="1"/>
  <c r="D21" i="1"/>
  <c r="G20" i="1"/>
  <c r="D20" i="1"/>
  <c r="G19" i="1"/>
  <c r="D19" i="1"/>
  <c r="G18" i="1"/>
  <c r="D18" i="1"/>
  <c r="G17" i="1"/>
  <c r="D17" i="1"/>
  <c r="G16" i="1"/>
  <c r="D16" i="1"/>
  <c r="G15" i="1"/>
  <c r="D15" i="1"/>
  <c r="G14" i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52" i="1" l="1"/>
  <c r="D23" i="1"/>
  <c r="G23" i="1"/>
  <c r="D52" i="1"/>
</calcChain>
</file>

<file path=xl/sharedStrings.xml><?xml version="1.0" encoding="utf-8"?>
<sst xmlns="http://schemas.openxmlformats.org/spreadsheetml/2006/main" count="62" uniqueCount="48">
  <si>
    <t>REPORTE ESTADISTICO DE ADMISIÓN  DEL POSGRADO DE LOS ULTIMOS DOS AÑOS</t>
  </si>
  <si>
    <t>PROCESO DE ADMISIÓN 2025-I</t>
  </si>
  <si>
    <t>Programa</t>
  </si>
  <si>
    <t>Postulantes</t>
  </si>
  <si>
    <t>Ingresantes</t>
  </si>
  <si>
    <t>Hombres</t>
  </si>
  <si>
    <t>Mujeres</t>
  </si>
  <si>
    <t xml:space="preserve">Total </t>
  </si>
  <si>
    <t>DOCTORADO EN CIENCIAS DE LA EDUCACIÓN</t>
  </si>
  <si>
    <t xml:space="preserve">DOCTORADO EN DERECHO Y CIENCIA POLÍTICA </t>
  </si>
  <si>
    <t>MAESTRIA EN ADMINISTRACIÓN CON MENCIÓN EN GERENCIA EMPRESARIAL</t>
  </si>
  <si>
    <t>MAESTRIA EN CIENCIAS CON MENCIÓN EN PROYECTOS DE INVERSIÓN</t>
  </si>
  <si>
    <t>MAESTRIA EN CIENCIAS DE LA EDUCACIÓN CON MENCIÓN EN DOCENCIA Y GESTIÓN UNIVERSITARIA</t>
  </si>
  <si>
    <t>MAESTRIA EN CIENCIAS DE LA EDUCACIÓN CON MENCIÓN EN INVESTIGACIÓN Y DOCENCIA</t>
  </si>
  <si>
    <t xml:space="preserve">MAESTRIA EN CIENCIAS DE LA INGENIERÍA MECÁNICA Y ELÉCTRICA CON MENCIÓN EN ENERGÍA </t>
  </si>
  <si>
    <t>MAESTRIA EN CIENCIAS SOCIALES CON MENCIÓN EN GESTIÓN PÚBLICA Y GERENCIA SOCIAL</t>
  </si>
  <si>
    <t xml:space="preserve">MAESTRIA EN DERECHO CON MENCIÓN EN CIVIL Y COMERCIAL </t>
  </si>
  <si>
    <t>MAESTRIA EN DERECHO CON MENCIÓN EN DERECHO PENAL Y PROCESAL PENAL</t>
  </si>
  <si>
    <t xml:space="preserve">MAESTRIA EN GERENCIA DE OBRAS Y CONSTRUCCIÓN </t>
  </si>
  <si>
    <t>MAESTRIA EN GESTIÓN INTEGRADA DE LOS RECURSOS HÍDRICOS</t>
  </si>
  <si>
    <t>SEGUNDA ESPECIALIDAD EN ÁREA DEL CUIDADO A LA PERSONA ENFERMERA ESPECIALISTA EN EMERGENCIA Y DESASTRES CON MENCIÓN EN CUIDADOS HOSPITALARIOS</t>
  </si>
  <si>
    <t>SEGUNDA ESPECIALIDAD EN ÁREA DEL CUIDADO A LA PERSONA ENFERMERA ESPECIALISTA EN CENTRO QUIRÚRGICO ESPECIALIZADO CON MENCIÓN EN CENTRO QUIRÚRGICO</t>
  </si>
  <si>
    <t xml:space="preserve">SEGUNDA ESPECIALIDAD EN ÁREA DEL CUIDADO A LA PERSONA ESPECIALISTA EN ENFERMERÍA NEFROLÓGICA Y UROLÓGICA CON MENCIÓN EN DIÁLISIS </t>
  </si>
  <si>
    <t>SEGUNDA ESPECIALIDAD EN GESTIÓN AMBIENTAL</t>
  </si>
  <si>
    <t>TOTAL</t>
  </si>
  <si>
    <t>PROCESO DE ADMISIÓN 2024-II</t>
  </si>
  <si>
    <t>DOCTORADO EN ADMINISTRACIÓN</t>
  </si>
  <si>
    <t>DOCTORADO EN  CIENCIAS AMBIENTALES</t>
  </si>
  <si>
    <t>DOCTORADO EN DERECHO Y CIENCIA POLÍTICA</t>
  </si>
  <si>
    <t>MAESTRÍA EN CIENCIAS CON MENCIÓN EN GESTIÓN DE LA CALIDAD E INOCUIDAD DE ALIMENTOS</t>
  </si>
  <si>
    <t>MAESTRÍA EN DERECHO CON MENCIÓN EN DERECHO CONSTITUCIONAL Y PROCESAL CONSTITUCIONAL</t>
  </si>
  <si>
    <t>MAESTRÍA EN DERECHO CON MENCIÓN EN DERECHO PENAL Y PROCESAL PENAL</t>
  </si>
  <si>
    <t>MAESTRÍA EN CIENCIAS DE LA EDUCACIÓN CON MENCIÓN EN DOCENCIA Y GESTIÓN UNIVERSITARIA</t>
  </si>
  <si>
    <t>MAESTRÍA EN CIENCIAS DE LA EDUCACIÓN CON MENCIÓN EN GERENCIA EDUCATIVA ESTRATÉGICA</t>
  </si>
  <si>
    <t>MAESTRÍA EN INGENIERÍA DE SISTEMAS CON MENCIÓN EN GERENCIA DE TECNOLOGÍAS DE LA INFORMACIÓN Y GESTIÓN DEL SOFTWARE</t>
  </si>
  <si>
    <t>MAESTRÍA EN CIENCIAS SOCIALES CON MENCIÓN EN GESTIÓN PÚBLICA Y GERENCIA SOCIAL</t>
  </si>
  <si>
    <t>MAESTRÍA EN CIENCIAS DE LA EDUCACIÓN CON MENCIÓN EN INVESTIGACIÓN Y DOCENCIA</t>
  </si>
  <si>
    <t>MAESTRÍA EN GERENCIA DE OBRAS Y CONSTRUCCIÓN</t>
  </si>
  <si>
    <t>MAESTRÍA EN CIENCIAS CON MENCIÓN EN ORDENAMIENTO TERRITORIAL Y DESARROLLO URBANO</t>
  </si>
  <si>
    <t>S.E. - ÁREA DEL CUIDADO A LA PERSONA ENFERMERA ESPECIALISTA EN EMERGENCIA Y DESASTRES CON MENCIÓN EN CUIDADOS HOSPITALARIOS</t>
  </si>
  <si>
    <t>S.E. - ÁREA DEL CUIDADO A LA PERSONA ENFERMERA ESPECIALISTA EN CENTRO QUIRÚRGICO ESPECIALIZADO CON MENCIÓN EN CENTRO QUIRÚRGICO</t>
  </si>
  <si>
    <t>S.E. - ÁREA DEL CUIDADO A LA PERSONA ESPECIALISTA EN ENFERMERÍA NEFROLÓGICA Y UROLÓGICA CON MENCIÓN EN DIÁLISIS</t>
  </si>
  <si>
    <t>S.E. - ÁREA DEL CUIDADO A LA PERSONA ENFERMERA ESPECIALISTA EN CUIDADOS CRÍTICOS CON MENCIÓN EN NEONATOLOGÍA</t>
  </si>
  <si>
    <t>S.E. - ÁREA DEL CUIDADO A LA PERSONA ESPECIALISTA EN ENFERMERÍA PEDIÁTRICA Y NEONATOLOGÍA CON MENCIÓN EN PEDIATRÍA</t>
  </si>
  <si>
    <t>S.E. - ÁREA DEL CUIDADO A LA PERSONA ENFERMERA ESPECIALISTA EN CUIDADOS CRÍTICOS CON MENCIÓN EN ADULTO</t>
  </si>
  <si>
    <t>S.E. - ÁREA DEL CUIDADO A LA PERSONA ENFERMERA ESPECIALISTA EN GASTROENTEROLOGÍA Y PROCEDIMIENTOS ENDOSCÓPICOS CON MENCIÓN EN PROCEDIMIENTOS ENDOSCOPÍA</t>
  </si>
  <si>
    <t>S.E. - ÁREA DEL CUIDADO A LA PERSONA ESPECIALISTA EN ENFERMERÍA ONCOLÓGICA CON MENCIÓN EN ONCOLOGÍA</t>
  </si>
  <si>
    <t>INGRESANTES DE 24-II 25-I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</si>
</sst>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  <scheme val="minor"/>
    </font>
    <font>
      <sz val="12"/>
      <color rgb="FF444444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 applyFill="1" applyProtection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wrapText="1"/>
    </xf>
    <xf numFmtId="0" fontId="6" fillId="0" borderId="1" xfId="0" applyFont="1" applyFill="1" applyBorder="1" applyAlignment="1" applyProtection="1">
      <alignment horizontal="center"/>
    </xf>
    <xf numFmtId="0" fontId="7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9" fillId="4" borderId="0" xfId="0" applyFont="1" applyFill="1" applyBorder="1" applyAlignment="1">
      <alignment horizontal="center" wrapText="1"/>
    </xf>
    <xf numFmtId="0" fontId="7" fillId="4" borderId="0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right"/>
    </xf>
    <xf numFmtId="0" fontId="7" fillId="0" borderId="0" xfId="0" applyFont="1" applyBorder="1"/>
    <xf numFmtId="0" fontId="7" fillId="0" borderId="0" xfId="0" applyFont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3" borderId="1" xfId="0" applyFont="1" applyFill="1" applyBorder="1" applyAlignment="1" applyProtection="1">
      <alignment horizontal="center"/>
    </xf>
    <xf numFmtId="0" fontId="12" fillId="0" borderId="0" xfId="0" applyFont="1" applyFill="1" applyProtection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1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 applyProtection="1">
      <alignment horizontal="center"/>
    </xf>
    <xf numFmtId="0" fontId="11" fillId="0" borderId="0" xfId="0" applyFont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59"/>
  <sheetViews>
    <sheetView tabSelected="1" topLeftCell="A16" zoomScale="91" zoomScaleNormal="91" workbookViewId="0">
      <selection activeCell="K27" sqref="K27"/>
    </sheetView>
  </sheetViews>
  <sheetFormatPr baseColWidth="10" defaultRowHeight="15" x14ac:dyDescent="0.25"/>
  <cols>
    <col min="1" max="1" width="85.140625" style="23" customWidth="1"/>
    <col min="2" max="2" width="11.7109375" style="3" customWidth="1"/>
    <col min="3" max="3" width="12.140625" style="3" customWidth="1"/>
    <col min="4" max="4" width="9.85546875" style="3" customWidth="1"/>
    <col min="5" max="5" width="13" style="3" customWidth="1"/>
    <col min="6" max="6" width="10.5703125" style="3" customWidth="1"/>
    <col min="7" max="7" width="9.140625" style="3" customWidth="1"/>
    <col min="11" max="11" width="30.7109375" customWidth="1"/>
  </cols>
  <sheetData>
    <row r="2" spans="1:7" s="1" customFormat="1" ht="23.25" x14ac:dyDescent="0.35">
      <c r="A2" s="33" t="s">
        <v>0</v>
      </c>
      <c r="B2" s="33"/>
      <c r="C2" s="33"/>
      <c r="D2" s="33"/>
      <c r="E2" s="33"/>
      <c r="F2" s="33"/>
      <c r="G2" s="33"/>
    </row>
    <row r="4" spans="1:7" ht="21" x14ac:dyDescent="0.35">
      <c r="A4" s="27" t="s">
        <v>1</v>
      </c>
    </row>
    <row r="5" spans="1:7" ht="30" customHeight="1" x14ac:dyDescent="0.3">
      <c r="A5" s="31" t="s">
        <v>2</v>
      </c>
      <c r="B5" s="32" t="s">
        <v>3</v>
      </c>
      <c r="C5" s="32"/>
      <c r="D5" s="32"/>
      <c r="E5" s="32" t="s">
        <v>4</v>
      </c>
      <c r="F5" s="32"/>
      <c r="G5" s="32"/>
    </row>
    <row r="6" spans="1:7" ht="18.75" x14ac:dyDescent="0.3">
      <c r="A6" s="31"/>
      <c r="B6" s="26" t="s">
        <v>5</v>
      </c>
      <c r="C6" s="26" t="s">
        <v>6</v>
      </c>
      <c r="D6" s="26" t="s">
        <v>7</v>
      </c>
      <c r="E6" s="26" t="s">
        <v>5</v>
      </c>
      <c r="F6" s="26" t="s">
        <v>6</v>
      </c>
      <c r="G6" s="26" t="s">
        <v>7</v>
      </c>
    </row>
    <row r="7" spans="1:7" ht="21" customHeight="1" x14ac:dyDescent="0.25">
      <c r="A7" s="5" t="s">
        <v>8</v>
      </c>
      <c r="B7" s="6">
        <v>12</v>
      </c>
      <c r="C7" s="7">
        <v>10</v>
      </c>
      <c r="D7" s="7">
        <f>SUM(B7:C7)</f>
        <v>22</v>
      </c>
      <c r="E7" s="7">
        <v>12</v>
      </c>
      <c r="F7" s="7">
        <v>10</v>
      </c>
      <c r="G7" s="7">
        <f>SUM(E7:F7)</f>
        <v>22</v>
      </c>
    </row>
    <row r="8" spans="1:7" ht="26.25" customHeight="1" x14ac:dyDescent="0.25">
      <c r="A8" s="5" t="s">
        <v>9</v>
      </c>
      <c r="B8" s="6">
        <v>4</v>
      </c>
      <c r="C8" s="7">
        <v>17</v>
      </c>
      <c r="D8" s="7">
        <f t="shared" ref="D8:D22" si="0">SUM(B8:C8)</f>
        <v>21</v>
      </c>
      <c r="E8" s="7">
        <v>4</v>
      </c>
      <c r="F8" s="7">
        <v>16</v>
      </c>
      <c r="G8" s="7">
        <f t="shared" ref="G8:G22" si="1">SUM(E8:F8)</f>
        <v>20</v>
      </c>
    </row>
    <row r="9" spans="1:7" ht="28.5" customHeight="1" x14ac:dyDescent="0.25">
      <c r="A9" s="5" t="s">
        <v>10</v>
      </c>
      <c r="B9" s="7">
        <v>15</v>
      </c>
      <c r="C9" s="7">
        <v>8</v>
      </c>
      <c r="D9" s="7">
        <f t="shared" si="0"/>
        <v>23</v>
      </c>
      <c r="E9" s="7">
        <v>13</v>
      </c>
      <c r="F9" s="7">
        <v>8</v>
      </c>
      <c r="G9" s="7">
        <f t="shared" si="1"/>
        <v>21</v>
      </c>
    </row>
    <row r="10" spans="1:7" ht="25.5" customHeight="1" x14ac:dyDescent="0.25">
      <c r="A10" s="5" t="s">
        <v>11</v>
      </c>
      <c r="B10" s="7">
        <v>12</v>
      </c>
      <c r="C10" s="7">
        <v>9</v>
      </c>
      <c r="D10" s="7">
        <f t="shared" si="0"/>
        <v>21</v>
      </c>
      <c r="E10" s="7">
        <v>12</v>
      </c>
      <c r="F10" s="7">
        <v>7</v>
      </c>
      <c r="G10" s="7">
        <f t="shared" si="1"/>
        <v>19</v>
      </c>
    </row>
    <row r="11" spans="1:7" ht="30" x14ac:dyDescent="0.25">
      <c r="A11" s="8" t="s">
        <v>12</v>
      </c>
      <c r="B11" s="7">
        <v>15</v>
      </c>
      <c r="C11" s="7">
        <v>21</v>
      </c>
      <c r="D11" s="7">
        <f t="shared" si="0"/>
        <v>36</v>
      </c>
      <c r="E11" s="7">
        <v>13</v>
      </c>
      <c r="F11" s="7">
        <v>20</v>
      </c>
      <c r="G11" s="7">
        <f t="shared" si="1"/>
        <v>33</v>
      </c>
    </row>
    <row r="12" spans="1:7" ht="33.75" customHeight="1" x14ac:dyDescent="0.25">
      <c r="A12" s="9" t="s">
        <v>13</v>
      </c>
      <c r="B12" s="7">
        <v>12</v>
      </c>
      <c r="C12" s="7">
        <v>12</v>
      </c>
      <c r="D12" s="7">
        <f t="shared" si="0"/>
        <v>24</v>
      </c>
      <c r="E12" s="7">
        <v>12</v>
      </c>
      <c r="F12" s="7">
        <v>12</v>
      </c>
      <c r="G12" s="7">
        <f t="shared" si="1"/>
        <v>24</v>
      </c>
    </row>
    <row r="13" spans="1:7" ht="36.75" customHeight="1" x14ac:dyDescent="0.25">
      <c r="A13" s="9" t="s">
        <v>14</v>
      </c>
      <c r="B13" s="7">
        <v>22</v>
      </c>
      <c r="C13" s="7">
        <v>0</v>
      </c>
      <c r="D13" s="7">
        <f t="shared" si="0"/>
        <v>22</v>
      </c>
      <c r="E13" s="7">
        <v>21</v>
      </c>
      <c r="F13" s="7">
        <v>0</v>
      </c>
      <c r="G13" s="7">
        <f t="shared" si="1"/>
        <v>21</v>
      </c>
    </row>
    <row r="14" spans="1:7" ht="35.25" customHeight="1" x14ac:dyDescent="0.25">
      <c r="A14" s="8" t="s">
        <v>15</v>
      </c>
      <c r="B14" s="10">
        <v>17</v>
      </c>
      <c r="C14" s="10">
        <v>20</v>
      </c>
      <c r="D14" s="7">
        <f t="shared" si="0"/>
        <v>37</v>
      </c>
      <c r="E14" s="10">
        <v>16</v>
      </c>
      <c r="F14" s="10">
        <v>19</v>
      </c>
      <c r="G14" s="7">
        <f t="shared" si="1"/>
        <v>35</v>
      </c>
    </row>
    <row r="15" spans="1:7" ht="24" customHeight="1" x14ac:dyDescent="0.25">
      <c r="A15" s="5" t="s">
        <v>16</v>
      </c>
      <c r="B15" s="10">
        <v>7</v>
      </c>
      <c r="C15" s="10">
        <v>14</v>
      </c>
      <c r="D15" s="7">
        <f t="shared" si="0"/>
        <v>21</v>
      </c>
      <c r="E15" s="10">
        <v>7</v>
      </c>
      <c r="F15" s="10">
        <v>13</v>
      </c>
      <c r="G15" s="7">
        <f t="shared" si="1"/>
        <v>20</v>
      </c>
    </row>
    <row r="16" spans="1:7" ht="25.5" customHeight="1" x14ac:dyDescent="0.25">
      <c r="A16" s="11" t="s">
        <v>17</v>
      </c>
      <c r="B16" s="10">
        <v>13</v>
      </c>
      <c r="C16" s="10">
        <v>19</v>
      </c>
      <c r="D16" s="7">
        <f t="shared" si="0"/>
        <v>32</v>
      </c>
      <c r="E16" s="10">
        <v>13</v>
      </c>
      <c r="F16" s="10">
        <v>18</v>
      </c>
      <c r="G16" s="7">
        <f t="shared" si="1"/>
        <v>31</v>
      </c>
    </row>
    <row r="17" spans="1:12" ht="23.25" customHeight="1" x14ac:dyDescent="0.25">
      <c r="A17" s="12" t="s">
        <v>18</v>
      </c>
      <c r="B17" s="13">
        <v>26</v>
      </c>
      <c r="C17" s="13">
        <v>10</v>
      </c>
      <c r="D17" s="7">
        <f t="shared" si="0"/>
        <v>36</v>
      </c>
      <c r="E17" s="13">
        <v>26</v>
      </c>
      <c r="F17" s="13">
        <v>10</v>
      </c>
      <c r="G17" s="7">
        <f t="shared" si="1"/>
        <v>36</v>
      </c>
    </row>
    <row r="18" spans="1:12" ht="21.75" customHeight="1" x14ac:dyDescent="0.25">
      <c r="A18" s="5" t="s">
        <v>19</v>
      </c>
      <c r="B18" s="13">
        <v>22</v>
      </c>
      <c r="C18" s="13">
        <v>8</v>
      </c>
      <c r="D18" s="7">
        <f t="shared" si="0"/>
        <v>30</v>
      </c>
      <c r="E18" s="13">
        <v>19</v>
      </c>
      <c r="F18" s="13">
        <v>8</v>
      </c>
      <c r="G18" s="7">
        <f t="shared" si="1"/>
        <v>27</v>
      </c>
    </row>
    <row r="19" spans="1:12" ht="52.5" customHeight="1" x14ac:dyDescent="0.25">
      <c r="A19" s="9" t="s">
        <v>20</v>
      </c>
      <c r="B19" s="10">
        <v>1</v>
      </c>
      <c r="C19" s="10">
        <v>29</v>
      </c>
      <c r="D19" s="7">
        <f t="shared" si="0"/>
        <v>30</v>
      </c>
      <c r="E19" s="10">
        <v>1</v>
      </c>
      <c r="F19" s="10">
        <v>26</v>
      </c>
      <c r="G19" s="7">
        <f t="shared" si="1"/>
        <v>27</v>
      </c>
    </row>
    <row r="20" spans="1:12" ht="51.75" customHeight="1" x14ac:dyDescent="0.25">
      <c r="A20" s="12" t="s">
        <v>21</v>
      </c>
      <c r="B20" s="10">
        <v>3</v>
      </c>
      <c r="C20" s="10">
        <v>41</v>
      </c>
      <c r="D20" s="7">
        <f t="shared" si="0"/>
        <v>44</v>
      </c>
      <c r="E20" s="10">
        <v>3</v>
      </c>
      <c r="F20" s="10">
        <v>39</v>
      </c>
      <c r="G20" s="7">
        <f t="shared" si="1"/>
        <v>42</v>
      </c>
    </row>
    <row r="21" spans="1:12" ht="42.75" customHeight="1" x14ac:dyDescent="0.25">
      <c r="A21" s="9" t="s">
        <v>22</v>
      </c>
      <c r="B21" s="13">
        <v>1</v>
      </c>
      <c r="C21" s="13">
        <v>19</v>
      </c>
      <c r="D21" s="7">
        <f t="shared" si="0"/>
        <v>20</v>
      </c>
      <c r="E21" s="13">
        <v>1</v>
      </c>
      <c r="F21" s="13">
        <v>18</v>
      </c>
      <c r="G21" s="7">
        <f t="shared" si="1"/>
        <v>19</v>
      </c>
    </row>
    <row r="22" spans="1:12" ht="23.25" customHeight="1" x14ac:dyDescent="0.25">
      <c r="A22" s="5" t="s">
        <v>23</v>
      </c>
      <c r="B22" s="13">
        <v>12</v>
      </c>
      <c r="C22" s="13">
        <v>11</v>
      </c>
      <c r="D22" s="7">
        <f t="shared" si="0"/>
        <v>23</v>
      </c>
      <c r="E22" s="10">
        <v>9</v>
      </c>
      <c r="F22" s="10">
        <v>10</v>
      </c>
      <c r="G22" s="7">
        <f t="shared" si="1"/>
        <v>19</v>
      </c>
    </row>
    <row r="23" spans="1:12" ht="29.25" customHeight="1" x14ac:dyDescent="0.25">
      <c r="A23" s="14" t="s">
        <v>24</v>
      </c>
      <c r="B23" s="4">
        <f>SUM(B7:B22)</f>
        <v>194</v>
      </c>
      <c r="C23" s="4">
        <f t="shared" ref="C23:G23" si="2">SUM(C7:C22)</f>
        <v>248</v>
      </c>
      <c r="D23" s="4">
        <f t="shared" si="2"/>
        <v>442</v>
      </c>
      <c r="E23" s="4">
        <f t="shared" si="2"/>
        <v>182</v>
      </c>
      <c r="F23" s="4">
        <f t="shared" si="2"/>
        <v>234</v>
      </c>
      <c r="G23" s="4">
        <f t="shared" si="2"/>
        <v>416</v>
      </c>
      <c r="J23" s="28">
        <f>SUM(G23,G52)</f>
        <v>1006</v>
      </c>
      <c r="K23" s="34" t="s">
        <v>47</v>
      </c>
    </row>
    <row r="24" spans="1:12" x14ac:dyDescent="0.25">
      <c r="A24" s="15"/>
    </row>
    <row r="25" spans="1:12" x14ac:dyDescent="0.25">
      <c r="A25" s="15"/>
    </row>
    <row r="26" spans="1:12" ht="21" x14ac:dyDescent="0.35">
      <c r="A26" s="27" t="s">
        <v>25</v>
      </c>
    </row>
    <row r="27" spans="1:12" ht="18.75" x14ac:dyDescent="0.3">
      <c r="A27" s="2"/>
      <c r="I27" s="15"/>
      <c r="J27" s="15"/>
      <c r="K27" s="15"/>
      <c r="L27" s="15"/>
    </row>
    <row r="28" spans="1:12" ht="15" customHeight="1" x14ac:dyDescent="0.3">
      <c r="A28" s="31" t="s">
        <v>2</v>
      </c>
      <c r="B28" s="32" t="s">
        <v>3</v>
      </c>
      <c r="C28" s="32"/>
      <c r="D28" s="32"/>
      <c r="E28" s="32" t="s">
        <v>4</v>
      </c>
      <c r="F28" s="32"/>
      <c r="G28" s="32"/>
      <c r="I28" s="15"/>
      <c r="J28" s="15"/>
      <c r="K28" s="15"/>
      <c r="L28" s="15"/>
    </row>
    <row r="29" spans="1:12" ht="18.75" x14ac:dyDescent="0.3">
      <c r="A29" s="31"/>
      <c r="B29" s="26" t="s">
        <v>5</v>
      </c>
      <c r="C29" s="26" t="s">
        <v>6</v>
      </c>
      <c r="D29" s="26" t="s">
        <v>7</v>
      </c>
      <c r="E29" s="26" t="s">
        <v>5</v>
      </c>
      <c r="F29" s="26" t="s">
        <v>6</v>
      </c>
      <c r="G29" s="26" t="s">
        <v>7</v>
      </c>
      <c r="I29" s="15"/>
      <c r="J29" s="15"/>
      <c r="K29" s="15"/>
      <c r="L29" s="15"/>
    </row>
    <row r="30" spans="1:12" ht="24.75" customHeight="1" x14ac:dyDescent="0.25">
      <c r="A30" s="28" t="s">
        <v>26</v>
      </c>
      <c r="B30" s="16">
        <v>16</v>
      </c>
      <c r="C30" s="16">
        <v>12</v>
      </c>
      <c r="D30" s="16">
        <f>SUM(B30:C30)</f>
        <v>28</v>
      </c>
      <c r="E30" s="16">
        <v>14</v>
      </c>
      <c r="F30" s="16">
        <v>11</v>
      </c>
      <c r="G30" s="17">
        <f>SUM(E30:F30)</f>
        <v>25</v>
      </c>
      <c r="H30" s="18"/>
      <c r="I30" s="15"/>
      <c r="J30" s="15"/>
      <c r="K30" s="15"/>
      <c r="L30" s="15"/>
    </row>
    <row r="31" spans="1:12" ht="27" customHeight="1" x14ac:dyDescent="0.25">
      <c r="A31" s="28" t="s">
        <v>27</v>
      </c>
      <c r="B31" s="16">
        <v>19</v>
      </c>
      <c r="C31" s="16">
        <v>7</v>
      </c>
      <c r="D31" s="16">
        <f t="shared" ref="D31:D51" si="3">SUM(B31:C31)</f>
        <v>26</v>
      </c>
      <c r="E31" s="16">
        <v>19</v>
      </c>
      <c r="F31" s="16">
        <v>7</v>
      </c>
      <c r="G31" s="17">
        <f t="shared" ref="G31:G52" si="4">SUM(E31:F31)</f>
        <v>26</v>
      </c>
      <c r="H31" s="18"/>
      <c r="I31" s="19"/>
      <c r="J31" s="19"/>
      <c r="K31" s="15"/>
      <c r="L31" s="15"/>
    </row>
    <row r="32" spans="1:12" ht="24.75" customHeight="1" x14ac:dyDescent="0.25">
      <c r="A32" s="28" t="s">
        <v>8</v>
      </c>
      <c r="B32" s="16">
        <v>27</v>
      </c>
      <c r="C32" s="16">
        <v>15</v>
      </c>
      <c r="D32" s="16">
        <f t="shared" si="3"/>
        <v>42</v>
      </c>
      <c r="E32" s="16">
        <v>27</v>
      </c>
      <c r="F32" s="16">
        <v>14</v>
      </c>
      <c r="G32" s="17">
        <f t="shared" si="4"/>
        <v>41</v>
      </c>
      <c r="H32" s="18"/>
      <c r="I32" s="20"/>
      <c r="J32" s="20"/>
      <c r="K32" s="15"/>
      <c r="L32" s="15"/>
    </row>
    <row r="33" spans="1:12" ht="32.25" customHeight="1" x14ac:dyDescent="0.25">
      <c r="A33" s="28" t="s">
        <v>28</v>
      </c>
      <c r="B33" s="16">
        <v>16</v>
      </c>
      <c r="C33" s="16">
        <v>7</v>
      </c>
      <c r="D33" s="16">
        <f t="shared" si="3"/>
        <v>23</v>
      </c>
      <c r="E33" s="16">
        <v>14</v>
      </c>
      <c r="F33" s="16">
        <v>8</v>
      </c>
      <c r="G33" s="17">
        <f t="shared" si="4"/>
        <v>22</v>
      </c>
      <c r="H33" s="18"/>
      <c r="I33" s="20"/>
      <c r="J33" s="20"/>
      <c r="K33" s="15"/>
      <c r="L33" s="15"/>
    </row>
    <row r="34" spans="1:12" ht="39" customHeight="1" x14ac:dyDescent="0.25">
      <c r="A34" s="29" t="s">
        <v>29</v>
      </c>
      <c r="B34" s="16">
        <v>9</v>
      </c>
      <c r="C34" s="16">
        <v>16</v>
      </c>
      <c r="D34" s="16">
        <f t="shared" si="3"/>
        <v>25</v>
      </c>
      <c r="E34" s="16">
        <v>8</v>
      </c>
      <c r="F34" s="16">
        <v>15</v>
      </c>
      <c r="G34" s="17">
        <f t="shared" si="4"/>
        <v>23</v>
      </c>
      <c r="H34" s="18"/>
      <c r="I34" s="20"/>
      <c r="J34" s="20"/>
      <c r="K34" s="15"/>
      <c r="L34" s="15"/>
    </row>
    <row r="35" spans="1:12" ht="37.5" customHeight="1" x14ac:dyDescent="0.25">
      <c r="A35" s="29" t="s">
        <v>30</v>
      </c>
      <c r="B35" s="16">
        <v>10</v>
      </c>
      <c r="C35" s="16">
        <v>12</v>
      </c>
      <c r="D35" s="16">
        <f t="shared" si="3"/>
        <v>22</v>
      </c>
      <c r="E35" s="16">
        <v>10</v>
      </c>
      <c r="F35" s="16">
        <v>12</v>
      </c>
      <c r="G35" s="17">
        <f t="shared" si="4"/>
        <v>22</v>
      </c>
      <c r="H35" s="18"/>
      <c r="I35" s="15"/>
      <c r="J35" s="15"/>
      <c r="K35" s="15"/>
      <c r="L35" s="15"/>
    </row>
    <row r="36" spans="1:12" ht="30" customHeight="1" x14ac:dyDescent="0.25">
      <c r="A36" s="30" t="s">
        <v>31</v>
      </c>
      <c r="B36" s="16">
        <v>30</v>
      </c>
      <c r="C36" s="16">
        <v>23</v>
      </c>
      <c r="D36" s="16">
        <f t="shared" si="3"/>
        <v>53</v>
      </c>
      <c r="E36" s="16">
        <v>29</v>
      </c>
      <c r="F36" s="16">
        <v>19</v>
      </c>
      <c r="G36" s="17">
        <f t="shared" si="4"/>
        <v>48</v>
      </c>
      <c r="H36" s="18"/>
      <c r="I36" s="15"/>
      <c r="J36" s="15"/>
      <c r="K36" s="15"/>
      <c r="L36" s="15"/>
    </row>
    <row r="37" spans="1:12" ht="38.25" customHeight="1" x14ac:dyDescent="0.25">
      <c r="A37" s="29" t="s">
        <v>32</v>
      </c>
      <c r="B37" s="16">
        <v>16</v>
      </c>
      <c r="C37" s="16">
        <v>21</v>
      </c>
      <c r="D37" s="16">
        <f t="shared" si="3"/>
        <v>37</v>
      </c>
      <c r="E37" s="16">
        <v>13</v>
      </c>
      <c r="F37" s="16">
        <v>22</v>
      </c>
      <c r="G37" s="17">
        <f t="shared" si="4"/>
        <v>35</v>
      </c>
      <c r="H37" s="18"/>
      <c r="I37" s="15"/>
      <c r="J37" s="15"/>
      <c r="K37" s="15"/>
      <c r="L37" s="15"/>
    </row>
    <row r="38" spans="1:12" ht="36.75" customHeight="1" x14ac:dyDescent="0.25">
      <c r="A38" s="29" t="s">
        <v>33</v>
      </c>
      <c r="B38" s="16">
        <v>4</v>
      </c>
      <c r="C38" s="16">
        <v>15</v>
      </c>
      <c r="D38" s="16">
        <f t="shared" si="3"/>
        <v>19</v>
      </c>
      <c r="E38" s="16">
        <v>4</v>
      </c>
      <c r="F38" s="16">
        <v>14</v>
      </c>
      <c r="G38" s="17">
        <f t="shared" si="4"/>
        <v>18</v>
      </c>
      <c r="H38" s="18"/>
      <c r="I38" s="15"/>
      <c r="J38" s="15"/>
      <c r="K38" s="15"/>
      <c r="L38" s="15"/>
    </row>
    <row r="39" spans="1:12" ht="34.5" customHeight="1" x14ac:dyDescent="0.25">
      <c r="A39" s="29" t="s">
        <v>34</v>
      </c>
      <c r="B39" s="16">
        <v>24</v>
      </c>
      <c r="C39" s="16">
        <v>3</v>
      </c>
      <c r="D39" s="16">
        <f t="shared" si="3"/>
        <v>27</v>
      </c>
      <c r="E39" s="16">
        <v>23</v>
      </c>
      <c r="F39" s="16">
        <v>3</v>
      </c>
      <c r="G39" s="17">
        <f t="shared" si="4"/>
        <v>26</v>
      </c>
      <c r="H39" s="18"/>
      <c r="I39" s="15"/>
      <c r="J39" s="15"/>
      <c r="K39" s="15"/>
      <c r="L39" s="15"/>
    </row>
    <row r="40" spans="1:12" ht="37.5" customHeight="1" x14ac:dyDescent="0.25">
      <c r="A40" s="29" t="s">
        <v>35</v>
      </c>
      <c r="B40" s="16">
        <v>24</v>
      </c>
      <c r="C40" s="16">
        <v>16</v>
      </c>
      <c r="D40" s="16">
        <f t="shared" si="3"/>
        <v>40</v>
      </c>
      <c r="E40" s="16">
        <v>21</v>
      </c>
      <c r="F40" s="16">
        <v>15</v>
      </c>
      <c r="G40" s="17">
        <f t="shared" si="4"/>
        <v>36</v>
      </c>
      <c r="H40" s="18"/>
    </row>
    <row r="41" spans="1:12" ht="32.25" customHeight="1" x14ac:dyDescent="0.25">
      <c r="A41" s="29" t="s">
        <v>36</v>
      </c>
      <c r="B41" s="16">
        <v>12</v>
      </c>
      <c r="C41" s="16">
        <v>15</v>
      </c>
      <c r="D41" s="16">
        <f t="shared" si="3"/>
        <v>27</v>
      </c>
      <c r="E41" s="16">
        <v>11</v>
      </c>
      <c r="F41" s="16">
        <v>14</v>
      </c>
      <c r="G41" s="17">
        <f t="shared" si="4"/>
        <v>25</v>
      </c>
      <c r="H41" s="18"/>
    </row>
    <row r="42" spans="1:12" x14ac:dyDescent="0.25">
      <c r="A42" s="28" t="s">
        <v>37</v>
      </c>
      <c r="B42" s="16">
        <v>53</v>
      </c>
      <c r="C42" s="16">
        <v>7</v>
      </c>
      <c r="D42" s="16">
        <f t="shared" si="3"/>
        <v>60</v>
      </c>
      <c r="E42" s="16">
        <v>52</v>
      </c>
      <c r="F42" s="16">
        <v>5</v>
      </c>
      <c r="G42" s="17">
        <f t="shared" si="4"/>
        <v>57</v>
      </c>
      <c r="H42" s="18"/>
    </row>
    <row r="43" spans="1:12" ht="39.75" customHeight="1" x14ac:dyDescent="0.25">
      <c r="A43" s="29" t="s">
        <v>38</v>
      </c>
      <c r="B43" s="16">
        <v>14</v>
      </c>
      <c r="C43" s="16">
        <v>18</v>
      </c>
      <c r="D43" s="16">
        <f t="shared" si="3"/>
        <v>32</v>
      </c>
      <c r="E43" s="16">
        <v>13</v>
      </c>
      <c r="F43" s="16">
        <v>15</v>
      </c>
      <c r="G43" s="17">
        <f t="shared" si="4"/>
        <v>28</v>
      </c>
      <c r="H43" s="18"/>
    </row>
    <row r="44" spans="1:12" ht="33" customHeight="1" x14ac:dyDescent="0.25">
      <c r="A44" s="29" t="s">
        <v>39</v>
      </c>
      <c r="B44" s="16">
        <v>4</v>
      </c>
      <c r="C44" s="16">
        <v>39</v>
      </c>
      <c r="D44" s="16">
        <f t="shared" si="3"/>
        <v>43</v>
      </c>
      <c r="E44" s="16">
        <v>4</v>
      </c>
      <c r="F44" s="16">
        <v>35</v>
      </c>
      <c r="G44" s="17">
        <f t="shared" si="4"/>
        <v>39</v>
      </c>
      <c r="H44" s="18"/>
    </row>
    <row r="45" spans="1:12" ht="35.25" customHeight="1" x14ac:dyDescent="0.25">
      <c r="A45" s="29" t="s">
        <v>40</v>
      </c>
      <c r="B45" s="16">
        <v>1</v>
      </c>
      <c r="C45" s="16">
        <v>29</v>
      </c>
      <c r="D45" s="16">
        <f t="shared" si="3"/>
        <v>30</v>
      </c>
      <c r="E45" s="16">
        <v>1</v>
      </c>
      <c r="F45" s="16">
        <v>28</v>
      </c>
      <c r="G45" s="17">
        <f t="shared" si="4"/>
        <v>29</v>
      </c>
      <c r="H45" s="18"/>
    </row>
    <row r="46" spans="1:12" ht="38.25" customHeight="1" x14ac:dyDescent="0.25">
      <c r="A46" s="29" t="s">
        <v>41</v>
      </c>
      <c r="B46" s="16">
        <v>1</v>
      </c>
      <c r="C46" s="16">
        <v>10</v>
      </c>
      <c r="D46" s="16">
        <f t="shared" si="3"/>
        <v>11</v>
      </c>
      <c r="E46" s="16">
        <v>1</v>
      </c>
      <c r="F46" s="16">
        <v>9</v>
      </c>
      <c r="G46" s="17">
        <f t="shared" si="4"/>
        <v>10</v>
      </c>
      <c r="H46" s="18"/>
    </row>
    <row r="47" spans="1:12" ht="37.5" customHeight="1" x14ac:dyDescent="0.25">
      <c r="A47" s="29" t="s">
        <v>42</v>
      </c>
      <c r="B47" s="16">
        <v>0</v>
      </c>
      <c r="C47" s="16">
        <v>18</v>
      </c>
      <c r="D47" s="16">
        <f t="shared" si="3"/>
        <v>18</v>
      </c>
      <c r="E47" s="16">
        <v>0</v>
      </c>
      <c r="F47" s="16">
        <v>18</v>
      </c>
      <c r="G47" s="17">
        <f t="shared" si="4"/>
        <v>18</v>
      </c>
      <c r="H47" s="18"/>
    </row>
    <row r="48" spans="1:12" ht="34.5" customHeight="1" x14ac:dyDescent="0.25">
      <c r="A48" s="29" t="s">
        <v>43</v>
      </c>
      <c r="B48" s="16">
        <v>0</v>
      </c>
      <c r="C48" s="16">
        <v>16</v>
      </c>
      <c r="D48" s="16">
        <f t="shared" si="3"/>
        <v>16</v>
      </c>
      <c r="E48" s="16">
        <v>0</v>
      </c>
      <c r="F48" s="16">
        <v>16</v>
      </c>
      <c r="G48" s="17">
        <f t="shared" si="4"/>
        <v>16</v>
      </c>
      <c r="H48" s="18"/>
    </row>
    <row r="49" spans="1:8" ht="33" customHeight="1" x14ac:dyDescent="0.25">
      <c r="A49" s="29" t="s">
        <v>44</v>
      </c>
      <c r="B49" s="16">
        <v>3</v>
      </c>
      <c r="C49" s="16">
        <v>14</v>
      </c>
      <c r="D49" s="16">
        <f t="shared" si="3"/>
        <v>17</v>
      </c>
      <c r="E49" s="16">
        <v>3</v>
      </c>
      <c r="F49" s="16">
        <v>14</v>
      </c>
      <c r="G49" s="17">
        <f t="shared" si="4"/>
        <v>17</v>
      </c>
      <c r="H49" s="18"/>
    </row>
    <row r="50" spans="1:8" ht="49.5" customHeight="1" x14ac:dyDescent="0.25">
      <c r="A50" s="29" t="s">
        <v>45</v>
      </c>
      <c r="B50" s="16">
        <v>1</v>
      </c>
      <c r="C50" s="16">
        <v>14</v>
      </c>
      <c r="D50" s="16">
        <f t="shared" si="3"/>
        <v>15</v>
      </c>
      <c r="E50" s="16">
        <v>1</v>
      </c>
      <c r="F50" s="16">
        <v>14</v>
      </c>
      <c r="G50" s="17">
        <f t="shared" si="4"/>
        <v>15</v>
      </c>
      <c r="H50" s="18"/>
    </row>
    <row r="51" spans="1:8" ht="30.75" customHeight="1" x14ac:dyDescent="0.25">
      <c r="A51" s="29" t="s">
        <v>46</v>
      </c>
      <c r="B51" s="16">
        <v>1</v>
      </c>
      <c r="C51" s="16">
        <v>14</v>
      </c>
      <c r="D51" s="16">
        <f t="shared" si="3"/>
        <v>15</v>
      </c>
      <c r="E51" s="16">
        <v>1</v>
      </c>
      <c r="F51" s="16">
        <v>13</v>
      </c>
      <c r="G51" s="17">
        <f t="shared" si="4"/>
        <v>14</v>
      </c>
      <c r="H51" s="18"/>
    </row>
    <row r="52" spans="1:8" ht="30.75" customHeight="1" x14ac:dyDescent="0.25">
      <c r="A52" s="21" t="s">
        <v>24</v>
      </c>
      <c r="B52" s="4">
        <f>SUM(B30:B51)</f>
        <v>285</v>
      </c>
      <c r="C52" s="4">
        <f>SUM(C30:C51)</f>
        <v>341</v>
      </c>
      <c r="D52" s="16">
        <f>SUM(B52:C52)</f>
        <v>626</v>
      </c>
      <c r="E52" s="4">
        <f>SUM(E30:E51)</f>
        <v>269</v>
      </c>
      <c r="F52" s="4">
        <f>SUM(F30:F51)</f>
        <v>321</v>
      </c>
      <c r="G52" s="4">
        <f t="shared" si="4"/>
        <v>590</v>
      </c>
    </row>
    <row r="53" spans="1:8" x14ac:dyDescent="0.25">
      <c r="A53" s="22"/>
    </row>
    <row r="54" spans="1:8" x14ac:dyDescent="0.25">
      <c r="A54" s="22"/>
    </row>
    <row r="57" spans="1:8" x14ac:dyDescent="0.25">
      <c r="B57" s="24"/>
      <c r="C57" s="24"/>
      <c r="D57" s="24"/>
      <c r="E57" s="24"/>
      <c r="F57" s="24"/>
      <c r="G57" s="24"/>
    </row>
    <row r="58" spans="1:8" x14ac:dyDescent="0.25">
      <c r="B58" s="25"/>
      <c r="C58" s="25"/>
      <c r="D58" s="25"/>
      <c r="E58" s="25"/>
      <c r="F58" s="25"/>
      <c r="G58" s="25"/>
    </row>
    <row r="59" spans="1:8" x14ac:dyDescent="0.25">
      <c r="B59" s="24"/>
      <c r="C59" s="24"/>
      <c r="D59" s="24"/>
      <c r="E59" s="24"/>
      <c r="F59" s="24"/>
      <c r="G59" s="24"/>
    </row>
  </sheetData>
  <mergeCells count="7">
    <mergeCell ref="A28:A29"/>
    <mergeCell ref="B28:D28"/>
    <mergeCell ref="E28:G28"/>
    <mergeCell ref="A2:G2"/>
    <mergeCell ref="A5:A6"/>
    <mergeCell ref="B5:D5"/>
    <mergeCell ref="E5:G5"/>
  </mergeCells>
  <pageMargins left="0.9055118110236221" right="0.51181102362204722" top="0.74803149606299213" bottom="0.35433070866141736" header="0.31496062992125984" footer="0.31496062992125984"/>
  <pageSetup paperSize="9" scale="81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Admisión 2024-II-2025-I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Maria del Carmen Romero Mercedes</cp:lastModifiedBy>
  <dcterms:created xsi:type="dcterms:W3CDTF">2025-05-06T14:34:51Z</dcterms:created>
  <dcterms:modified xsi:type="dcterms:W3CDTF">2025-11-25T20:35:44Z</dcterms:modified>
</cp:coreProperties>
</file>